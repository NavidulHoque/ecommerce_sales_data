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ttps://d.docs.live.net/39d657ef79bceff4/Desktop/colab/sales-automation/"/>
    </mc:Choice>
  </mc:AlternateContent>
  <xr:revisionPtr revIDLastSave="1" documentId="13_ncr:1_{3093C806-9530-4AEE-AFD9-8BE1137BD8DB}" xr6:coauthVersionLast="47" xr6:coauthVersionMax="47" xr10:uidLastSave="{00690127-63CF-4992-83A5-A7559F7F89DF}"/>
  <bookViews>
    <workbookView xWindow="-108" yWindow="-108" windowWidth="23256" windowHeight="12456" tabRatio="886" activeTab="5" xr2:uid="{00000000-000D-0000-FFFF-FFFF00000000}"/>
  </bookViews>
  <sheets>
    <sheet name="Raw_Backup" sheetId="1" r:id="rId1"/>
    <sheet name="Customer Segment Dashboard" sheetId="22" r:id="rId2"/>
    <sheet name="Customer Segment Pivot Table" sheetId="20" r:id="rId3"/>
    <sheet name="Customer RFM Table" sheetId="6" r:id="rId4"/>
    <sheet name="Sales Pivot Table" sheetId="16" r:id="rId5"/>
    <sheet name="Sales Dashboard" sheetId="17" r:id="rId6"/>
    <sheet name="Cleaned_Data" sheetId="4" r:id="rId7"/>
  </sheets>
  <definedNames>
    <definedName name="NativeTimeline_Order_Date">#N/A</definedName>
    <definedName name="Slicer_Category">#N/A</definedName>
    <definedName name="Slicer_Customer_Segment">#N/A</definedName>
    <definedName name="Slicer_Division">#N/A</definedName>
    <definedName name="Slicer_Division1">#N/A</definedName>
    <definedName name="Slicer_Gender">#N/A</definedName>
    <definedName name="Slicer_Product_Name">#N/A</definedName>
    <definedName name="Slicer_Sales_Channel">#N/A</definedName>
  </definedNames>
  <calcPr calcId="191028" iterateDelta="1E-4"/>
  <pivotCaches>
    <pivotCache cacheId="0" r:id="rId8"/>
    <pivotCache cacheId="10" r:id="rId9"/>
  </pivotCaches>
  <extLst>
    <ext xmlns:x14="http://schemas.microsoft.com/office/spreadsheetml/2009/9/main" uri="{BBE1A952-AA13-448e-AADC-164F8A28A991}">
      <x14:slicerCaches>
        <x14:slicerCache r:id="rId10"/>
        <x14:slicerCache r:id="rId11"/>
        <x14:slicerCache r:id="rId12"/>
        <x14:slicerCache r:id="rId13"/>
        <x14:slicerCache r:id="rId14"/>
        <x14:slicerCache r:id="rId15"/>
        <x14:slicerCache r:id="rId16"/>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7"/>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2" i="4" l="1"/>
  <c r="N2" i="4"/>
  <c r="M3" i="4"/>
  <c r="N3" i="4"/>
  <c r="M4" i="4"/>
  <c r="N4" i="4"/>
  <c r="M5" i="4"/>
  <c r="N5" i="4"/>
  <c r="M6" i="4"/>
  <c r="N6" i="4"/>
  <c r="M7" i="4"/>
  <c r="N7" i="4"/>
  <c r="M8" i="4"/>
  <c r="N8" i="4"/>
  <c r="M9" i="4"/>
  <c r="N9" i="4"/>
  <c r="M10" i="4"/>
  <c r="N10" i="4"/>
  <c r="M11" i="4"/>
  <c r="N11" i="4"/>
  <c r="M12" i="4"/>
  <c r="N12" i="4"/>
  <c r="M13" i="4"/>
  <c r="N13" i="4"/>
  <c r="M14" i="4"/>
  <c r="N14" i="4"/>
  <c r="M15" i="4"/>
  <c r="N15" i="4"/>
  <c r="M16" i="4"/>
  <c r="N16" i="4"/>
  <c r="M17" i="4"/>
  <c r="N17" i="4"/>
  <c r="M18" i="4"/>
  <c r="N18" i="4"/>
  <c r="M19" i="4"/>
  <c r="N19" i="4"/>
  <c r="M20" i="4"/>
  <c r="N20" i="4"/>
  <c r="M21" i="4"/>
  <c r="N21" i="4"/>
  <c r="M22" i="4"/>
  <c r="N22" i="4"/>
  <c r="M23" i="4"/>
  <c r="N23" i="4"/>
  <c r="M24" i="4"/>
  <c r="N24" i="4"/>
  <c r="M25" i="4"/>
  <c r="N25" i="4"/>
  <c r="M26" i="4"/>
  <c r="N26" i="4"/>
  <c r="M27" i="4"/>
  <c r="N27" i="4"/>
  <c r="M28" i="4"/>
  <c r="N28" i="4"/>
  <c r="M29" i="4"/>
  <c r="N29" i="4"/>
  <c r="M30" i="4"/>
  <c r="N30" i="4"/>
  <c r="M31" i="4"/>
  <c r="N31" i="4"/>
  <c r="M32" i="4"/>
  <c r="N32" i="4"/>
  <c r="M33" i="4"/>
  <c r="N33" i="4"/>
  <c r="M34" i="4"/>
  <c r="N34" i="4"/>
  <c r="M35" i="4"/>
  <c r="N35" i="4"/>
  <c r="M36" i="4"/>
  <c r="N36" i="4"/>
  <c r="M37" i="4"/>
  <c r="N37" i="4"/>
  <c r="M38" i="4"/>
  <c r="N38" i="4"/>
  <c r="M39" i="4"/>
  <c r="N39" i="4"/>
  <c r="M40" i="4"/>
  <c r="N40" i="4"/>
  <c r="M41" i="4"/>
  <c r="N41" i="4"/>
  <c r="M42" i="4"/>
  <c r="N42" i="4"/>
  <c r="M43" i="4"/>
  <c r="N43" i="4"/>
  <c r="M44" i="4"/>
  <c r="N44" i="4"/>
  <c r="M45" i="4"/>
  <c r="N45" i="4"/>
  <c r="M46" i="4"/>
  <c r="N46" i="4"/>
  <c r="M47" i="4"/>
  <c r="N47" i="4"/>
  <c r="M48" i="4"/>
  <c r="N48" i="4"/>
  <c r="M49" i="4"/>
  <c r="N49" i="4"/>
  <c r="M50" i="4"/>
  <c r="N50" i="4"/>
  <c r="M51" i="4"/>
  <c r="N51" i="4"/>
  <c r="M52" i="4"/>
  <c r="N52" i="4"/>
  <c r="M53" i="4"/>
  <c r="N53" i="4"/>
  <c r="M54" i="4"/>
  <c r="N54" i="4"/>
  <c r="M55" i="4"/>
  <c r="N55" i="4"/>
  <c r="M56" i="4"/>
  <c r="N56" i="4"/>
  <c r="M57" i="4"/>
  <c r="N57" i="4"/>
  <c r="M58" i="4"/>
  <c r="N58" i="4"/>
  <c r="M59" i="4"/>
  <c r="N59" i="4"/>
  <c r="M60" i="4"/>
  <c r="N60" i="4"/>
  <c r="M61" i="4"/>
  <c r="N61" i="4"/>
  <c r="M62" i="4"/>
  <c r="N62" i="4"/>
  <c r="M63" i="4"/>
  <c r="N63" i="4"/>
  <c r="M64" i="4"/>
  <c r="N64" i="4"/>
  <c r="M65" i="4"/>
  <c r="N65" i="4"/>
  <c r="M66" i="4"/>
  <c r="N66" i="4"/>
  <c r="M67" i="4"/>
  <c r="N67" i="4"/>
  <c r="M68" i="4"/>
  <c r="N68" i="4"/>
  <c r="M69" i="4"/>
  <c r="N69" i="4"/>
  <c r="M70" i="4"/>
  <c r="N70" i="4"/>
  <c r="M71" i="4"/>
  <c r="N71" i="4"/>
  <c r="M72" i="4"/>
  <c r="N72" i="4"/>
  <c r="M73" i="4"/>
  <c r="N73" i="4"/>
  <c r="M74" i="4"/>
  <c r="N74" i="4"/>
  <c r="M75" i="4"/>
  <c r="N75" i="4"/>
  <c r="M76" i="4"/>
  <c r="N76" i="4"/>
  <c r="M77" i="4"/>
  <c r="N77" i="4"/>
  <c r="M78" i="4"/>
  <c r="N78" i="4"/>
  <c r="M79" i="4"/>
  <c r="N79" i="4"/>
  <c r="M80" i="4"/>
  <c r="N80" i="4"/>
  <c r="M81" i="4"/>
  <c r="N81" i="4"/>
  <c r="M82" i="4"/>
  <c r="N82" i="4"/>
  <c r="M83" i="4"/>
  <c r="N83" i="4"/>
  <c r="M84" i="4"/>
  <c r="N84" i="4"/>
  <c r="M85" i="4"/>
  <c r="N85" i="4"/>
  <c r="M86" i="4"/>
  <c r="N86" i="4"/>
  <c r="M87" i="4"/>
  <c r="N87" i="4"/>
  <c r="M88" i="4"/>
  <c r="N88" i="4"/>
  <c r="M89" i="4"/>
  <c r="N89" i="4"/>
  <c r="M90" i="4"/>
  <c r="N90" i="4"/>
  <c r="M91" i="4"/>
  <c r="N91" i="4"/>
  <c r="M92" i="4"/>
  <c r="N92" i="4"/>
  <c r="M93" i="4"/>
  <c r="N93" i="4"/>
  <c r="M94" i="4"/>
  <c r="N94" i="4"/>
  <c r="M95" i="4"/>
  <c r="N95" i="4"/>
  <c r="M96" i="4"/>
  <c r="N96" i="4"/>
  <c r="M97" i="4"/>
  <c r="N97" i="4"/>
  <c r="M98" i="4"/>
  <c r="N98" i="4"/>
  <c r="M99" i="4"/>
  <c r="N99" i="4"/>
  <c r="M100" i="4"/>
  <c r="N100" i="4"/>
  <c r="M101" i="4"/>
  <c r="N101" i="4"/>
  <c r="M102" i="4"/>
  <c r="N102" i="4"/>
  <c r="M103" i="4"/>
  <c r="N103" i="4"/>
  <c r="M104" i="4"/>
  <c r="N104" i="4"/>
  <c r="M105" i="4"/>
  <c r="N105" i="4"/>
  <c r="M106" i="4"/>
  <c r="N106" i="4"/>
  <c r="M107" i="4"/>
  <c r="N107" i="4"/>
  <c r="M108" i="4"/>
  <c r="N108" i="4"/>
  <c r="M109" i="4"/>
  <c r="N109" i="4"/>
  <c r="M110" i="4"/>
  <c r="N110" i="4"/>
  <c r="M111" i="4"/>
  <c r="N111" i="4"/>
  <c r="M112" i="4"/>
  <c r="N112" i="4"/>
  <c r="M113" i="4"/>
  <c r="N113" i="4"/>
  <c r="M114" i="4"/>
  <c r="N114" i="4"/>
  <c r="M115" i="4"/>
  <c r="N115" i="4"/>
  <c r="M116" i="4"/>
  <c r="N116" i="4"/>
  <c r="M117" i="4"/>
  <c r="N117" i="4"/>
  <c r="M118" i="4"/>
  <c r="N118" i="4"/>
  <c r="M119" i="4"/>
  <c r="N119" i="4"/>
  <c r="M120" i="4"/>
  <c r="N120" i="4"/>
  <c r="M121" i="4"/>
  <c r="N121" i="4"/>
  <c r="M122" i="4"/>
  <c r="N122" i="4"/>
  <c r="M123" i="4"/>
  <c r="N123" i="4"/>
  <c r="M124" i="4"/>
  <c r="N124" i="4"/>
  <c r="M125" i="4"/>
  <c r="N125" i="4"/>
  <c r="M126" i="4"/>
  <c r="N126" i="4"/>
  <c r="M127" i="4"/>
  <c r="N127" i="4"/>
  <c r="M128" i="4"/>
  <c r="N128" i="4"/>
  <c r="M129" i="4"/>
  <c r="N129" i="4"/>
  <c r="M130" i="4"/>
  <c r="N130" i="4"/>
  <c r="M131" i="4"/>
  <c r="N131" i="4"/>
  <c r="M132" i="4"/>
  <c r="N132" i="4"/>
  <c r="M133" i="4"/>
  <c r="N133" i="4"/>
  <c r="M134" i="4"/>
  <c r="N134" i="4"/>
  <c r="M135" i="4"/>
  <c r="N135" i="4"/>
  <c r="M136" i="4"/>
  <c r="N136" i="4"/>
  <c r="M137" i="4"/>
  <c r="N137" i="4"/>
  <c r="M138" i="4"/>
  <c r="N138" i="4"/>
  <c r="M139" i="4"/>
  <c r="N139" i="4"/>
  <c r="M140" i="4"/>
  <c r="N140" i="4"/>
  <c r="M141" i="4"/>
  <c r="N141" i="4"/>
  <c r="M142" i="4"/>
  <c r="N142" i="4"/>
  <c r="M143" i="4"/>
  <c r="N143" i="4"/>
  <c r="M144" i="4"/>
  <c r="N144" i="4"/>
  <c r="M145" i="4"/>
  <c r="N145" i="4"/>
  <c r="M146" i="4"/>
  <c r="N146" i="4"/>
  <c r="M147" i="4"/>
  <c r="N147" i="4"/>
  <c r="M148" i="4"/>
  <c r="N148" i="4"/>
  <c r="M149" i="4"/>
  <c r="N149" i="4"/>
  <c r="M150" i="4"/>
  <c r="N150" i="4"/>
  <c r="M151" i="4"/>
  <c r="N151" i="4"/>
  <c r="M152" i="4"/>
  <c r="N152" i="4"/>
  <c r="M153" i="4"/>
  <c r="N153" i="4"/>
  <c r="M154" i="4"/>
  <c r="N154" i="4"/>
  <c r="M155" i="4"/>
  <c r="N155" i="4"/>
  <c r="M156" i="4"/>
  <c r="N156" i="4"/>
  <c r="M157" i="4"/>
  <c r="N157" i="4"/>
  <c r="M158" i="4"/>
  <c r="N158" i="4"/>
  <c r="M159" i="4"/>
  <c r="N159" i="4"/>
  <c r="M160" i="4"/>
  <c r="N160" i="4"/>
  <c r="M161" i="4"/>
  <c r="N161" i="4"/>
  <c r="M162" i="4"/>
  <c r="N162" i="4"/>
  <c r="M163" i="4"/>
  <c r="N163" i="4"/>
  <c r="M164" i="4"/>
  <c r="N164" i="4"/>
  <c r="M165" i="4"/>
  <c r="N165" i="4"/>
  <c r="M166" i="4"/>
  <c r="N166" i="4"/>
  <c r="M167" i="4"/>
  <c r="N167" i="4"/>
  <c r="M168" i="4"/>
  <c r="N168" i="4"/>
  <c r="M169" i="4"/>
  <c r="N169" i="4"/>
  <c r="M170" i="4"/>
  <c r="N170" i="4"/>
  <c r="M171" i="4"/>
  <c r="N171" i="4"/>
  <c r="M172" i="4"/>
  <c r="N172" i="4"/>
  <c r="M173" i="4"/>
  <c r="N173" i="4"/>
  <c r="M174" i="4"/>
  <c r="N174" i="4"/>
  <c r="M175" i="4"/>
  <c r="N175" i="4"/>
  <c r="M176" i="4"/>
  <c r="N176" i="4"/>
  <c r="M177" i="4"/>
  <c r="N177" i="4"/>
  <c r="M178" i="4"/>
  <c r="N178" i="4"/>
  <c r="M179" i="4"/>
  <c r="N179" i="4"/>
  <c r="M180" i="4"/>
  <c r="N180" i="4"/>
  <c r="M181" i="4"/>
  <c r="N181" i="4"/>
  <c r="M182" i="4"/>
  <c r="N182" i="4"/>
  <c r="M183" i="4"/>
  <c r="N183" i="4"/>
  <c r="M184" i="4"/>
  <c r="N184" i="4"/>
  <c r="M185" i="4"/>
  <c r="N185" i="4"/>
  <c r="M186" i="4"/>
  <c r="N186" i="4"/>
  <c r="M187" i="4"/>
  <c r="N187" i="4"/>
  <c r="M188" i="4"/>
  <c r="N188" i="4"/>
  <c r="M189" i="4"/>
  <c r="N189" i="4"/>
  <c r="M190" i="4"/>
  <c r="N190" i="4"/>
  <c r="M191" i="4"/>
  <c r="N191" i="4"/>
  <c r="M192" i="4"/>
  <c r="N192" i="4"/>
  <c r="M193" i="4"/>
  <c r="N193" i="4"/>
  <c r="M194" i="4"/>
  <c r="N194" i="4"/>
  <c r="M195" i="4"/>
  <c r="N195" i="4"/>
  <c r="M196" i="4"/>
  <c r="N196" i="4"/>
  <c r="M197" i="4"/>
  <c r="N197" i="4"/>
  <c r="M198" i="4"/>
  <c r="N198" i="4"/>
  <c r="M199" i="4"/>
  <c r="N199" i="4"/>
  <c r="M200" i="4"/>
  <c r="N200" i="4"/>
  <c r="M201" i="4"/>
  <c r="N201" i="4"/>
  <c r="M202" i="4"/>
  <c r="N202" i="4"/>
  <c r="M203" i="4"/>
  <c r="N203" i="4"/>
  <c r="M204" i="4"/>
  <c r="N204" i="4"/>
  <c r="M205" i="4"/>
  <c r="N205" i="4"/>
  <c r="M206" i="4"/>
  <c r="N206" i="4"/>
  <c r="M207" i="4"/>
  <c r="N207" i="4"/>
  <c r="M208" i="4"/>
  <c r="N208" i="4"/>
  <c r="M209" i="4"/>
  <c r="N209" i="4"/>
  <c r="M210" i="4"/>
  <c r="N210" i="4"/>
  <c r="M211" i="4"/>
  <c r="N211" i="4"/>
  <c r="M212" i="4"/>
  <c r="N212" i="4"/>
  <c r="M213" i="4"/>
  <c r="N213" i="4"/>
  <c r="M214" i="4"/>
  <c r="N214" i="4"/>
  <c r="M215" i="4"/>
  <c r="N215" i="4"/>
  <c r="M216" i="4"/>
  <c r="N216" i="4"/>
  <c r="M217" i="4"/>
  <c r="N217" i="4"/>
  <c r="M218" i="4"/>
  <c r="N218" i="4"/>
  <c r="M219" i="4"/>
  <c r="N219" i="4"/>
  <c r="M220" i="4"/>
  <c r="N220" i="4"/>
  <c r="M221" i="4"/>
  <c r="N221" i="4"/>
  <c r="M222" i="4"/>
  <c r="N222" i="4"/>
  <c r="M223" i="4"/>
  <c r="N223" i="4"/>
  <c r="M224" i="4"/>
  <c r="N224" i="4"/>
  <c r="M225" i="4"/>
  <c r="N225" i="4"/>
  <c r="M226" i="4"/>
  <c r="N226" i="4"/>
  <c r="M227" i="4"/>
  <c r="N227" i="4"/>
  <c r="M228" i="4"/>
  <c r="N228" i="4"/>
  <c r="M229" i="4"/>
  <c r="N229" i="4"/>
  <c r="M230" i="4"/>
  <c r="N230" i="4"/>
  <c r="M231" i="4"/>
  <c r="N231" i="4"/>
  <c r="M232" i="4"/>
  <c r="N232" i="4"/>
  <c r="M233" i="4"/>
  <c r="N233" i="4"/>
  <c r="M234" i="4"/>
  <c r="N234" i="4"/>
  <c r="M235" i="4"/>
  <c r="N235" i="4"/>
  <c r="M236" i="4"/>
  <c r="N236" i="4"/>
  <c r="M237" i="4"/>
  <c r="N237" i="4"/>
  <c r="M238" i="4"/>
  <c r="N238" i="4"/>
  <c r="M239" i="4"/>
  <c r="N239" i="4"/>
  <c r="M240" i="4"/>
  <c r="N240" i="4"/>
  <c r="M241" i="4"/>
  <c r="N241" i="4"/>
  <c r="M242" i="4"/>
  <c r="N242" i="4"/>
  <c r="M243" i="4"/>
  <c r="N243" i="4"/>
  <c r="M244" i="4"/>
  <c r="N244" i="4"/>
  <c r="M245" i="4"/>
  <c r="N245" i="4"/>
  <c r="M246" i="4"/>
  <c r="N246" i="4"/>
  <c r="M247" i="4"/>
  <c r="N247" i="4"/>
  <c r="M248" i="4"/>
  <c r="N248" i="4"/>
  <c r="M249" i="4"/>
  <c r="N249" i="4"/>
  <c r="M250" i="4"/>
  <c r="N250" i="4"/>
  <c r="M251" i="4"/>
  <c r="N251" i="4"/>
  <c r="M252" i="4"/>
  <c r="N252" i="4"/>
  <c r="M253" i="4"/>
  <c r="N253" i="4"/>
  <c r="M254" i="4"/>
  <c r="N254" i="4"/>
  <c r="M255" i="4"/>
  <c r="N255" i="4"/>
  <c r="M256" i="4"/>
  <c r="N256" i="4"/>
  <c r="M257" i="4"/>
  <c r="N257" i="4"/>
  <c r="M258" i="4"/>
  <c r="N258" i="4"/>
  <c r="M259" i="4"/>
  <c r="N259" i="4"/>
  <c r="M260" i="4"/>
  <c r="N260" i="4"/>
  <c r="M261" i="4"/>
  <c r="N261" i="4"/>
  <c r="M262" i="4"/>
  <c r="N262" i="4"/>
  <c r="M263" i="4"/>
  <c r="N263" i="4"/>
  <c r="M264" i="4"/>
  <c r="N264" i="4"/>
  <c r="M265" i="4"/>
  <c r="N265" i="4"/>
  <c r="M266" i="4"/>
  <c r="N266" i="4"/>
  <c r="M267" i="4"/>
  <c r="N267" i="4"/>
  <c r="M268" i="4"/>
  <c r="N268" i="4"/>
  <c r="M269" i="4"/>
  <c r="N269" i="4"/>
  <c r="M270" i="4"/>
  <c r="N270" i="4"/>
  <c r="M271" i="4"/>
  <c r="N271" i="4"/>
  <c r="M272" i="4"/>
  <c r="N272" i="4"/>
  <c r="M273" i="4"/>
  <c r="N273" i="4"/>
  <c r="M274" i="4"/>
  <c r="N274" i="4"/>
  <c r="M275" i="4"/>
  <c r="N275" i="4"/>
  <c r="M276" i="4"/>
  <c r="N276" i="4"/>
  <c r="M277" i="4"/>
  <c r="N277" i="4"/>
  <c r="M278" i="4"/>
  <c r="N278" i="4"/>
  <c r="M279" i="4"/>
  <c r="N279" i="4"/>
  <c r="M280" i="4"/>
  <c r="N280" i="4"/>
  <c r="M281" i="4"/>
  <c r="N281" i="4"/>
  <c r="M282" i="4"/>
  <c r="N282" i="4"/>
  <c r="M283" i="4"/>
  <c r="N283" i="4"/>
  <c r="M284" i="4"/>
  <c r="N284" i="4"/>
  <c r="M285" i="4"/>
  <c r="N285" i="4"/>
  <c r="M286" i="4"/>
  <c r="N286" i="4"/>
  <c r="M287" i="4"/>
  <c r="N287" i="4"/>
  <c r="M288" i="4"/>
  <c r="N288" i="4"/>
  <c r="M289" i="4"/>
  <c r="N289" i="4"/>
  <c r="M290" i="4"/>
  <c r="N290" i="4"/>
  <c r="M291" i="4"/>
  <c r="N291" i="4"/>
  <c r="M292" i="4"/>
  <c r="N292" i="4"/>
  <c r="M293" i="4"/>
  <c r="N293" i="4"/>
  <c r="M294" i="4"/>
  <c r="N294" i="4"/>
  <c r="M295" i="4"/>
  <c r="N295" i="4"/>
  <c r="M296" i="4"/>
  <c r="N296" i="4"/>
  <c r="M297" i="4"/>
  <c r="N297" i="4"/>
  <c r="M298" i="4"/>
  <c r="N298" i="4"/>
  <c r="M299" i="4"/>
  <c r="N299" i="4"/>
  <c r="M300" i="4"/>
  <c r="N300" i="4"/>
  <c r="M301" i="4"/>
  <c r="N301" i="4"/>
  <c r="M302" i="4"/>
  <c r="N302" i="4"/>
  <c r="M303" i="4"/>
  <c r="N303" i="4"/>
  <c r="M304" i="4"/>
  <c r="N304" i="4"/>
  <c r="M305" i="4"/>
  <c r="N305" i="4"/>
  <c r="M306" i="4"/>
  <c r="N306" i="4"/>
  <c r="M307" i="4"/>
  <c r="N307" i="4"/>
  <c r="M308" i="4"/>
  <c r="N308" i="4"/>
  <c r="M309" i="4"/>
  <c r="N309" i="4"/>
  <c r="M310" i="4"/>
  <c r="N310" i="4"/>
  <c r="M311" i="4"/>
  <c r="N311" i="4"/>
  <c r="M312" i="4"/>
  <c r="N312" i="4"/>
  <c r="M313" i="4"/>
  <c r="N313" i="4"/>
  <c r="M314" i="4"/>
  <c r="N314" i="4"/>
  <c r="M315" i="4"/>
  <c r="N315" i="4"/>
  <c r="M316" i="4"/>
  <c r="N316" i="4"/>
  <c r="M317" i="4"/>
  <c r="N317" i="4"/>
  <c r="M318" i="4"/>
  <c r="N318" i="4"/>
  <c r="M319" i="4"/>
  <c r="N319" i="4"/>
  <c r="M320" i="4"/>
  <c r="N320" i="4"/>
  <c r="M321" i="4"/>
  <c r="N321" i="4"/>
  <c r="M322" i="4"/>
  <c r="N322" i="4"/>
  <c r="M323" i="4"/>
  <c r="N323" i="4"/>
  <c r="M324" i="4"/>
  <c r="N324" i="4"/>
  <c r="M325" i="4"/>
  <c r="N325" i="4"/>
  <c r="M326" i="4"/>
  <c r="N326" i="4"/>
  <c r="M327" i="4"/>
  <c r="N327" i="4"/>
  <c r="M328" i="4"/>
  <c r="N328" i="4"/>
  <c r="M329" i="4"/>
  <c r="N329" i="4"/>
  <c r="M330" i="4"/>
  <c r="N330" i="4"/>
  <c r="M331" i="4"/>
  <c r="N331" i="4"/>
  <c r="M332" i="4"/>
  <c r="N332" i="4"/>
  <c r="M333" i="4"/>
  <c r="N333" i="4"/>
  <c r="M334" i="4"/>
  <c r="N334" i="4"/>
  <c r="M335" i="4"/>
  <c r="N335" i="4"/>
  <c r="M336" i="4"/>
  <c r="N336" i="4"/>
  <c r="M337" i="4"/>
  <c r="N337" i="4"/>
  <c r="M338" i="4"/>
  <c r="N338" i="4"/>
  <c r="M339" i="4"/>
  <c r="N339" i="4"/>
  <c r="M340" i="4"/>
  <c r="N340" i="4"/>
  <c r="M341" i="4"/>
  <c r="N341" i="4"/>
  <c r="M342" i="4"/>
  <c r="N342" i="4"/>
  <c r="M343" i="4"/>
  <c r="N343" i="4"/>
  <c r="M344" i="4"/>
  <c r="N344" i="4"/>
  <c r="M345" i="4"/>
  <c r="N345" i="4"/>
  <c r="M346" i="4"/>
  <c r="N346" i="4"/>
  <c r="M347" i="4"/>
  <c r="N347" i="4"/>
  <c r="M348" i="4"/>
  <c r="N348" i="4"/>
  <c r="M349" i="4"/>
  <c r="N349" i="4"/>
  <c r="M350" i="4"/>
  <c r="N350" i="4"/>
  <c r="M351" i="4"/>
  <c r="N351" i="4"/>
  <c r="M352" i="4"/>
  <c r="N352" i="4"/>
  <c r="M353" i="4"/>
  <c r="N353" i="4"/>
  <c r="M354" i="4"/>
  <c r="N354" i="4"/>
  <c r="M355" i="4"/>
  <c r="N355" i="4"/>
  <c r="M356" i="4"/>
  <c r="N356" i="4"/>
  <c r="M357" i="4"/>
  <c r="N357" i="4"/>
  <c r="M358" i="4"/>
  <c r="N358" i="4"/>
  <c r="M359" i="4"/>
  <c r="N359" i="4"/>
  <c r="M360" i="4"/>
  <c r="N360" i="4"/>
  <c r="M361" i="4"/>
  <c r="N361" i="4"/>
  <c r="M362" i="4"/>
  <c r="N362" i="4"/>
  <c r="M363" i="4"/>
  <c r="N363" i="4"/>
  <c r="M364" i="4"/>
  <c r="N364" i="4"/>
  <c r="M365" i="4"/>
  <c r="N365" i="4"/>
  <c r="M366" i="4"/>
  <c r="N366" i="4"/>
  <c r="M367" i="4"/>
  <c r="N367" i="4"/>
  <c r="M368" i="4"/>
  <c r="N368" i="4"/>
  <c r="M369" i="4"/>
  <c r="N369" i="4"/>
  <c r="M370" i="4"/>
  <c r="N370" i="4"/>
  <c r="M371" i="4"/>
  <c r="N371" i="4"/>
  <c r="M372" i="4"/>
  <c r="N372" i="4"/>
  <c r="M373" i="4"/>
  <c r="N373" i="4"/>
  <c r="M374" i="4"/>
  <c r="N374" i="4"/>
  <c r="M375" i="4"/>
  <c r="N375" i="4"/>
  <c r="M376" i="4"/>
  <c r="N376" i="4"/>
  <c r="M377" i="4"/>
  <c r="N377" i="4"/>
  <c r="M378" i="4"/>
  <c r="N378" i="4"/>
  <c r="M379" i="4"/>
  <c r="N379" i="4"/>
  <c r="M380" i="4"/>
  <c r="N380" i="4"/>
  <c r="M381" i="4"/>
  <c r="N381" i="4"/>
  <c r="M382" i="4"/>
  <c r="N382" i="4"/>
  <c r="M383" i="4"/>
  <c r="N383" i="4"/>
  <c r="M384" i="4"/>
  <c r="N384" i="4"/>
  <c r="M385" i="4"/>
  <c r="N385" i="4"/>
  <c r="M386" i="4"/>
  <c r="N386" i="4"/>
  <c r="M387" i="4"/>
  <c r="N387" i="4"/>
  <c r="M388" i="4"/>
  <c r="N388" i="4"/>
  <c r="M389" i="4"/>
  <c r="N389" i="4"/>
  <c r="M390" i="4"/>
  <c r="N390" i="4"/>
  <c r="M391" i="4"/>
  <c r="N391" i="4"/>
  <c r="M392" i="4"/>
  <c r="N392" i="4"/>
  <c r="M393" i="4"/>
  <c r="N393" i="4"/>
  <c r="M394" i="4"/>
  <c r="N394" i="4"/>
  <c r="M395" i="4"/>
  <c r="N395" i="4"/>
  <c r="M396" i="4"/>
  <c r="N396" i="4"/>
  <c r="M397" i="4"/>
  <c r="N397" i="4"/>
  <c r="M398" i="4"/>
  <c r="N398" i="4"/>
  <c r="M399" i="4"/>
  <c r="N399" i="4"/>
  <c r="M400" i="4"/>
  <c r="N400" i="4"/>
  <c r="M401" i="4"/>
  <c r="N401" i="4"/>
  <c r="M402" i="4"/>
  <c r="N402" i="4"/>
  <c r="M403" i="4"/>
  <c r="N403" i="4"/>
  <c r="M404" i="4"/>
  <c r="N404" i="4"/>
  <c r="M405" i="4"/>
  <c r="N405" i="4"/>
  <c r="M406" i="4"/>
  <c r="N406" i="4"/>
  <c r="M407" i="4"/>
  <c r="N407" i="4"/>
  <c r="M408" i="4"/>
  <c r="N408" i="4"/>
  <c r="M409" i="4"/>
  <c r="N409" i="4"/>
  <c r="M410" i="4"/>
  <c r="N410" i="4"/>
  <c r="M411" i="4"/>
  <c r="N411" i="4"/>
  <c r="M412" i="4"/>
  <c r="N412" i="4"/>
  <c r="M413" i="4"/>
  <c r="N413" i="4"/>
  <c r="M414" i="4"/>
  <c r="N414" i="4"/>
  <c r="M415" i="4"/>
  <c r="N415" i="4"/>
  <c r="M416" i="4"/>
  <c r="N416" i="4"/>
  <c r="M417" i="4"/>
  <c r="N417" i="4"/>
  <c r="M418" i="4"/>
  <c r="N418" i="4"/>
  <c r="M419" i="4"/>
  <c r="N419" i="4"/>
  <c r="M420" i="4"/>
  <c r="N420" i="4"/>
  <c r="M421" i="4"/>
  <c r="N421" i="4"/>
  <c r="M422" i="4"/>
  <c r="N422" i="4"/>
  <c r="M423" i="4"/>
  <c r="N423" i="4"/>
  <c r="M424" i="4"/>
  <c r="N424" i="4"/>
  <c r="M425" i="4"/>
  <c r="N425" i="4"/>
  <c r="M426" i="4"/>
  <c r="N426" i="4"/>
  <c r="M427" i="4"/>
  <c r="N427" i="4"/>
  <c r="M428" i="4"/>
  <c r="N428" i="4"/>
  <c r="M429" i="4"/>
  <c r="N429" i="4"/>
  <c r="M430" i="4"/>
  <c r="N430" i="4"/>
  <c r="M431" i="4"/>
  <c r="N431" i="4"/>
  <c r="M432" i="4"/>
  <c r="N432" i="4"/>
  <c r="M433" i="4"/>
  <c r="N433" i="4"/>
  <c r="M434" i="4"/>
  <c r="N434" i="4"/>
  <c r="M435" i="4"/>
  <c r="N435" i="4"/>
  <c r="M436" i="4"/>
  <c r="N436" i="4"/>
  <c r="M437" i="4"/>
  <c r="N437" i="4"/>
  <c r="M438" i="4"/>
  <c r="N438" i="4"/>
  <c r="M439" i="4"/>
  <c r="N439" i="4"/>
  <c r="M440" i="4"/>
  <c r="N440" i="4"/>
  <c r="M441" i="4"/>
  <c r="N441" i="4"/>
  <c r="M442" i="4"/>
  <c r="N442" i="4"/>
  <c r="M443" i="4"/>
  <c r="N443" i="4"/>
  <c r="M444" i="4"/>
  <c r="N444" i="4"/>
  <c r="M445" i="4"/>
  <c r="N445" i="4"/>
  <c r="M446" i="4"/>
  <c r="N446" i="4"/>
  <c r="M447" i="4"/>
  <c r="N447" i="4"/>
  <c r="M448" i="4"/>
  <c r="N448" i="4"/>
  <c r="M449" i="4"/>
  <c r="N449" i="4"/>
  <c r="M450" i="4"/>
  <c r="N450" i="4"/>
  <c r="M451" i="4"/>
  <c r="N451" i="4"/>
  <c r="M452" i="4"/>
  <c r="N452" i="4"/>
  <c r="M453" i="4"/>
  <c r="N453" i="4"/>
  <c r="M454" i="4"/>
  <c r="N454" i="4"/>
  <c r="M455" i="4"/>
  <c r="N455" i="4"/>
  <c r="M456" i="4"/>
  <c r="N456" i="4"/>
  <c r="M457" i="4"/>
  <c r="N457" i="4"/>
  <c r="M458" i="4"/>
  <c r="N458" i="4"/>
  <c r="M459" i="4"/>
  <c r="N459" i="4"/>
  <c r="M460" i="4"/>
  <c r="N460" i="4"/>
  <c r="M461" i="4"/>
  <c r="N461" i="4"/>
  <c r="M462" i="4"/>
  <c r="N462" i="4"/>
  <c r="M463" i="4"/>
  <c r="N463" i="4"/>
  <c r="M464" i="4"/>
  <c r="N464" i="4"/>
  <c r="M465" i="4"/>
  <c r="N465" i="4"/>
  <c r="M466" i="4"/>
  <c r="N466" i="4"/>
  <c r="M467" i="4"/>
  <c r="N467" i="4"/>
  <c r="M468" i="4"/>
  <c r="N468" i="4"/>
  <c r="M469" i="4"/>
  <c r="N469" i="4"/>
  <c r="M470" i="4"/>
  <c r="N470" i="4"/>
  <c r="M471" i="4"/>
  <c r="N471" i="4"/>
  <c r="M472" i="4"/>
  <c r="N472" i="4"/>
  <c r="M473" i="4"/>
  <c r="N473" i="4"/>
  <c r="M474" i="4"/>
  <c r="N474" i="4"/>
  <c r="M475" i="4"/>
  <c r="N475" i="4"/>
  <c r="M476" i="4"/>
  <c r="N476" i="4"/>
  <c r="M477" i="4"/>
  <c r="N477" i="4"/>
  <c r="M478" i="4"/>
  <c r="N478" i="4"/>
  <c r="M479" i="4"/>
  <c r="N479" i="4"/>
  <c r="M480" i="4"/>
  <c r="N480" i="4"/>
  <c r="M481" i="4"/>
  <c r="N481" i="4"/>
  <c r="M482" i="4"/>
  <c r="N482" i="4"/>
  <c r="M483" i="4"/>
  <c r="N483" i="4"/>
  <c r="M484" i="4"/>
  <c r="N484" i="4"/>
  <c r="M485" i="4"/>
  <c r="N485" i="4"/>
  <c r="M486" i="4"/>
  <c r="N486" i="4"/>
  <c r="M487" i="4"/>
  <c r="N487" i="4"/>
  <c r="M488" i="4"/>
  <c r="N488" i="4"/>
  <c r="M489" i="4"/>
  <c r="N489" i="4"/>
  <c r="M490" i="4"/>
  <c r="N490" i="4"/>
  <c r="M491" i="4"/>
  <c r="N491" i="4"/>
  <c r="M492" i="4"/>
  <c r="N492" i="4"/>
  <c r="M493" i="4"/>
  <c r="N493" i="4"/>
  <c r="M494" i="4"/>
  <c r="N494" i="4"/>
  <c r="M495" i="4"/>
  <c r="N495" i="4"/>
  <c r="M496" i="4"/>
  <c r="N496" i="4"/>
  <c r="M497" i="4"/>
  <c r="N497" i="4"/>
  <c r="M498" i="4"/>
  <c r="N498" i="4"/>
  <c r="M499" i="4"/>
  <c r="N499" i="4"/>
  <c r="M500" i="4"/>
  <c r="N500" i="4"/>
  <c r="M501" i="4"/>
  <c r="N501" i="4"/>
  <c r="M502" i="4"/>
  <c r="N502" i="4"/>
  <c r="M503" i="4"/>
  <c r="N503" i="4"/>
  <c r="M504" i="4"/>
  <c r="N504" i="4"/>
  <c r="M505" i="4"/>
  <c r="N505" i="4"/>
  <c r="M506" i="4"/>
  <c r="N506" i="4"/>
  <c r="M507" i="4"/>
  <c r="N507" i="4"/>
  <c r="M508" i="4"/>
  <c r="N508" i="4"/>
  <c r="M509" i="4"/>
  <c r="N509" i="4"/>
  <c r="M510" i="4"/>
  <c r="N510" i="4"/>
  <c r="M511" i="4"/>
  <c r="N511" i="4"/>
  <c r="M512" i="4"/>
  <c r="N512" i="4"/>
  <c r="M513" i="4"/>
  <c r="N513" i="4"/>
  <c r="M514" i="4"/>
  <c r="N514" i="4"/>
  <c r="M515" i="4"/>
  <c r="N515" i="4"/>
  <c r="M516" i="4"/>
  <c r="N516" i="4"/>
  <c r="M517" i="4"/>
  <c r="N517" i="4"/>
  <c r="M518" i="4"/>
  <c r="N518" i="4"/>
  <c r="M519" i="4"/>
  <c r="N519" i="4"/>
  <c r="M520" i="4"/>
  <c r="N520" i="4"/>
  <c r="M521" i="4"/>
  <c r="N521" i="4"/>
  <c r="M522" i="4"/>
  <c r="N522" i="4"/>
  <c r="M523" i="4"/>
  <c r="N523" i="4"/>
  <c r="M524" i="4"/>
  <c r="N524" i="4"/>
  <c r="M525" i="4"/>
  <c r="N525" i="4"/>
  <c r="M526" i="4"/>
  <c r="N526" i="4"/>
  <c r="M527" i="4"/>
  <c r="N527" i="4"/>
  <c r="M528" i="4"/>
  <c r="N528" i="4"/>
  <c r="M529" i="4"/>
  <c r="N529" i="4"/>
  <c r="M530" i="4"/>
  <c r="N530" i="4"/>
  <c r="M531" i="4"/>
  <c r="N531" i="4"/>
  <c r="M532" i="4"/>
  <c r="N532" i="4"/>
  <c r="M533" i="4"/>
  <c r="N533" i="4"/>
  <c r="M534" i="4"/>
  <c r="N534" i="4"/>
  <c r="M535" i="4"/>
  <c r="N535" i="4"/>
  <c r="M536" i="4"/>
  <c r="N536" i="4"/>
  <c r="M537" i="4"/>
  <c r="N537" i="4"/>
  <c r="M538" i="4"/>
  <c r="N538" i="4"/>
  <c r="M539" i="4"/>
  <c r="N539" i="4"/>
  <c r="M540" i="4"/>
  <c r="N540" i="4"/>
  <c r="M541" i="4"/>
  <c r="N541" i="4"/>
  <c r="M542" i="4"/>
  <c r="N542" i="4"/>
  <c r="M543" i="4"/>
  <c r="N543" i="4"/>
  <c r="M544" i="4"/>
  <c r="N544" i="4"/>
  <c r="M545" i="4"/>
  <c r="N545" i="4"/>
  <c r="M546" i="4"/>
  <c r="N546" i="4"/>
  <c r="M547" i="4"/>
  <c r="N547" i="4"/>
  <c r="M548" i="4"/>
  <c r="N548" i="4"/>
  <c r="M549" i="4"/>
  <c r="N549" i="4"/>
  <c r="M550" i="4"/>
  <c r="N550" i="4"/>
  <c r="M551" i="4"/>
  <c r="N551" i="4"/>
  <c r="M552" i="4"/>
  <c r="N552" i="4"/>
  <c r="M553" i="4"/>
  <c r="N553" i="4"/>
  <c r="M554" i="4"/>
  <c r="N554" i="4"/>
  <c r="M555" i="4"/>
  <c r="N555" i="4"/>
  <c r="M556" i="4"/>
  <c r="N556" i="4"/>
  <c r="M557" i="4"/>
  <c r="N557" i="4"/>
  <c r="M558" i="4"/>
  <c r="N558" i="4"/>
  <c r="M559" i="4"/>
  <c r="N559" i="4"/>
  <c r="M560" i="4"/>
  <c r="N560" i="4"/>
  <c r="M561" i="4"/>
  <c r="N561" i="4"/>
  <c r="M562" i="4"/>
  <c r="N562" i="4"/>
  <c r="M563" i="4"/>
  <c r="N563" i="4"/>
  <c r="M564" i="4"/>
  <c r="N564" i="4"/>
  <c r="M565" i="4"/>
  <c r="N565" i="4"/>
  <c r="M566" i="4"/>
  <c r="N566" i="4"/>
  <c r="M567" i="4"/>
  <c r="N567" i="4"/>
  <c r="M568" i="4"/>
  <c r="N568" i="4"/>
  <c r="M569" i="4"/>
  <c r="N569" i="4"/>
  <c r="M570" i="4"/>
  <c r="N570" i="4"/>
  <c r="M571" i="4"/>
  <c r="N571" i="4"/>
  <c r="M572" i="4"/>
  <c r="N572" i="4"/>
  <c r="M573" i="4"/>
  <c r="N573" i="4"/>
  <c r="M574" i="4"/>
  <c r="N574" i="4"/>
  <c r="M575" i="4"/>
  <c r="N575" i="4"/>
  <c r="M576" i="4"/>
  <c r="N576" i="4"/>
  <c r="M577" i="4"/>
  <c r="N577" i="4"/>
  <c r="M578" i="4"/>
  <c r="N578" i="4"/>
  <c r="M579" i="4"/>
  <c r="N579" i="4"/>
  <c r="M580" i="4"/>
  <c r="N580" i="4"/>
  <c r="M581" i="4"/>
  <c r="N581" i="4"/>
  <c r="M582" i="4"/>
  <c r="N582" i="4"/>
  <c r="M583" i="4"/>
  <c r="N583" i="4"/>
  <c r="M584" i="4"/>
  <c r="N584" i="4"/>
  <c r="M585" i="4"/>
  <c r="N585" i="4"/>
  <c r="M586" i="4"/>
  <c r="N586" i="4"/>
  <c r="M587" i="4"/>
  <c r="N587" i="4"/>
  <c r="M588" i="4"/>
  <c r="N588" i="4"/>
  <c r="M589" i="4"/>
  <c r="N589" i="4"/>
  <c r="M590" i="4"/>
  <c r="N590" i="4"/>
  <c r="M591" i="4"/>
  <c r="N591" i="4"/>
  <c r="M592" i="4"/>
  <c r="N592" i="4"/>
  <c r="M593" i="4"/>
  <c r="N593" i="4"/>
  <c r="M594" i="4"/>
  <c r="N594" i="4"/>
  <c r="M595" i="4"/>
  <c r="N595" i="4"/>
  <c r="M596" i="4"/>
  <c r="N596" i="4"/>
  <c r="M597" i="4"/>
  <c r="N597" i="4"/>
  <c r="M598" i="4"/>
  <c r="N598" i="4"/>
  <c r="M599" i="4"/>
  <c r="N599" i="4"/>
  <c r="M600" i="4"/>
  <c r="N600" i="4"/>
  <c r="M601" i="4"/>
  <c r="N601" i="4"/>
  <c r="M602" i="4"/>
  <c r="N602" i="4"/>
  <c r="M603" i="4"/>
  <c r="N603" i="4"/>
  <c r="M604" i="4"/>
  <c r="N604" i="4"/>
  <c r="M605" i="4"/>
  <c r="N605" i="4"/>
  <c r="M606" i="4"/>
  <c r="N606" i="4"/>
  <c r="M607" i="4"/>
  <c r="N607" i="4"/>
  <c r="M608" i="4"/>
  <c r="N608" i="4"/>
  <c r="M609" i="4"/>
  <c r="N609" i="4"/>
  <c r="M610" i="4"/>
  <c r="N610" i="4"/>
  <c r="M611" i="4"/>
  <c r="N611" i="4"/>
  <c r="M612" i="4"/>
  <c r="N612" i="4"/>
  <c r="M613" i="4"/>
  <c r="N613" i="4"/>
  <c r="M614" i="4"/>
  <c r="N614" i="4"/>
  <c r="M615" i="4"/>
  <c r="N615" i="4"/>
  <c r="M616" i="4"/>
  <c r="N616" i="4"/>
  <c r="M617" i="4"/>
  <c r="N617" i="4"/>
  <c r="M618" i="4"/>
  <c r="N618" i="4"/>
  <c r="M619" i="4"/>
  <c r="N619" i="4"/>
  <c r="M620" i="4"/>
  <c r="N620" i="4"/>
  <c r="M621" i="4"/>
  <c r="N621" i="4"/>
  <c r="M622" i="4"/>
  <c r="N622" i="4"/>
  <c r="M623" i="4"/>
  <c r="N623" i="4"/>
  <c r="M624" i="4"/>
  <c r="N624" i="4"/>
  <c r="M625" i="4"/>
  <c r="N625" i="4"/>
  <c r="M626" i="4"/>
  <c r="N626" i="4"/>
  <c r="M627" i="4"/>
  <c r="N627" i="4"/>
  <c r="M628" i="4"/>
  <c r="N628" i="4"/>
  <c r="M629" i="4"/>
  <c r="N629" i="4"/>
  <c r="M630" i="4"/>
  <c r="N630" i="4"/>
  <c r="M631" i="4"/>
  <c r="N631" i="4"/>
  <c r="M632" i="4"/>
  <c r="N632" i="4"/>
  <c r="M633" i="4"/>
  <c r="N633" i="4"/>
  <c r="M634" i="4"/>
  <c r="N634" i="4"/>
  <c r="M635" i="4"/>
  <c r="N635" i="4"/>
  <c r="M636" i="4"/>
  <c r="N636" i="4"/>
  <c r="M637" i="4"/>
  <c r="N637" i="4"/>
  <c r="M638" i="4"/>
  <c r="N638" i="4"/>
  <c r="M639" i="4"/>
  <c r="N639" i="4"/>
  <c r="M640" i="4"/>
  <c r="N640" i="4"/>
  <c r="M641" i="4"/>
  <c r="N641" i="4"/>
  <c r="M642" i="4"/>
  <c r="N642" i="4"/>
  <c r="M643" i="4"/>
  <c r="N643" i="4"/>
  <c r="M644" i="4"/>
  <c r="N644" i="4"/>
  <c r="M645" i="4"/>
  <c r="N645" i="4"/>
  <c r="M646" i="4"/>
  <c r="N646" i="4"/>
  <c r="M647" i="4"/>
  <c r="N647" i="4"/>
  <c r="M648" i="4"/>
  <c r="N648" i="4"/>
  <c r="M649" i="4"/>
  <c r="N649" i="4"/>
  <c r="M650" i="4"/>
  <c r="N650" i="4"/>
  <c r="M651" i="4"/>
  <c r="N651" i="4"/>
  <c r="M652" i="4"/>
  <c r="N652" i="4"/>
  <c r="M653" i="4"/>
  <c r="N653" i="4"/>
  <c r="M654" i="4"/>
  <c r="N654" i="4"/>
  <c r="M655" i="4"/>
  <c r="N655" i="4"/>
  <c r="M656" i="4"/>
  <c r="N656" i="4"/>
  <c r="M657" i="4"/>
  <c r="N657" i="4"/>
  <c r="M658" i="4"/>
  <c r="N658" i="4"/>
  <c r="M659" i="4"/>
  <c r="N659" i="4"/>
  <c r="M660" i="4"/>
  <c r="N660" i="4"/>
  <c r="M661" i="4"/>
  <c r="N661" i="4"/>
  <c r="M662" i="4"/>
  <c r="N662" i="4"/>
  <c r="M663" i="4"/>
  <c r="N663" i="4"/>
  <c r="M664" i="4"/>
  <c r="N664" i="4"/>
  <c r="M665" i="4"/>
  <c r="N665" i="4"/>
  <c r="M666" i="4"/>
  <c r="N666" i="4"/>
  <c r="M667" i="4"/>
  <c r="N667" i="4"/>
  <c r="M668" i="4"/>
  <c r="N668" i="4"/>
  <c r="M669" i="4"/>
  <c r="N669" i="4"/>
  <c r="M670" i="4"/>
  <c r="N670" i="4"/>
  <c r="M671" i="4"/>
  <c r="N671" i="4"/>
  <c r="M672" i="4"/>
  <c r="N672" i="4"/>
  <c r="M673" i="4"/>
  <c r="N673" i="4"/>
  <c r="M674" i="4"/>
  <c r="N674" i="4"/>
  <c r="M675" i="4"/>
  <c r="N675" i="4"/>
  <c r="M676" i="4"/>
  <c r="N676" i="4"/>
  <c r="M677" i="4"/>
  <c r="N677" i="4"/>
  <c r="M678" i="4"/>
  <c r="N678" i="4"/>
  <c r="M679" i="4"/>
  <c r="N679" i="4"/>
  <c r="M680" i="4"/>
  <c r="N680" i="4"/>
  <c r="M681" i="4"/>
  <c r="N681" i="4"/>
  <c r="M682" i="4"/>
  <c r="N682" i="4"/>
  <c r="M683" i="4"/>
  <c r="N683" i="4"/>
  <c r="M684" i="4"/>
  <c r="N684" i="4"/>
  <c r="M685" i="4"/>
  <c r="N685" i="4"/>
  <c r="M686" i="4"/>
  <c r="N686" i="4"/>
  <c r="M687" i="4"/>
  <c r="N687" i="4"/>
  <c r="M688" i="4"/>
  <c r="N688" i="4"/>
  <c r="M689" i="4"/>
  <c r="N689" i="4"/>
  <c r="M690" i="4"/>
  <c r="N690" i="4"/>
  <c r="M691" i="4"/>
  <c r="N691" i="4"/>
  <c r="M692" i="4"/>
  <c r="N692" i="4"/>
  <c r="M693" i="4"/>
  <c r="N693" i="4"/>
  <c r="M694" i="4"/>
  <c r="N694" i="4"/>
  <c r="M695" i="4"/>
  <c r="N695" i="4"/>
  <c r="M696" i="4"/>
  <c r="N696" i="4"/>
  <c r="M697" i="4"/>
  <c r="N697" i="4"/>
  <c r="M698" i="4"/>
  <c r="N698" i="4"/>
  <c r="M699" i="4"/>
  <c r="N699" i="4"/>
  <c r="M700" i="4"/>
  <c r="N700" i="4"/>
  <c r="M701" i="4"/>
  <c r="N701" i="4"/>
  <c r="M702" i="4"/>
  <c r="N702" i="4"/>
  <c r="M703" i="4"/>
  <c r="N703" i="4"/>
  <c r="M704" i="4"/>
  <c r="N704" i="4"/>
  <c r="M705" i="4"/>
  <c r="N705" i="4"/>
  <c r="M706" i="4"/>
  <c r="N706" i="4"/>
  <c r="M707" i="4"/>
  <c r="N707" i="4"/>
  <c r="M708" i="4"/>
  <c r="N708" i="4"/>
  <c r="M709" i="4"/>
  <c r="N709" i="4"/>
  <c r="M710" i="4"/>
  <c r="N710" i="4"/>
  <c r="M711" i="4"/>
  <c r="N711" i="4"/>
  <c r="M712" i="4"/>
  <c r="N712" i="4"/>
  <c r="M713" i="4"/>
  <c r="N713" i="4"/>
  <c r="M714" i="4"/>
  <c r="N714" i="4"/>
  <c r="M715" i="4"/>
  <c r="N715" i="4"/>
  <c r="M716" i="4"/>
  <c r="N716" i="4"/>
  <c r="M717" i="4"/>
  <c r="N717" i="4"/>
  <c r="M718" i="4"/>
  <c r="N718" i="4"/>
  <c r="M719" i="4"/>
  <c r="N719" i="4"/>
  <c r="M720" i="4"/>
  <c r="N720" i="4"/>
  <c r="M721" i="4"/>
  <c r="N721" i="4"/>
  <c r="M722" i="4"/>
  <c r="N722" i="4"/>
  <c r="M723" i="4"/>
  <c r="N723" i="4"/>
  <c r="M724" i="4"/>
  <c r="N724" i="4"/>
  <c r="M725" i="4"/>
  <c r="N725" i="4"/>
  <c r="M726" i="4"/>
  <c r="N726" i="4"/>
  <c r="M727" i="4"/>
  <c r="N727" i="4"/>
  <c r="M728" i="4"/>
  <c r="N728" i="4"/>
  <c r="M729" i="4"/>
  <c r="N729" i="4"/>
  <c r="M730" i="4"/>
  <c r="N730" i="4"/>
  <c r="M731" i="4"/>
  <c r="N731" i="4"/>
  <c r="M732" i="4"/>
  <c r="N732" i="4"/>
  <c r="M733" i="4"/>
  <c r="N733" i="4"/>
  <c r="M734" i="4"/>
  <c r="N734" i="4"/>
  <c r="M735" i="4"/>
  <c r="N735" i="4"/>
  <c r="M736" i="4"/>
  <c r="N736" i="4"/>
  <c r="M737" i="4"/>
  <c r="N737" i="4"/>
  <c r="M738" i="4"/>
  <c r="N738" i="4"/>
  <c r="M739" i="4"/>
  <c r="N739" i="4"/>
  <c r="M740" i="4"/>
  <c r="N740" i="4"/>
  <c r="M741" i="4"/>
  <c r="N741" i="4"/>
  <c r="M742" i="4"/>
  <c r="N742" i="4"/>
  <c r="M743" i="4"/>
  <c r="N743" i="4"/>
  <c r="M744" i="4"/>
  <c r="N744" i="4"/>
  <c r="M745" i="4"/>
  <c r="N745" i="4"/>
  <c r="M746" i="4"/>
  <c r="N746" i="4"/>
  <c r="M747" i="4"/>
  <c r="N747" i="4"/>
  <c r="M748" i="4"/>
  <c r="N748" i="4"/>
  <c r="M749" i="4"/>
  <c r="N749" i="4"/>
  <c r="M750" i="4"/>
  <c r="N750" i="4"/>
  <c r="M751" i="4"/>
  <c r="N751" i="4"/>
  <c r="M752" i="4"/>
  <c r="N752" i="4"/>
  <c r="M753" i="4"/>
  <c r="N753" i="4"/>
  <c r="M754" i="4"/>
  <c r="N754" i="4"/>
  <c r="M755" i="4"/>
  <c r="N755" i="4"/>
  <c r="M756" i="4"/>
  <c r="N756" i="4"/>
  <c r="M757" i="4"/>
  <c r="N757" i="4"/>
  <c r="M758" i="4"/>
  <c r="N758" i="4"/>
  <c r="M759" i="4"/>
  <c r="N759" i="4"/>
  <c r="M760" i="4"/>
  <c r="N760" i="4"/>
  <c r="M761" i="4"/>
  <c r="N761" i="4"/>
  <c r="M762" i="4"/>
  <c r="N762" i="4"/>
  <c r="M763" i="4"/>
  <c r="N763" i="4"/>
  <c r="M764" i="4"/>
  <c r="N764" i="4"/>
  <c r="M765" i="4"/>
  <c r="N765" i="4"/>
  <c r="M766" i="4"/>
  <c r="N766" i="4"/>
  <c r="M767" i="4"/>
  <c r="N767" i="4"/>
  <c r="M768" i="4"/>
  <c r="N768" i="4"/>
  <c r="M769" i="4"/>
  <c r="N769" i="4"/>
  <c r="M770" i="4"/>
  <c r="N770" i="4"/>
  <c r="M771" i="4"/>
  <c r="N771" i="4"/>
  <c r="M772" i="4"/>
  <c r="N772" i="4"/>
  <c r="M773" i="4"/>
  <c r="N773" i="4"/>
  <c r="M774" i="4"/>
  <c r="N774" i="4"/>
  <c r="M775" i="4"/>
  <c r="N775" i="4"/>
  <c r="M776" i="4"/>
  <c r="N776" i="4"/>
  <c r="M777" i="4"/>
  <c r="N777" i="4"/>
  <c r="M778" i="4"/>
  <c r="N778" i="4"/>
  <c r="M779" i="4"/>
  <c r="N779" i="4"/>
  <c r="M780" i="4"/>
  <c r="N780" i="4"/>
  <c r="M781" i="4"/>
  <c r="N781" i="4"/>
  <c r="M782" i="4"/>
  <c r="N782" i="4"/>
  <c r="M783" i="4"/>
  <c r="N783" i="4"/>
  <c r="M784" i="4"/>
  <c r="N784" i="4"/>
  <c r="M785" i="4"/>
  <c r="N785" i="4"/>
  <c r="M786" i="4"/>
  <c r="N786" i="4"/>
  <c r="M787" i="4"/>
  <c r="N787" i="4"/>
  <c r="M788" i="4"/>
  <c r="N788" i="4"/>
  <c r="M789" i="4"/>
  <c r="N789" i="4"/>
  <c r="M790" i="4"/>
  <c r="N790" i="4"/>
  <c r="M791" i="4"/>
  <c r="N791" i="4"/>
  <c r="M792" i="4"/>
  <c r="N792" i="4"/>
  <c r="M793" i="4"/>
  <c r="N793" i="4"/>
  <c r="M794" i="4"/>
  <c r="N794" i="4"/>
  <c r="M795" i="4"/>
  <c r="N795" i="4"/>
  <c r="M796" i="4"/>
  <c r="N796" i="4"/>
  <c r="M797" i="4"/>
  <c r="N797" i="4"/>
  <c r="M798" i="4"/>
  <c r="N798" i="4"/>
  <c r="M799" i="4"/>
  <c r="N799" i="4"/>
  <c r="M800" i="4"/>
  <c r="N800" i="4"/>
  <c r="M801" i="4"/>
  <c r="N801" i="4"/>
  <c r="M802" i="4"/>
  <c r="N802" i="4"/>
  <c r="M803" i="4"/>
  <c r="N803" i="4"/>
  <c r="M804" i="4"/>
  <c r="N804" i="4"/>
  <c r="M805" i="4"/>
  <c r="N805" i="4"/>
  <c r="M806" i="4"/>
  <c r="N806" i="4"/>
  <c r="M807" i="4"/>
  <c r="N807" i="4"/>
  <c r="M808" i="4"/>
  <c r="N808" i="4"/>
  <c r="M809" i="4"/>
  <c r="N809" i="4"/>
  <c r="M810" i="4"/>
  <c r="N810" i="4"/>
  <c r="M811" i="4"/>
  <c r="N811" i="4"/>
  <c r="M812" i="4"/>
  <c r="N812" i="4"/>
  <c r="M813" i="4"/>
  <c r="N813" i="4"/>
  <c r="M814" i="4"/>
  <c r="N814" i="4"/>
  <c r="M815" i="4"/>
  <c r="N815" i="4"/>
  <c r="M816" i="4"/>
  <c r="N816" i="4"/>
  <c r="M817" i="4"/>
  <c r="N817" i="4"/>
  <c r="M818" i="4"/>
  <c r="N818" i="4"/>
  <c r="M819" i="4"/>
  <c r="N819" i="4"/>
  <c r="M820" i="4"/>
  <c r="N820" i="4"/>
  <c r="M821" i="4"/>
  <c r="N821" i="4"/>
  <c r="M822" i="4"/>
  <c r="N822" i="4"/>
  <c r="M823" i="4"/>
  <c r="N823" i="4"/>
  <c r="M824" i="4"/>
  <c r="N824" i="4"/>
  <c r="M825" i="4"/>
  <c r="N825" i="4"/>
  <c r="M826" i="4"/>
  <c r="N826" i="4"/>
  <c r="M827" i="4"/>
  <c r="N827" i="4"/>
  <c r="M828" i="4"/>
  <c r="N828" i="4"/>
  <c r="M829" i="4"/>
  <c r="N829" i="4"/>
  <c r="M830" i="4"/>
  <c r="N830" i="4"/>
  <c r="M831" i="4"/>
  <c r="N831" i="4"/>
  <c r="M832" i="4"/>
  <c r="N832" i="4"/>
  <c r="M833" i="4"/>
  <c r="N833" i="4"/>
  <c r="M834" i="4"/>
  <c r="N834" i="4"/>
  <c r="M835" i="4"/>
  <c r="N835" i="4"/>
  <c r="M836" i="4"/>
  <c r="N836" i="4"/>
  <c r="M837" i="4"/>
  <c r="N837" i="4"/>
  <c r="M838" i="4"/>
  <c r="N838" i="4"/>
  <c r="M839" i="4"/>
  <c r="N839" i="4"/>
  <c r="M840" i="4"/>
  <c r="N840" i="4"/>
  <c r="M841" i="4"/>
  <c r="N841" i="4"/>
  <c r="M842" i="4"/>
  <c r="N842" i="4"/>
  <c r="M843" i="4"/>
  <c r="N843" i="4"/>
  <c r="M844" i="4"/>
  <c r="N844" i="4"/>
  <c r="M845" i="4"/>
  <c r="N845" i="4"/>
  <c r="M846" i="4"/>
  <c r="N846" i="4"/>
  <c r="M847" i="4"/>
  <c r="N847" i="4"/>
  <c r="M848" i="4"/>
  <c r="N848" i="4"/>
  <c r="M849" i="4"/>
  <c r="N849" i="4"/>
  <c r="M850" i="4"/>
  <c r="N850" i="4"/>
  <c r="M851" i="4"/>
  <c r="N851" i="4"/>
  <c r="M852" i="4"/>
  <c r="N852" i="4"/>
  <c r="M853" i="4"/>
  <c r="N853" i="4"/>
  <c r="M854" i="4"/>
  <c r="N854" i="4"/>
  <c r="M855" i="4"/>
  <c r="N855" i="4"/>
  <c r="M856" i="4"/>
  <c r="N856" i="4"/>
  <c r="M857" i="4"/>
  <c r="N857" i="4"/>
  <c r="M858" i="4"/>
  <c r="N858" i="4"/>
  <c r="M859" i="4"/>
  <c r="N859" i="4"/>
  <c r="M860" i="4"/>
  <c r="N860" i="4"/>
  <c r="M861" i="4"/>
  <c r="N861" i="4"/>
  <c r="M862" i="4"/>
  <c r="N862" i="4"/>
  <c r="M863" i="4"/>
  <c r="N863" i="4"/>
  <c r="M864" i="4"/>
  <c r="N864" i="4"/>
  <c r="M865" i="4"/>
  <c r="N865" i="4"/>
  <c r="M866" i="4"/>
  <c r="N866" i="4"/>
  <c r="M867" i="4"/>
  <c r="N867" i="4"/>
  <c r="M868" i="4"/>
  <c r="N868" i="4"/>
  <c r="M869" i="4"/>
  <c r="N869" i="4"/>
  <c r="M870" i="4"/>
  <c r="N870" i="4"/>
  <c r="M871" i="4"/>
  <c r="N871" i="4"/>
  <c r="M872" i="4"/>
  <c r="N872" i="4"/>
  <c r="M873" i="4"/>
  <c r="N873" i="4"/>
  <c r="M874" i="4"/>
  <c r="N874" i="4"/>
  <c r="M875" i="4"/>
  <c r="N875" i="4"/>
  <c r="M876" i="4"/>
  <c r="N876" i="4"/>
  <c r="M877" i="4"/>
  <c r="N877" i="4"/>
  <c r="M878" i="4"/>
  <c r="N878" i="4"/>
  <c r="M879" i="4"/>
  <c r="N879" i="4"/>
  <c r="M880" i="4"/>
  <c r="N880" i="4"/>
  <c r="M881" i="4"/>
  <c r="N881" i="4"/>
  <c r="M882" i="4"/>
  <c r="N882" i="4"/>
  <c r="M883" i="4"/>
  <c r="N883" i="4"/>
  <c r="M884" i="4"/>
  <c r="N884" i="4"/>
  <c r="M885" i="4"/>
  <c r="N885" i="4"/>
  <c r="M886" i="4"/>
  <c r="N886" i="4"/>
  <c r="M887" i="4"/>
  <c r="N887" i="4"/>
  <c r="M888" i="4"/>
  <c r="N888" i="4"/>
  <c r="M889" i="4"/>
  <c r="N889" i="4"/>
  <c r="M890" i="4"/>
  <c r="N890" i="4"/>
  <c r="M891" i="4"/>
  <c r="N891" i="4"/>
  <c r="M892" i="4"/>
  <c r="N892" i="4"/>
  <c r="M893" i="4"/>
  <c r="N893" i="4"/>
  <c r="M894" i="4"/>
  <c r="N894" i="4"/>
  <c r="M895" i="4"/>
  <c r="N895" i="4"/>
  <c r="M896" i="4"/>
  <c r="N896" i="4"/>
  <c r="M897" i="4"/>
  <c r="N897" i="4"/>
  <c r="M898" i="4"/>
  <c r="N898" i="4"/>
  <c r="M899" i="4"/>
  <c r="N899" i="4"/>
  <c r="M900" i="4"/>
  <c r="N900" i="4"/>
  <c r="M901" i="4"/>
  <c r="N901" i="4"/>
  <c r="M902" i="4"/>
  <c r="N902" i="4"/>
  <c r="M903" i="4"/>
  <c r="N903" i="4"/>
  <c r="M904" i="4"/>
  <c r="N904" i="4"/>
  <c r="M905" i="4"/>
  <c r="N905" i="4"/>
  <c r="M906" i="4"/>
  <c r="N906" i="4"/>
  <c r="M907" i="4"/>
  <c r="N907" i="4"/>
  <c r="M908" i="4"/>
  <c r="N908" i="4"/>
  <c r="M909" i="4"/>
  <c r="N909" i="4"/>
  <c r="M910" i="4"/>
  <c r="N910" i="4"/>
  <c r="M911" i="4"/>
  <c r="N911" i="4"/>
  <c r="M912" i="4"/>
  <c r="N912" i="4"/>
  <c r="M913" i="4"/>
  <c r="N913" i="4"/>
  <c r="M914" i="4"/>
  <c r="N914" i="4"/>
  <c r="M915" i="4"/>
  <c r="N915" i="4"/>
  <c r="M916" i="4"/>
  <c r="N916" i="4"/>
  <c r="M917" i="4"/>
  <c r="N917" i="4"/>
  <c r="M918" i="4"/>
  <c r="N918" i="4"/>
  <c r="M919" i="4"/>
  <c r="N919" i="4"/>
  <c r="M920" i="4"/>
  <c r="N920" i="4"/>
  <c r="M921" i="4"/>
  <c r="N921" i="4"/>
  <c r="M922" i="4"/>
  <c r="N922" i="4"/>
  <c r="M923" i="4"/>
  <c r="N923" i="4"/>
  <c r="M924" i="4"/>
  <c r="N924" i="4"/>
  <c r="M925" i="4"/>
  <c r="N925" i="4"/>
  <c r="M926" i="4"/>
  <c r="N926" i="4"/>
  <c r="M927" i="4"/>
  <c r="N927" i="4"/>
  <c r="M928" i="4"/>
  <c r="N928" i="4"/>
  <c r="M929" i="4"/>
  <c r="N929" i="4"/>
  <c r="M930" i="4"/>
  <c r="N930" i="4"/>
  <c r="M931" i="4"/>
  <c r="N931" i="4"/>
  <c r="M932" i="4"/>
  <c r="N932" i="4"/>
  <c r="M933" i="4"/>
  <c r="N933" i="4"/>
  <c r="M934" i="4"/>
  <c r="N934" i="4"/>
  <c r="M935" i="4"/>
  <c r="N935" i="4"/>
  <c r="M936" i="4"/>
  <c r="N936" i="4"/>
  <c r="M937" i="4"/>
  <c r="N937" i="4"/>
  <c r="M938" i="4"/>
  <c r="N938" i="4"/>
  <c r="M939" i="4"/>
  <c r="N939" i="4"/>
  <c r="M940" i="4"/>
  <c r="N940" i="4"/>
  <c r="M941" i="4"/>
  <c r="N941" i="4"/>
  <c r="M942" i="4"/>
  <c r="N942" i="4"/>
  <c r="M943" i="4"/>
  <c r="N943" i="4"/>
  <c r="M944" i="4"/>
  <c r="N944" i="4"/>
  <c r="M945" i="4"/>
  <c r="N945" i="4"/>
  <c r="M946" i="4"/>
  <c r="N946" i="4"/>
  <c r="M947" i="4"/>
  <c r="N947" i="4"/>
  <c r="M948" i="4"/>
  <c r="N948" i="4"/>
  <c r="M949" i="4"/>
  <c r="N949" i="4"/>
  <c r="M950" i="4"/>
  <c r="N950" i="4"/>
  <c r="M951" i="4"/>
  <c r="N951" i="4"/>
  <c r="M952" i="4"/>
  <c r="N952" i="4"/>
  <c r="M953" i="4"/>
  <c r="N953" i="4"/>
  <c r="M954" i="4"/>
  <c r="N954" i="4"/>
  <c r="M955" i="4"/>
  <c r="N955" i="4"/>
  <c r="M956" i="4"/>
  <c r="N956" i="4"/>
  <c r="M957" i="4"/>
  <c r="N957" i="4"/>
  <c r="M958" i="4"/>
  <c r="N958" i="4"/>
  <c r="M959" i="4"/>
  <c r="N959" i="4"/>
  <c r="M960" i="4"/>
  <c r="N960" i="4"/>
  <c r="M961" i="4"/>
  <c r="N961" i="4"/>
  <c r="M962" i="4"/>
  <c r="N962" i="4"/>
  <c r="M963" i="4"/>
  <c r="N963" i="4"/>
  <c r="M964" i="4"/>
  <c r="N964" i="4"/>
  <c r="M965" i="4"/>
  <c r="N965" i="4"/>
  <c r="M966" i="4"/>
  <c r="N966" i="4"/>
  <c r="M967" i="4"/>
  <c r="N967" i="4"/>
  <c r="M968" i="4"/>
  <c r="N968" i="4"/>
  <c r="M969" i="4"/>
  <c r="N969" i="4"/>
  <c r="M970" i="4"/>
  <c r="N970" i="4"/>
  <c r="M971" i="4"/>
  <c r="N971" i="4"/>
  <c r="M972" i="4"/>
  <c r="N972" i="4"/>
  <c r="M973" i="4"/>
  <c r="N973" i="4"/>
  <c r="M974" i="4"/>
  <c r="N974" i="4"/>
  <c r="M975" i="4"/>
  <c r="N975" i="4"/>
  <c r="M976" i="4"/>
  <c r="N976" i="4"/>
  <c r="M977" i="4"/>
  <c r="N977" i="4"/>
  <c r="M978" i="4"/>
  <c r="N978" i="4"/>
  <c r="M979" i="4"/>
  <c r="N979" i="4"/>
  <c r="M980" i="4"/>
  <c r="N980" i="4"/>
  <c r="M981" i="4"/>
  <c r="N981" i="4"/>
  <c r="M982" i="4"/>
  <c r="N982" i="4"/>
  <c r="M983" i="4"/>
  <c r="N983" i="4"/>
  <c r="M984" i="4"/>
  <c r="N984" i="4"/>
  <c r="M985" i="4"/>
  <c r="N985" i="4"/>
  <c r="M986" i="4"/>
  <c r="N986" i="4"/>
  <c r="M987" i="4"/>
  <c r="N987" i="4"/>
  <c r="M988" i="4"/>
  <c r="N988" i="4"/>
  <c r="M989" i="4"/>
  <c r="N989" i="4"/>
  <c r="M990" i="4"/>
  <c r="N990" i="4"/>
  <c r="M991" i="4"/>
  <c r="N991" i="4"/>
  <c r="M992" i="4"/>
  <c r="N992" i="4"/>
  <c r="M993" i="4"/>
  <c r="N993" i="4"/>
  <c r="M994" i="4"/>
  <c r="N994" i="4"/>
  <c r="M995" i="4"/>
  <c r="N995" i="4"/>
  <c r="M996" i="4"/>
  <c r="N996" i="4"/>
  <c r="M997" i="4"/>
  <c r="N997" i="4"/>
  <c r="M998" i="4"/>
  <c r="N998" i="4"/>
  <c r="M999" i="4"/>
  <c r="N999" i="4"/>
  <c r="M1000" i="4"/>
  <c r="N1000" i="4"/>
  <c r="M1001" i="4"/>
  <c r="N1001" i="4"/>
  <c r="M1002" i="4"/>
  <c r="N1002" i="4"/>
  <c r="M1003" i="4"/>
  <c r="N1003" i="4"/>
  <c r="M1004" i="4"/>
  <c r="N1004" i="4"/>
  <c r="M1005" i="4"/>
  <c r="N1005" i="4"/>
  <c r="M1006" i="4"/>
  <c r="N1006" i="4"/>
  <c r="M1007" i="4"/>
  <c r="N1007" i="4"/>
  <c r="M1008" i="4"/>
  <c r="N1008" i="4"/>
  <c r="M1009" i="4"/>
  <c r="N1009" i="4"/>
  <c r="M1010" i="4"/>
  <c r="N1010" i="4"/>
  <c r="M1011" i="4"/>
  <c r="N1011" i="4"/>
  <c r="M1012" i="4"/>
  <c r="N1012" i="4"/>
  <c r="M1013" i="4"/>
  <c r="N1013" i="4"/>
  <c r="M1014" i="4"/>
  <c r="N1014" i="4"/>
  <c r="M1015" i="4"/>
  <c r="N1015" i="4"/>
  <c r="M1016" i="4"/>
  <c r="N1016" i="4"/>
  <c r="M1017" i="4"/>
  <c r="N1017" i="4"/>
  <c r="M1018" i="4"/>
  <c r="N1018" i="4"/>
  <c r="M1019" i="4"/>
  <c r="N1019" i="4"/>
  <c r="M1020" i="4"/>
  <c r="N1020" i="4"/>
  <c r="M1021" i="4"/>
  <c r="N1021" i="4"/>
  <c r="M1022" i="4"/>
  <c r="N1022" i="4"/>
  <c r="M1023" i="4"/>
  <c r="N1023" i="4"/>
  <c r="M1024" i="4"/>
  <c r="N1024" i="4"/>
  <c r="M1025" i="4"/>
  <c r="N1025" i="4"/>
  <c r="M1026" i="4"/>
  <c r="N1026" i="4"/>
  <c r="M1027" i="4"/>
  <c r="N1027" i="4"/>
  <c r="M1028" i="4"/>
  <c r="N1028" i="4"/>
  <c r="M1029" i="4"/>
  <c r="N1029" i="4"/>
  <c r="M1030" i="4"/>
  <c r="N1030" i="4"/>
  <c r="M1031" i="4"/>
  <c r="N1031" i="4"/>
  <c r="M1032" i="4"/>
  <c r="N1032" i="4"/>
  <c r="M1033" i="4"/>
  <c r="N1033" i="4"/>
  <c r="M1034" i="4"/>
  <c r="N1034" i="4"/>
  <c r="M1035" i="4"/>
  <c r="N1035" i="4"/>
  <c r="M1036" i="4"/>
  <c r="N1036" i="4"/>
  <c r="M1037" i="4"/>
  <c r="N1037" i="4"/>
  <c r="M1038" i="4"/>
  <c r="N1038" i="4"/>
  <c r="M1039" i="4"/>
  <c r="N1039" i="4"/>
  <c r="M1040" i="4"/>
  <c r="N1040" i="4"/>
  <c r="M1041" i="4"/>
  <c r="N1041" i="4"/>
  <c r="M1042" i="4"/>
  <c r="N1042" i="4"/>
  <c r="M1043" i="4"/>
  <c r="N1043" i="4"/>
  <c r="M1044" i="4"/>
  <c r="N1044" i="4"/>
  <c r="M1045" i="4"/>
  <c r="N1045" i="4"/>
  <c r="M1046" i="4"/>
  <c r="N1046" i="4"/>
  <c r="M1047" i="4"/>
  <c r="N1047" i="4"/>
  <c r="M1048" i="4"/>
  <c r="N1048" i="4"/>
  <c r="M1049" i="4"/>
  <c r="N1049" i="4"/>
  <c r="M1050" i="4"/>
  <c r="N1050" i="4"/>
  <c r="M1051" i="4"/>
  <c r="N1051" i="4"/>
  <c r="M1052" i="4"/>
  <c r="N1052" i="4"/>
  <c r="M1053" i="4"/>
  <c r="N1053" i="4"/>
  <c r="M1054" i="4"/>
  <c r="N1054" i="4"/>
  <c r="M1055" i="4"/>
  <c r="N1055" i="4"/>
  <c r="M1056" i="4"/>
  <c r="N1056" i="4"/>
  <c r="M1057" i="4"/>
  <c r="N1057" i="4"/>
  <c r="M1058" i="4"/>
  <c r="N1058" i="4"/>
  <c r="M1059" i="4"/>
  <c r="N1059" i="4"/>
  <c r="M1060" i="4"/>
  <c r="N1060" i="4"/>
  <c r="M1061" i="4"/>
  <c r="N1061" i="4"/>
  <c r="M1062" i="4"/>
  <c r="N1062" i="4"/>
  <c r="M1063" i="4"/>
  <c r="N1063" i="4"/>
  <c r="M1064" i="4"/>
  <c r="N1064" i="4"/>
  <c r="M1065" i="4"/>
  <c r="N1065" i="4"/>
  <c r="M1066" i="4"/>
  <c r="N1066" i="4"/>
  <c r="M1067" i="4"/>
  <c r="N1067" i="4"/>
  <c r="M1068" i="4"/>
  <c r="N1068" i="4"/>
  <c r="M1069" i="4"/>
  <c r="N1069" i="4"/>
  <c r="M1070" i="4"/>
  <c r="N1070" i="4"/>
  <c r="M1071" i="4"/>
  <c r="N1071" i="4"/>
  <c r="M1072" i="4"/>
  <c r="N1072" i="4"/>
  <c r="M1073" i="4"/>
  <c r="N1073" i="4"/>
  <c r="M1074" i="4"/>
  <c r="N1074" i="4"/>
  <c r="M1075" i="4"/>
  <c r="N1075" i="4"/>
  <c r="M1076" i="4"/>
  <c r="N1076" i="4"/>
  <c r="M1077" i="4"/>
  <c r="N1077" i="4"/>
  <c r="M1078" i="4"/>
  <c r="N1078" i="4"/>
  <c r="M1079" i="4"/>
  <c r="N1079" i="4"/>
  <c r="M1080" i="4"/>
  <c r="N1080" i="4"/>
  <c r="M1081" i="4"/>
  <c r="N1081" i="4"/>
  <c r="M1082" i="4"/>
  <c r="N1082" i="4"/>
  <c r="M1083" i="4"/>
  <c r="N1083" i="4"/>
  <c r="M1084" i="4"/>
  <c r="N1084" i="4"/>
  <c r="M1085" i="4"/>
  <c r="N1085" i="4"/>
  <c r="M1086" i="4"/>
  <c r="N1086" i="4"/>
  <c r="M1087" i="4"/>
  <c r="N1087" i="4"/>
  <c r="M1088" i="4"/>
  <c r="N1088" i="4"/>
  <c r="M1089" i="4"/>
  <c r="N1089" i="4"/>
  <c r="M1090" i="4"/>
  <c r="N1090" i="4"/>
  <c r="M1091" i="4"/>
  <c r="N1091" i="4"/>
  <c r="M1092" i="4"/>
  <c r="N1092" i="4"/>
  <c r="M1093" i="4"/>
  <c r="N1093" i="4"/>
  <c r="M1094" i="4"/>
  <c r="N1094" i="4"/>
  <c r="M1095" i="4"/>
  <c r="N1095" i="4"/>
  <c r="M1096" i="4"/>
  <c r="N1096" i="4"/>
  <c r="M1097" i="4"/>
  <c r="N1097" i="4"/>
  <c r="M1098" i="4"/>
  <c r="N1098" i="4"/>
  <c r="M1099" i="4"/>
  <c r="N1099" i="4"/>
  <c r="M1100" i="4"/>
  <c r="N1100" i="4"/>
  <c r="M1101" i="4"/>
  <c r="N1101" i="4"/>
  <c r="M1102" i="4"/>
  <c r="N1102" i="4"/>
  <c r="M1103" i="4"/>
  <c r="N1103" i="4"/>
  <c r="M1104" i="4"/>
  <c r="N1104" i="4"/>
  <c r="M1105" i="4"/>
  <c r="N1105" i="4"/>
  <c r="M1106" i="4"/>
  <c r="N1106" i="4"/>
  <c r="M1107" i="4"/>
  <c r="N1107" i="4"/>
  <c r="M1108" i="4"/>
  <c r="N1108" i="4"/>
  <c r="M1109" i="4"/>
  <c r="N1109" i="4"/>
  <c r="M1110" i="4"/>
  <c r="N1110" i="4"/>
  <c r="M1111" i="4"/>
  <c r="N1111" i="4"/>
  <c r="M1112" i="4"/>
  <c r="N1112" i="4"/>
  <c r="M1113" i="4"/>
  <c r="N1113" i="4"/>
  <c r="M1114" i="4"/>
  <c r="N1114" i="4"/>
  <c r="M1115" i="4"/>
  <c r="N1115" i="4"/>
  <c r="M1116" i="4"/>
  <c r="N1116" i="4"/>
  <c r="M1117" i="4"/>
  <c r="N1117" i="4"/>
  <c r="M1118" i="4"/>
  <c r="N1118" i="4"/>
  <c r="M1119" i="4"/>
  <c r="N1119" i="4"/>
  <c r="M1120" i="4"/>
  <c r="N1120" i="4"/>
  <c r="M1121" i="4"/>
  <c r="N1121" i="4"/>
  <c r="M1122" i="4"/>
  <c r="N1122" i="4"/>
  <c r="M1123" i="4"/>
  <c r="N1123" i="4"/>
  <c r="M1124" i="4"/>
  <c r="N1124" i="4"/>
  <c r="M1125" i="4"/>
  <c r="N1125" i="4"/>
  <c r="M1126" i="4"/>
  <c r="N1126" i="4"/>
  <c r="M1127" i="4"/>
  <c r="N1127" i="4"/>
  <c r="M1128" i="4"/>
  <c r="N1128" i="4"/>
  <c r="M1129" i="4"/>
  <c r="N1129" i="4"/>
  <c r="M1130" i="4"/>
  <c r="N1130" i="4"/>
  <c r="M1131" i="4"/>
  <c r="N1131" i="4"/>
  <c r="M1132" i="4"/>
  <c r="N1132" i="4"/>
  <c r="M1133" i="4"/>
  <c r="N1133" i="4"/>
  <c r="M1134" i="4"/>
  <c r="N1134" i="4"/>
  <c r="M1135" i="4"/>
  <c r="N1135" i="4"/>
  <c r="M1136" i="4"/>
  <c r="N1136" i="4"/>
  <c r="M1137" i="4"/>
  <c r="N1137" i="4"/>
  <c r="M1138" i="4"/>
  <c r="N1138" i="4"/>
  <c r="M1139" i="4"/>
  <c r="N1139" i="4"/>
  <c r="M1140" i="4"/>
  <c r="N1140" i="4"/>
  <c r="M1141" i="4"/>
  <c r="N1141" i="4"/>
  <c r="M1142" i="4"/>
  <c r="N1142" i="4"/>
  <c r="M1143" i="4"/>
  <c r="N1143" i="4"/>
  <c r="M1144" i="4"/>
  <c r="N1144" i="4"/>
  <c r="M1145" i="4"/>
  <c r="N1145" i="4"/>
  <c r="M1146" i="4"/>
  <c r="N1146" i="4"/>
  <c r="M1147" i="4"/>
  <c r="N1147" i="4"/>
  <c r="M1148" i="4"/>
  <c r="N1148" i="4"/>
  <c r="M1149" i="4"/>
  <c r="N1149" i="4"/>
  <c r="M1150" i="4"/>
  <c r="N1150" i="4"/>
  <c r="M1151" i="4"/>
  <c r="N1151" i="4"/>
  <c r="M1152" i="4"/>
  <c r="N1152" i="4"/>
  <c r="M1153" i="4"/>
  <c r="N1153" i="4"/>
  <c r="M1154" i="4"/>
  <c r="N1154" i="4"/>
  <c r="M1155" i="4"/>
  <c r="N1155" i="4"/>
  <c r="M1156" i="4"/>
  <c r="N1156" i="4"/>
  <c r="M1157" i="4"/>
  <c r="N1157" i="4"/>
  <c r="M1158" i="4"/>
  <c r="N1158" i="4"/>
  <c r="M1159" i="4"/>
  <c r="N1159" i="4"/>
  <c r="M1160" i="4"/>
  <c r="N1160" i="4"/>
  <c r="M1161" i="4"/>
  <c r="N1161" i="4"/>
  <c r="M1162" i="4"/>
  <c r="N1162" i="4"/>
  <c r="M1163" i="4"/>
  <c r="N1163" i="4"/>
  <c r="M1164" i="4"/>
  <c r="N1164" i="4"/>
  <c r="M1165" i="4"/>
  <c r="N1165" i="4"/>
  <c r="M1166" i="4"/>
  <c r="N1166" i="4"/>
  <c r="M1167" i="4"/>
  <c r="N1167" i="4"/>
  <c r="M1168" i="4"/>
  <c r="N1168" i="4"/>
  <c r="M1169" i="4"/>
  <c r="N1169" i="4"/>
  <c r="M1170" i="4"/>
  <c r="N1170" i="4"/>
  <c r="M1171" i="4"/>
  <c r="N1171" i="4"/>
  <c r="M1172" i="4"/>
  <c r="N1172" i="4"/>
  <c r="M1173" i="4"/>
  <c r="N1173" i="4"/>
  <c r="M1174" i="4"/>
  <c r="N1174" i="4"/>
  <c r="M1175" i="4"/>
  <c r="N1175" i="4"/>
  <c r="M1176" i="4"/>
  <c r="N1176" i="4"/>
  <c r="M1177" i="4"/>
  <c r="N1177" i="4"/>
  <c r="M1178" i="4"/>
  <c r="N1178" i="4"/>
  <c r="M1179" i="4"/>
  <c r="N1179" i="4"/>
  <c r="M1180" i="4"/>
  <c r="N1180" i="4"/>
  <c r="M1181" i="4"/>
  <c r="N1181" i="4"/>
  <c r="M1182" i="4"/>
  <c r="N1182" i="4"/>
  <c r="M1183" i="4"/>
  <c r="N1183" i="4"/>
  <c r="M1184" i="4"/>
  <c r="N1184" i="4"/>
  <c r="M1185" i="4"/>
  <c r="N1185" i="4"/>
  <c r="M1186" i="4"/>
  <c r="N1186" i="4"/>
  <c r="M1187" i="4"/>
  <c r="N1187" i="4"/>
  <c r="M1188" i="4"/>
  <c r="N1188" i="4"/>
  <c r="M1189" i="4"/>
  <c r="N1189" i="4"/>
  <c r="M1190" i="4"/>
  <c r="N1190" i="4"/>
  <c r="M1191" i="4"/>
  <c r="N1191" i="4"/>
  <c r="M1192" i="4"/>
  <c r="N1192" i="4"/>
  <c r="M1193" i="4"/>
  <c r="N1193" i="4"/>
  <c r="M1194" i="4"/>
  <c r="N1194" i="4"/>
  <c r="M1195" i="4"/>
  <c r="N1195" i="4"/>
  <c r="M1196" i="4"/>
  <c r="N1196" i="4"/>
  <c r="M1197" i="4"/>
  <c r="N1197" i="4"/>
  <c r="M1198" i="4"/>
  <c r="N1198" i="4"/>
  <c r="M1199" i="4"/>
  <c r="N1199" i="4"/>
  <c r="M1200" i="4"/>
  <c r="N1200" i="4"/>
  <c r="M1201" i="4"/>
  <c r="N1201" i="4"/>
  <c r="M1202" i="4"/>
  <c r="N1202" i="4"/>
  <c r="M1203" i="4"/>
  <c r="N1203" i="4"/>
  <c r="M1204" i="4"/>
  <c r="N1204" i="4"/>
  <c r="M1205" i="4"/>
  <c r="N1205" i="4"/>
  <c r="M1206" i="4"/>
  <c r="N1206" i="4"/>
  <c r="M1207" i="4"/>
  <c r="N1207" i="4"/>
  <c r="M1208" i="4"/>
  <c r="N1208" i="4"/>
  <c r="M1209" i="4"/>
  <c r="N1209" i="4"/>
  <c r="M1210" i="4"/>
  <c r="N1210" i="4"/>
  <c r="M1211" i="4"/>
  <c r="N1211" i="4"/>
  <c r="M1212" i="4"/>
  <c r="N1212" i="4"/>
  <c r="M1213" i="4"/>
  <c r="N1213" i="4"/>
  <c r="M1214" i="4"/>
  <c r="N1214" i="4"/>
  <c r="M1215" i="4"/>
  <c r="N1215" i="4"/>
  <c r="M1216" i="4"/>
  <c r="N1216" i="4"/>
  <c r="M1217" i="4"/>
  <c r="N1217" i="4"/>
  <c r="M1218" i="4"/>
  <c r="N1218" i="4"/>
  <c r="M1219" i="4"/>
  <c r="N1219" i="4"/>
  <c r="M1220" i="4"/>
  <c r="N1220" i="4"/>
  <c r="M1221" i="4"/>
  <c r="N1221" i="4"/>
  <c r="M1222" i="4"/>
  <c r="N1222" i="4"/>
  <c r="M1223" i="4"/>
  <c r="N1223" i="4"/>
  <c r="M1224" i="4"/>
  <c r="N1224" i="4"/>
  <c r="M1225" i="4"/>
  <c r="N1225" i="4"/>
  <c r="M1226" i="4"/>
  <c r="N1226" i="4"/>
  <c r="M1227" i="4"/>
  <c r="N1227" i="4"/>
  <c r="M1228" i="4"/>
  <c r="N1228" i="4"/>
  <c r="M1229" i="4"/>
  <c r="N1229" i="4"/>
  <c r="M1230" i="4"/>
  <c r="N1230" i="4"/>
  <c r="M1231" i="4"/>
  <c r="N1231" i="4"/>
  <c r="M1232" i="4"/>
  <c r="N1232" i="4"/>
  <c r="M1233" i="4"/>
  <c r="N1233" i="4"/>
  <c r="M1234" i="4"/>
  <c r="N1234" i="4"/>
  <c r="M1235" i="4"/>
  <c r="N1235" i="4"/>
  <c r="M1236" i="4"/>
  <c r="N1236" i="4"/>
  <c r="M1237" i="4"/>
  <c r="N1237" i="4"/>
  <c r="M1238" i="4"/>
  <c r="N1238" i="4"/>
  <c r="M1239" i="4"/>
  <c r="N1239" i="4"/>
  <c r="M1240" i="4"/>
  <c r="N1240" i="4"/>
  <c r="M1241" i="4"/>
  <c r="N1241" i="4"/>
  <c r="M1242" i="4"/>
  <c r="N1242" i="4"/>
  <c r="M1243" i="4"/>
  <c r="N1243" i="4"/>
  <c r="M1244" i="4"/>
  <c r="N1244" i="4"/>
  <c r="M1245" i="4"/>
  <c r="N1245" i="4"/>
  <c r="M1246" i="4"/>
  <c r="N1246" i="4"/>
  <c r="M1247" i="4"/>
  <c r="N1247" i="4"/>
  <c r="M1248" i="4"/>
  <c r="N1248" i="4"/>
  <c r="M1249" i="4"/>
  <c r="N1249" i="4"/>
  <c r="M1250" i="4"/>
  <c r="N1250" i="4"/>
  <c r="M1251" i="4"/>
  <c r="N1251" i="4"/>
  <c r="M1252" i="4"/>
  <c r="N1252" i="4"/>
  <c r="M1253" i="4"/>
  <c r="N1253" i="4"/>
  <c r="M1254" i="4"/>
  <c r="N1254" i="4"/>
  <c r="M1255" i="4"/>
  <c r="N1255" i="4"/>
  <c r="M1256" i="4"/>
  <c r="N1256" i="4"/>
  <c r="M1257" i="4"/>
  <c r="N1257" i="4"/>
  <c r="M1258" i="4"/>
  <c r="N1258" i="4"/>
  <c r="M1259" i="4"/>
  <c r="N1259" i="4"/>
  <c r="M1260" i="4"/>
  <c r="N1260" i="4"/>
  <c r="M1261" i="4"/>
  <c r="N1261" i="4"/>
  <c r="M1262" i="4"/>
  <c r="N1262" i="4"/>
  <c r="M1263" i="4"/>
  <c r="N1263" i="4"/>
  <c r="M1264" i="4"/>
  <c r="N1264" i="4"/>
  <c r="M1265" i="4"/>
  <c r="N1265" i="4"/>
  <c r="M1266" i="4"/>
  <c r="N1266" i="4"/>
  <c r="M1267" i="4"/>
  <c r="N1267" i="4"/>
  <c r="M1268" i="4"/>
  <c r="N1268" i="4"/>
  <c r="M1269" i="4"/>
  <c r="N1269" i="4"/>
  <c r="M1270" i="4"/>
  <c r="N1270" i="4"/>
  <c r="M1271" i="4"/>
  <c r="N1271" i="4"/>
  <c r="M1272" i="4"/>
  <c r="N1272" i="4"/>
  <c r="M1273" i="4"/>
  <c r="N1273" i="4"/>
  <c r="M1274" i="4"/>
  <c r="N1274" i="4"/>
  <c r="M1275" i="4"/>
  <c r="N1275" i="4"/>
  <c r="M1276" i="4"/>
  <c r="N1276" i="4"/>
  <c r="M1277" i="4"/>
  <c r="N1277" i="4"/>
  <c r="M1278" i="4"/>
  <c r="N1278" i="4"/>
  <c r="M1279" i="4"/>
  <c r="N1279" i="4"/>
  <c r="M1280" i="4"/>
  <c r="N1280" i="4"/>
  <c r="M1281" i="4"/>
  <c r="N1281" i="4"/>
  <c r="M1282" i="4"/>
  <c r="N1282" i="4"/>
  <c r="M1283" i="4"/>
  <c r="N1283" i="4"/>
  <c r="M1284" i="4"/>
  <c r="N1284" i="4"/>
  <c r="M1285" i="4"/>
  <c r="N1285" i="4"/>
  <c r="M1286" i="4"/>
  <c r="N1286" i="4"/>
  <c r="M1287" i="4"/>
  <c r="N1287" i="4"/>
  <c r="M1288" i="4"/>
  <c r="N1288" i="4"/>
  <c r="M1289" i="4"/>
  <c r="N1289" i="4"/>
  <c r="M1290" i="4"/>
  <c r="N1290" i="4"/>
  <c r="M1291" i="4"/>
  <c r="N1291" i="4"/>
  <c r="M1292" i="4"/>
  <c r="N1292" i="4"/>
  <c r="M1293" i="4"/>
  <c r="N1293" i="4"/>
  <c r="M1294" i="4"/>
  <c r="N1294" i="4"/>
  <c r="M1295" i="4"/>
  <c r="N1295" i="4"/>
  <c r="M1296" i="4"/>
  <c r="N1296" i="4"/>
  <c r="M1297" i="4"/>
  <c r="N1297" i="4"/>
  <c r="M1298" i="4"/>
  <c r="N1298" i="4"/>
  <c r="M1299" i="4"/>
  <c r="N1299" i="4"/>
  <c r="M1300" i="4"/>
  <c r="N1300" i="4"/>
  <c r="M1301" i="4"/>
  <c r="N1301" i="4"/>
  <c r="M1302" i="4"/>
  <c r="N1302" i="4"/>
  <c r="M1303" i="4"/>
  <c r="N1303" i="4"/>
  <c r="M1304" i="4"/>
  <c r="N1304" i="4"/>
  <c r="M1305" i="4"/>
  <c r="N1305" i="4"/>
  <c r="M1306" i="4"/>
  <c r="N1306" i="4"/>
  <c r="M1307" i="4"/>
  <c r="N1307" i="4"/>
  <c r="M1308" i="4"/>
  <c r="N1308" i="4"/>
  <c r="M1309" i="4"/>
  <c r="N1309" i="4"/>
  <c r="M1310" i="4"/>
  <c r="N1310" i="4"/>
  <c r="M1311" i="4"/>
  <c r="N1311" i="4"/>
  <c r="M1312" i="4"/>
  <c r="N1312" i="4"/>
  <c r="M1313" i="4"/>
  <c r="N1313" i="4"/>
  <c r="M1314" i="4"/>
  <c r="N1314" i="4"/>
  <c r="M1315" i="4"/>
  <c r="N1315" i="4"/>
  <c r="M1316" i="4"/>
  <c r="N1316" i="4"/>
  <c r="M1317" i="4"/>
  <c r="N1317" i="4"/>
  <c r="M1318" i="4"/>
  <c r="N1318" i="4"/>
  <c r="M1319" i="4"/>
  <c r="N1319" i="4"/>
  <c r="M1320" i="4"/>
  <c r="N1320" i="4"/>
  <c r="M1321" i="4"/>
  <c r="N1321" i="4"/>
  <c r="M1322" i="4"/>
  <c r="N1322" i="4"/>
  <c r="M1323" i="4"/>
  <c r="N1323" i="4"/>
  <c r="M1324" i="4"/>
  <c r="N1324" i="4"/>
  <c r="M1325" i="4"/>
  <c r="N1325" i="4"/>
  <c r="M1326" i="4"/>
  <c r="N1326" i="4"/>
  <c r="M1327" i="4"/>
  <c r="N1327" i="4"/>
  <c r="M1328" i="4"/>
  <c r="N1328" i="4"/>
  <c r="M1329" i="4"/>
  <c r="N1329" i="4"/>
  <c r="M1330" i="4"/>
  <c r="N1330" i="4"/>
  <c r="M1331" i="4"/>
  <c r="N1331" i="4"/>
  <c r="M1332" i="4"/>
  <c r="N1332" i="4"/>
  <c r="M1333" i="4"/>
  <c r="N1333" i="4"/>
  <c r="M1334" i="4"/>
  <c r="N1334" i="4"/>
  <c r="M1335" i="4"/>
  <c r="N1335" i="4"/>
  <c r="M1336" i="4"/>
  <c r="N1336" i="4"/>
  <c r="M1337" i="4"/>
  <c r="N1337" i="4"/>
  <c r="M1338" i="4"/>
  <c r="N1338" i="4"/>
  <c r="M1339" i="4"/>
  <c r="N1339" i="4"/>
  <c r="M1340" i="4"/>
  <c r="N1340" i="4"/>
  <c r="M1341" i="4"/>
  <c r="N1341" i="4"/>
  <c r="M1342" i="4"/>
  <c r="N1342" i="4"/>
  <c r="M1343" i="4"/>
  <c r="N1343" i="4"/>
  <c r="M1344" i="4"/>
  <c r="N1344" i="4"/>
  <c r="M1345" i="4"/>
  <c r="N1345" i="4"/>
  <c r="M1346" i="4"/>
  <c r="N1346" i="4"/>
  <c r="M1347" i="4"/>
  <c r="N1347" i="4"/>
  <c r="M1348" i="4"/>
  <c r="N1348" i="4"/>
  <c r="M1349" i="4"/>
  <c r="N1349" i="4"/>
  <c r="M1350" i="4"/>
  <c r="N1350" i="4"/>
  <c r="M1351" i="4"/>
  <c r="N1351" i="4"/>
  <c r="M1352" i="4"/>
  <c r="N1352" i="4"/>
  <c r="M1353" i="4"/>
  <c r="N1353" i="4"/>
  <c r="M1354" i="4"/>
  <c r="N1354" i="4"/>
  <c r="M1355" i="4"/>
  <c r="N1355" i="4"/>
  <c r="M1356" i="4"/>
  <c r="N1356" i="4"/>
  <c r="M1357" i="4"/>
  <c r="N1357" i="4"/>
  <c r="M1358" i="4"/>
  <c r="N1358" i="4"/>
  <c r="M1359" i="4"/>
  <c r="N1359" i="4"/>
  <c r="M1360" i="4"/>
  <c r="N1360" i="4"/>
  <c r="M1361" i="4"/>
  <c r="N1361" i="4"/>
  <c r="M1362" i="4"/>
  <c r="N1362" i="4"/>
  <c r="M1363" i="4"/>
  <c r="N1363" i="4"/>
  <c r="M1364" i="4"/>
  <c r="N1364" i="4"/>
  <c r="M1365" i="4"/>
  <c r="N1365" i="4"/>
  <c r="M1366" i="4"/>
  <c r="N1366" i="4"/>
  <c r="M1367" i="4"/>
  <c r="N1367" i="4"/>
  <c r="M1368" i="4"/>
  <c r="N1368" i="4"/>
  <c r="M1369" i="4"/>
  <c r="N1369" i="4"/>
  <c r="M1370" i="4"/>
  <c r="N1370" i="4"/>
  <c r="M1371" i="4"/>
  <c r="N1371" i="4"/>
  <c r="M1372" i="4"/>
  <c r="N1372" i="4"/>
  <c r="M1373" i="4"/>
  <c r="N1373" i="4"/>
  <c r="M1374" i="4"/>
  <c r="N1374" i="4"/>
  <c r="M1375" i="4"/>
  <c r="N1375" i="4"/>
  <c r="M1376" i="4"/>
  <c r="N1376" i="4"/>
  <c r="M1377" i="4"/>
  <c r="N1377" i="4"/>
  <c r="M1378" i="4"/>
  <c r="N1378" i="4"/>
  <c r="M1379" i="4"/>
  <c r="N1379" i="4"/>
  <c r="M1380" i="4"/>
  <c r="N1380" i="4"/>
  <c r="M1381" i="4"/>
  <c r="N1381" i="4"/>
  <c r="M1382" i="4"/>
  <c r="N1382" i="4"/>
  <c r="M1383" i="4"/>
  <c r="N1383" i="4"/>
  <c r="M1384" i="4"/>
  <c r="N1384" i="4"/>
  <c r="M1385" i="4"/>
  <c r="N1385" i="4"/>
  <c r="M1386" i="4"/>
  <c r="N1386" i="4"/>
  <c r="M1387" i="4"/>
  <c r="N1387" i="4"/>
  <c r="M1388" i="4"/>
  <c r="N1388" i="4"/>
  <c r="M1389" i="4"/>
  <c r="N1389" i="4"/>
  <c r="M1390" i="4"/>
  <c r="N1390" i="4"/>
  <c r="M1391" i="4"/>
  <c r="N1391" i="4"/>
  <c r="M1392" i="4"/>
  <c r="N1392" i="4"/>
  <c r="M1393" i="4"/>
  <c r="N1393" i="4"/>
  <c r="M1394" i="4"/>
  <c r="N1394" i="4"/>
  <c r="M1395" i="4"/>
  <c r="N1395" i="4"/>
  <c r="M1396" i="4"/>
  <c r="N1396" i="4"/>
  <c r="M1397" i="4"/>
  <c r="N1397" i="4"/>
  <c r="M1398" i="4"/>
  <c r="N1398" i="4"/>
  <c r="M1399" i="4"/>
  <c r="N1399" i="4"/>
  <c r="M1400" i="4"/>
  <c r="N1400" i="4"/>
  <c r="M1401" i="4"/>
  <c r="N1401" i="4"/>
  <c r="M1402" i="4"/>
  <c r="N1402" i="4"/>
  <c r="M1403" i="4"/>
  <c r="N1403" i="4"/>
  <c r="M1404" i="4"/>
  <c r="N1404" i="4"/>
  <c r="M1405" i="4"/>
  <c r="N1405" i="4"/>
  <c r="M1406" i="4"/>
  <c r="N1406" i="4"/>
  <c r="M1407" i="4"/>
  <c r="N1407" i="4"/>
  <c r="M1408" i="4"/>
  <c r="N1408" i="4"/>
  <c r="M1409" i="4"/>
  <c r="N1409" i="4"/>
  <c r="M1410" i="4"/>
  <c r="N1410" i="4"/>
  <c r="M1411" i="4"/>
  <c r="N1411" i="4"/>
  <c r="M1412" i="4"/>
  <c r="N1412" i="4"/>
  <c r="M1413" i="4"/>
  <c r="N1413" i="4"/>
  <c r="M1414" i="4"/>
  <c r="N1414" i="4"/>
  <c r="M1415" i="4"/>
  <c r="N1415" i="4"/>
  <c r="M1416" i="4"/>
  <c r="N1416" i="4"/>
  <c r="M1417" i="4"/>
  <c r="N1417" i="4"/>
  <c r="M1418" i="4"/>
  <c r="N1418" i="4"/>
  <c r="M1419" i="4"/>
  <c r="N1419" i="4"/>
  <c r="M1420" i="4"/>
  <c r="N1420" i="4"/>
  <c r="M1421" i="4"/>
  <c r="N1421" i="4"/>
  <c r="M1422" i="4"/>
  <c r="N1422" i="4"/>
  <c r="M1423" i="4"/>
  <c r="N1423" i="4"/>
  <c r="M1424" i="4"/>
  <c r="N1424" i="4"/>
  <c r="M1425" i="4"/>
  <c r="N1425" i="4"/>
  <c r="M1426" i="4"/>
  <c r="N1426" i="4"/>
  <c r="M1427" i="4"/>
  <c r="N1427" i="4"/>
  <c r="M1428" i="4"/>
  <c r="N1428" i="4"/>
  <c r="M1429" i="4"/>
  <c r="N1429" i="4"/>
  <c r="M1430" i="4"/>
  <c r="N1430" i="4"/>
  <c r="M1431" i="4"/>
  <c r="N1431" i="4"/>
  <c r="M1432" i="4"/>
  <c r="N1432" i="4"/>
  <c r="M1433" i="4"/>
  <c r="N1433" i="4"/>
  <c r="M1434" i="4"/>
  <c r="N1434" i="4"/>
  <c r="M1435" i="4"/>
  <c r="N1435" i="4"/>
  <c r="M1436" i="4"/>
  <c r="N1436" i="4"/>
  <c r="M1437" i="4"/>
  <c r="N1437" i="4"/>
  <c r="M1438" i="4"/>
  <c r="N1438" i="4"/>
  <c r="M1439" i="4"/>
  <c r="N1439" i="4"/>
  <c r="M1440" i="4"/>
  <c r="N1440" i="4"/>
  <c r="M1441" i="4"/>
  <c r="N1441" i="4"/>
  <c r="M1442" i="4"/>
  <c r="N1442" i="4"/>
  <c r="M1443" i="4"/>
  <c r="N1443" i="4"/>
  <c r="M1444" i="4"/>
  <c r="N1444" i="4"/>
  <c r="M1445" i="4"/>
  <c r="N1445" i="4"/>
  <c r="M1446" i="4"/>
  <c r="N1446" i="4"/>
  <c r="M1447" i="4"/>
  <c r="N1447" i="4"/>
  <c r="M1448" i="4"/>
  <c r="N1448" i="4"/>
  <c r="M1449" i="4"/>
  <c r="N1449" i="4"/>
  <c r="M1450" i="4"/>
  <c r="N1450" i="4"/>
  <c r="M1451" i="4"/>
  <c r="N1451" i="4"/>
  <c r="M1452" i="4"/>
  <c r="N1452" i="4"/>
  <c r="M1453" i="4"/>
  <c r="N1453" i="4"/>
  <c r="M1454" i="4"/>
  <c r="N1454" i="4"/>
  <c r="M1455" i="4"/>
  <c r="N1455" i="4"/>
  <c r="M1456" i="4"/>
  <c r="N1456" i="4"/>
  <c r="M1457" i="4"/>
  <c r="N1457" i="4"/>
  <c r="M1458" i="4"/>
  <c r="N1458" i="4"/>
  <c r="M1459" i="4"/>
  <c r="N1459" i="4"/>
  <c r="M1460" i="4"/>
  <c r="N1460" i="4"/>
  <c r="M1461" i="4"/>
  <c r="N1461" i="4"/>
  <c r="M1462" i="4"/>
  <c r="N1462" i="4"/>
  <c r="M1463" i="4"/>
  <c r="N1463" i="4"/>
  <c r="M1464" i="4"/>
  <c r="N1464" i="4"/>
  <c r="M1465" i="4"/>
  <c r="N1465" i="4"/>
  <c r="M1466" i="4"/>
  <c r="N1466" i="4"/>
  <c r="M1467" i="4"/>
  <c r="N1467" i="4"/>
  <c r="M1468" i="4"/>
  <c r="N1468" i="4"/>
  <c r="M1469" i="4"/>
  <c r="N1469" i="4"/>
  <c r="M1470" i="4"/>
  <c r="N1470" i="4"/>
  <c r="M1471" i="4"/>
  <c r="N1471" i="4"/>
  <c r="M1472" i="4"/>
  <c r="N1472" i="4"/>
  <c r="M1473" i="4"/>
  <c r="N1473" i="4"/>
  <c r="M1474" i="4"/>
  <c r="N1474" i="4"/>
  <c r="M1475" i="4"/>
  <c r="N1475" i="4"/>
  <c r="M1476" i="4"/>
  <c r="N1476" i="4"/>
  <c r="M1477" i="4"/>
  <c r="N1477" i="4"/>
  <c r="M1478" i="4"/>
  <c r="N1478" i="4"/>
  <c r="M1479" i="4"/>
  <c r="N1479" i="4"/>
  <c r="M1480" i="4"/>
  <c r="N1480" i="4"/>
  <c r="M1481" i="4"/>
  <c r="N1481" i="4"/>
  <c r="M1482" i="4"/>
  <c r="N1482" i="4"/>
  <c r="M1483" i="4"/>
  <c r="N1483" i="4"/>
  <c r="M1484" i="4"/>
  <c r="N1484" i="4"/>
  <c r="M1485" i="4"/>
  <c r="N1485" i="4"/>
  <c r="M1486" i="4"/>
  <c r="N1486" i="4"/>
  <c r="M1487" i="4"/>
  <c r="N1487" i="4"/>
  <c r="M1488" i="4"/>
  <c r="N1488" i="4"/>
  <c r="M1489" i="4"/>
  <c r="N1489" i="4"/>
  <c r="M1490" i="4"/>
  <c r="N1490" i="4"/>
  <c r="M1491" i="4"/>
  <c r="N1491" i="4"/>
  <c r="M1492" i="4"/>
  <c r="N1492" i="4"/>
  <c r="M1493" i="4"/>
  <c r="N1493" i="4"/>
  <c r="M1494" i="4"/>
  <c r="N1494" i="4"/>
  <c r="M1495" i="4"/>
  <c r="N1495" i="4"/>
  <c r="M1496" i="4"/>
  <c r="N1496" i="4"/>
  <c r="M1497" i="4"/>
  <c r="N1497" i="4"/>
  <c r="M1498" i="4"/>
  <c r="N1498" i="4"/>
  <c r="M1499" i="4"/>
  <c r="N1499" i="4"/>
  <c r="M1500" i="4"/>
  <c r="N1500" i="4"/>
  <c r="M1501" i="4"/>
  <c r="N1501" i="4"/>
  <c r="M1502" i="4"/>
  <c r="N1502" i="4"/>
  <c r="M1503" i="4"/>
  <c r="N1503" i="4"/>
  <c r="M1504" i="4"/>
  <c r="N1504" i="4"/>
  <c r="M1505" i="4"/>
  <c r="N1505" i="4"/>
  <c r="M1506" i="4"/>
  <c r="N1506" i="4"/>
  <c r="M1507" i="4"/>
  <c r="N1507" i="4"/>
  <c r="M1508" i="4"/>
  <c r="N1508" i="4"/>
  <c r="M1509" i="4"/>
  <c r="N1509" i="4"/>
  <c r="M1510" i="4"/>
  <c r="N1510" i="4"/>
  <c r="M1511" i="4"/>
  <c r="N1511" i="4"/>
  <c r="M1512" i="4"/>
  <c r="N1512" i="4"/>
  <c r="M1513" i="4"/>
  <c r="N1513" i="4"/>
  <c r="M1514" i="4"/>
  <c r="N1514" i="4"/>
  <c r="M1515" i="4"/>
  <c r="N1515" i="4"/>
  <c r="M1516" i="4"/>
  <c r="N1516" i="4"/>
  <c r="M1517" i="4"/>
  <c r="N1517" i="4"/>
  <c r="M1518" i="4"/>
  <c r="N1518" i="4"/>
  <c r="M1519" i="4"/>
  <c r="N1519" i="4"/>
  <c r="M1520" i="4"/>
  <c r="N1520" i="4"/>
  <c r="M1521" i="4"/>
  <c r="N1521" i="4"/>
  <c r="M1522" i="4"/>
  <c r="N1522" i="4"/>
  <c r="M1523" i="4"/>
  <c r="N1523" i="4"/>
  <c r="M1524" i="4"/>
  <c r="N1524" i="4"/>
  <c r="M1525" i="4"/>
  <c r="N1525" i="4"/>
  <c r="M1526" i="4"/>
  <c r="N1526" i="4"/>
  <c r="M1527" i="4"/>
  <c r="N1527" i="4"/>
  <c r="M1528" i="4"/>
  <c r="N1528" i="4"/>
  <c r="M1529" i="4"/>
  <c r="N1529" i="4"/>
  <c r="M1530" i="4"/>
  <c r="N1530" i="4"/>
  <c r="M1531" i="4"/>
  <c r="N1531" i="4"/>
  <c r="M1532" i="4"/>
  <c r="N1532" i="4"/>
  <c r="M1533" i="4"/>
  <c r="N1533" i="4"/>
  <c r="M1534" i="4"/>
  <c r="N1534" i="4"/>
  <c r="M1535" i="4"/>
  <c r="N1535" i="4"/>
  <c r="M1536" i="4"/>
  <c r="N1536" i="4"/>
  <c r="M1537" i="4"/>
  <c r="N1537" i="4"/>
  <c r="M1538" i="4"/>
  <c r="N1538" i="4"/>
  <c r="M1539" i="4"/>
  <c r="N1539" i="4"/>
  <c r="M1540" i="4"/>
  <c r="N1540" i="4"/>
  <c r="M1541" i="4"/>
  <c r="N1541" i="4"/>
  <c r="M1542" i="4"/>
  <c r="N1542" i="4"/>
  <c r="M1543" i="4"/>
  <c r="N1543" i="4"/>
  <c r="M1544" i="4"/>
  <c r="N1544" i="4"/>
  <c r="M1545" i="4"/>
  <c r="N1545" i="4"/>
  <c r="M1546" i="4"/>
  <c r="N1546" i="4"/>
  <c r="M1547" i="4"/>
  <c r="N1547" i="4"/>
  <c r="M1548" i="4"/>
  <c r="N1548" i="4"/>
  <c r="M1549" i="4"/>
  <c r="N1549" i="4"/>
  <c r="M1550" i="4"/>
  <c r="N1550" i="4"/>
  <c r="M1551" i="4"/>
  <c r="N1551" i="4"/>
  <c r="M1552" i="4"/>
  <c r="N1552" i="4"/>
  <c r="M1553" i="4"/>
  <c r="N1553" i="4"/>
  <c r="M1554" i="4"/>
  <c r="N1554" i="4"/>
  <c r="M1555" i="4"/>
  <c r="N1555" i="4"/>
  <c r="M1556" i="4"/>
  <c r="N1556" i="4"/>
  <c r="M1557" i="4"/>
  <c r="N1557" i="4"/>
  <c r="M1558" i="4"/>
  <c r="N1558" i="4"/>
  <c r="M1559" i="4"/>
  <c r="N1559" i="4"/>
  <c r="M1560" i="4"/>
  <c r="N1560" i="4"/>
  <c r="M1561" i="4"/>
  <c r="N1561" i="4"/>
  <c r="M1562" i="4"/>
  <c r="N1562" i="4"/>
  <c r="M1563" i="4"/>
  <c r="N1563" i="4"/>
  <c r="M1564" i="4"/>
  <c r="N1564" i="4"/>
  <c r="M1565" i="4"/>
  <c r="N1565" i="4"/>
  <c r="M1566" i="4"/>
  <c r="N1566" i="4"/>
  <c r="M1567" i="4"/>
  <c r="N1567" i="4"/>
  <c r="M1568" i="4"/>
  <c r="N1568" i="4"/>
  <c r="M1569" i="4"/>
  <c r="N1569" i="4"/>
  <c r="M1570" i="4"/>
  <c r="N1570" i="4"/>
  <c r="M1571" i="4"/>
  <c r="N1571" i="4"/>
  <c r="M1572" i="4"/>
  <c r="N1572" i="4"/>
  <c r="M1573" i="4"/>
  <c r="N1573" i="4"/>
  <c r="M1574" i="4"/>
  <c r="N1574" i="4"/>
  <c r="M1575" i="4"/>
  <c r="N1575" i="4"/>
  <c r="M1576" i="4"/>
  <c r="N1576" i="4"/>
  <c r="M1577" i="4"/>
  <c r="N1577" i="4"/>
  <c r="M1578" i="4"/>
  <c r="N1578" i="4"/>
  <c r="M1579" i="4"/>
  <c r="N1579" i="4"/>
  <c r="M1580" i="4"/>
  <c r="N1580" i="4"/>
  <c r="M1581" i="4"/>
  <c r="N1581" i="4"/>
  <c r="M1582" i="4"/>
  <c r="N1582" i="4"/>
  <c r="M1583" i="4"/>
  <c r="N1583" i="4"/>
  <c r="M1584" i="4"/>
  <c r="N1584" i="4"/>
  <c r="M1585" i="4"/>
  <c r="N1585" i="4"/>
  <c r="M1586" i="4"/>
  <c r="N1586" i="4"/>
  <c r="M1587" i="4"/>
  <c r="N1587" i="4"/>
  <c r="M1588" i="4"/>
  <c r="N1588" i="4"/>
  <c r="M1589" i="4"/>
  <c r="N1589" i="4"/>
  <c r="M1590" i="4"/>
  <c r="N1590" i="4"/>
  <c r="M1591" i="4"/>
  <c r="N1591" i="4"/>
  <c r="M1592" i="4"/>
  <c r="N1592" i="4"/>
  <c r="M1593" i="4"/>
  <c r="N1593" i="4"/>
  <c r="M1594" i="4"/>
  <c r="N1594" i="4"/>
  <c r="M1595" i="4"/>
  <c r="N1595" i="4"/>
  <c r="M1596" i="4"/>
  <c r="N1596" i="4"/>
  <c r="M1597" i="4"/>
  <c r="N1597" i="4"/>
  <c r="M1598" i="4"/>
  <c r="N1598" i="4"/>
  <c r="M1599" i="4"/>
  <c r="N1599" i="4"/>
  <c r="M1600" i="4"/>
  <c r="N1600" i="4"/>
  <c r="M1601" i="4"/>
  <c r="N1601" i="4"/>
  <c r="M1602" i="4"/>
  <c r="N1602" i="4"/>
  <c r="M1603" i="4"/>
  <c r="N1603" i="4"/>
  <c r="M1604" i="4"/>
  <c r="N1604" i="4"/>
  <c r="M1605" i="4"/>
  <c r="N1605" i="4"/>
  <c r="M1606" i="4"/>
  <c r="N1606" i="4"/>
  <c r="M1607" i="4"/>
  <c r="N1607" i="4"/>
  <c r="M1608" i="4"/>
  <c r="N1608" i="4"/>
  <c r="M1609" i="4"/>
  <c r="N1609" i="4"/>
  <c r="M1610" i="4"/>
  <c r="N1610" i="4"/>
  <c r="M1611" i="4"/>
  <c r="N1611" i="4"/>
  <c r="M1612" i="4"/>
  <c r="N1612" i="4"/>
  <c r="M1613" i="4"/>
  <c r="N1613" i="4"/>
  <c r="M1614" i="4"/>
  <c r="N1614" i="4"/>
  <c r="M1615" i="4"/>
  <c r="N1615" i="4"/>
  <c r="M1616" i="4"/>
  <c r="N1616" i="4"/>
  <c r="M1617" i="4"/>
  <c r="N1617" i="4"/>
  <c r="M1618" i="4"/>
  <c r="N1618" i="4"/>
  <c r="M1619" i="4"/>
  <c r="N1619" i="4"/>
  <c r="M1620" i="4"/>
  <c r="N1620" i="4"/>
  <c r="M1621" i="4"/>
  <c r="N1621" i="4"/>
  <c r="M1622" i="4"/>
  <c r="N1622" i="4"/>
  <c r="M1623" i="4"/>
  <c r="N1623" i="4"/>
  <c r="M1624" i="4"/>
  <c r="N1624" i="4"/>
  <c r="M1625" i="4"/>
  <c r="N1625" i="4"/>
  <c r="M1626" i="4"/>
  <c r="N1626" i="4"/>
  <c r="M1627" i="4"/>
  <c r="N1627" i="4"/>
  <c r="M1628" i="4"/>
  <c r="N1628" i="4"/>
  <c r="M1629" i="4"/>
  <c r="N1629" i="4"/>
  <c r="M1630" i="4"/>
  <c r="N1630" i="4"/>
  <c r="M1631" i="4"/>
  <c r="N1631" i="4"/>
  <c r="M1632" i="4"/>
  <c r="N1632" i="4"/>
  <c r="M1633" i="4"/>
  <c r="N1633" i="4"/>
  <c r="M1634" i="4"/>
  <c r="N1634" i="4"/>
  <c r="M1635" i="4"/>
  <c r="N1635" i="4"/>
  <c r="M1636" i="4"/>
  <c r="N1636" i="4"/>
  <c r="M1637" i="4"/>
  <c r="N1637" i="4"/>
  <c r="M1638" i="4"/>
  <c r="N1638" i="4"/>
  <c r="M1639" i="4"/>
  <c r="N1639" i="4"/>
  <c r="M1640" i="4"/>
  <c r="N1640" i="4"/>
  <c r="M1641" i="4"/>
  <c r="N1641" i="4"/>
  <c r="M1642" i="4"/>
  <c r="N1642" i="4"/>
  <c r="M1643" i="4"/>
  <c r="N1643" i="4"/>
  <c r="M1644" i="4"/>
  <c r="N1644" i="4"/>
  <c r="M1645" i="4"/>
  <c r="N1645" i="4"/>
  <c r="M1646" i="4"/>
  <c r="N1646" i="4"/>
  <c r="M1647" i="4"/>
  <c r="N1647" i="4"/>
  <c r="M1648" i="4"/>
  <c r="N1648" i="4"/>
  <c r="M1649" i="4"/>
  <c r="N1649" i="4"/>
  <c r="M1650" i="4"/>
  <c r="N1650" i="4"/>
  <c r="M1651" i="4"/>
  <c r="N1651" i="4"/>
  <c r="M1652" i="4"/>
  <c r="N1652" i="4"/>
  <c r="M1653" i="4"/>
  <c r="N1653" i="4"/>
  <c r="M1654" i="4"/>
  <c r="N1654" i="4"/>
  <c r="M1655" i="4"/>
  <c r="N1655" i="4"/>
  <c r="M1656" i="4"/>
  <c r="N1656" i="4"/>
  <c r="M1657" i="4"/>
  <c r="N1657" i="4"/>
  <c r="M1658" i="4"/>
  <c r="N1658" i="4"/>
  <c r="M1659" i="4"/>
  <c r="N1659" i="4"/>
  <c r="M1660" i="4"/>
  <c r="N1660" i="4"/>
  <c r="M1661" i="4"/>
  <c r="N1661" i="4"/>
  <c r="M1662" i="4"/>
  <c r="N1662" i="4"/>
  <c r="M1663" i="4"/>
  <c r="N1663" i="4"/>
  <c r="M1664" i="4"/>
  <c r="N1664" i="4"/>
  <c r="M1665" i="4"/>
  <c r="N1665" i="4"/>
  <c r="M1666" i="4"/>
  <c r="N1666" i="4"/>
  <c r="M1667" i="4"/>
  <c r="N1667" i="4"/>
  <c r="M1668" i="4"/>
  <c r="N1668" i="4"/>
  <c r="M1669" i="4"/>
  <c r="N1669" i="4"/>
  <c r="M1670" i="4"/>
  <c r="N1670" i="4"/>
  <c r="M1671" i="4"/>
  <c r="N1671" i="4"/>
  <c r="M1672" i="4"/>
  <c r="N1672" i="4"/>
  <c r="M1673" i="4"/>
  <c r="N1673" i="4"/>
  <c r="M1674" i="4"/>
  <c r="N1674" i="4"/>
  <c r="M1675" i="4"/>
  <c r="N1675" i="4"/>
  <c r="M1676" i="4"/>
  <c r="N1676" i="4"/>
  <c r="M1677" i="4"/>
  <c r="N1677" i="4"/>
  <c r="M1678" i="4"/>
  <c r="N1678" i="4"/>
  <c r="M1679" i="4"/>
  <c r="N1679" i="4"/>
  <c r="M1680" i="4"/>
  <c r="N1680" i="4"/>
  <c r="M1681" i="4"/>
  <c r="N1681" i="4"/>
  <c r="M1682" i="4"/>
  <c r="N1682" i="4"/>
  <c r="M1683" i="4"/>
  <c r="N1683" i="4"/>
  <c r="M1684" i="4"/>
  <c r="N1684" i="4"/>
  <c r="M1685" i="4"/>
  <c r="N1685" i="4"/>
  <c r="M1686" i="4"/>
  <c r="N1686" i="4"/>
  <c r="M1687" i="4"/>
  <c r="N1687" i="4"/>
  <c r="M1688" i="4"/>
  <c r="N1688" i="4"/>
  <c r="M1689" i="4"/>
  <c r="N1689" i="4"/>
  <c r="M1690" i="4"/>
  <c r="N1690" i="4"/>
  <c r="M1691" i="4"/>
  <c r="N1691" i="4"/>
  <c r="M1692" i="4"/>
  <c r="N1692" i="4"/>
  <c r="M1693" i="4"/>
  <c r="N1693" i="4"/>
  <c r="M1694" i="4"/>
  <c r="N1694" i="4"/>
  <c r="M1695" i="4"/>
  <c r="N1695" i="4"/>
  <c r="M1696" i="4"/>
  <c r="N1696" i="4"/>
  <c r="M1697" i="4"/>
  <c r="N1697" i="4"/>
  <c r="M1698" i="4"/>
  <c r="N1698" i="4"/>
  <c r="M1699" i="4"/>
  <c r="N1699" i="4"/>
  <c r="M1700" i="4"/>
  <c r="N1700" i="4"/>
  <c r="M1701" i="4"/>
  <c r="N1701" i="4"/>
  <c r="M1702" i="4"/>
  <c r="N1702" i="4"/>
  <c r="M1703" i="4"/>
  <c r="N1703" i="4"/>
  <c r="M1704" i="4"/>
  <c r="N1704" i="4"/>
  <c r="M1705" i="4"/>
  <c r="N1705" i="4"/>
  <c r="M1706" i="4"/>
  <c r="N1706" i="4"/>
  <c r="M1707" i="4"/>
  <c r="N1707" i="4"/>
  <c r="M1708" i="4"/>
  <c r="N1708" i="4"/>
  <c r="M1709" i="4"/>
  <c r="N1709" i="4"/>
  <c r="M1710" i="4"/>
  <c r="N1710" i="4"/>
  <c r="M1711" i="4"/>
  <c r="N1711" i="4"/>
  <c r="M1712" i="4"/>
  <c r="N1712" i="4"/>
  <c r="M1713" i="4"/>
  <c r="N1713" i="4"/>
  <c r="M1714" i="4"/>
  <c r="N1714" i="4"/>
  <c r="M1715" i="4"/>
  <c r="N1715" i="4"/>
  <c r="M1716" i="4"/>
  <c r="N1716" i="4"/>
  <c r="M1717" i="4"/>
  <c r="N1717" i="4"/>
  <c r="M1718" i="4"/>
  <c r="N1718" i="4"/>
  <c r="M1719" i="4"/>
  <c r="N1719" i="4"/>
  <c r="M1720" i="4"/>
  <c r="N1720" i="4"/>
  <c r="M1721" i="4"/>
  <c r="N1721" i="4"/>
  <c r="M1722" i="4"/>
  <c r="N1722" i="4"/>
  <c r="M1723" i="4"/>
  <c r="N1723" i="4"/>
  <c r="M1724" i="4"/>
  <c r="N1724" i="4"/>
  <c r="M1725" i="4"/>
  <c r="N1725" i="4"/>
  <c r="M1726" i="4"/>
  <c r="N1726" i="4"/>
  <c r="M1727" i="4"/>
  <c r="N1727" i="4"/>
  <c r="M1728" i="4"/>
  <c r="N1728" i="4"/>
  <c r="M1729" i="4"/>
  <c r="N1729" i="4"/>
  <c r="M1730" i="4"/>
  <c r="N1730" i="4"/>
  <c r="M1731" i="4"/>
  <c r="N1731" i="4"/>
  <c r="M1732" i="4"/>
  <c r="N1732" i="4"/>
  <c r="M1733" i="4"/>
  <c r="N1733" i="4"/>
  <c r="M1734" i="4"/>
  <c r="N1734" i="4"/>
  <c r="M1735" i="4"/>
  <c r="N1735" i="4"/>
  <c r="M1736" i="4"/>
  <c r="N1736" i="4"/>
  <c r="M1737" i="4"/>
  <c r="N1737" i="4"/>
  <c r="M1738" i="4"/>
  <c r="N1738" i="4"/>
  <c r="M1739" i="4"/>
  <c r="N1739" i="4"/>
  <c r="M1740" i="4"/>
  <c r="N1740" i="4"/>
  <c r="M1741" i="4"/>
  <c r="N1741" i="4"/>
  <c r="M1742" i="4"/>
  <c r="N1742" i="4"/>
  <c r="M1743" i="4"/>
  <c r="N1743" i="4"/>
  <c r="M1744" i="4"/>
  <c r="N1744" i="4"/>
  <c r="M1745" i="4"/>
  <c r="N1745" i="4"/>
  <c r="M1746" i="4"/>
  <c r="N1746" i="4"/>
  <c r="M1747" i="4"/>
  <c r="N1747" i="4"/>
  <c r="M1748" i="4"/>
  <c r="N1748" i="4"/>
  <c r="M1749" i="4"/>
  <c r="N1749" i="4"/>
  <c r="M1750" i="4"/>
  <c r="N1750" i="4"/>
  <c r="M1751" i="4"/>
  <c r="N1751" i="4"/>
  <c r="M1752" i="4"/>
  <c r="N1752" i="4"/>
  <c r="M1753" i="4"/>
  <c r="N1753" i="4"/>
  <c r="M1754" i="4"/>
  <c r="N1754" i="4"/>
  <c r="M1755" i="4"/>
  <c r="N1755" i="4"/>
  <c r="M1756" i="4"/>
  <c r="N1756" i="4"/>
  <c r="M1757" i="4"/>
  <c r="N1757" i="4"/>
  <c r="M1758" i="4"/>
  <c r="N1758" i="4"/>
  <c r="M1759" i="4"/>
  <c r="N1759" i="4"/>
  <c r="M1760" i="4"/>
  <c r="N1760" i="4"/>
  <c r="M1761" i="4"/>
  <c r="N1761" i="4"/>
  <c r="M1762" i="4"/>
  <c r="N1762" i="4"/>
  <c r="M1763" i="4"/>
  <c r="N1763" i="4"/>
  <c r="M1764" i="4"/>
  <c r="N1764" i="4"/>
  <c r="M1765" i="4"/>
  <c r="N1765" i="4"/>
  <c r="M1766" i="4"/>
  <c r="N1766" i="4"/>
  <c r="M1767" i="4"/>
  <c r="N1767" i="4"/>
  <c r="M1768" i="4"/>
  <c r="N1768" i="4"/>
  <c r="M1769" i="4"/>
  <c r="N1769" i="4"/>
  <c r="M1770" i="4"/>
  <c r="N1770" i="4"/>
  <c r="M1771" i="4"/>
  <c r="N1771" i="4"/>
  <c r="M1772" i="4"/>
  <c r="N1772" i="4"/>
  <c r="M1773" i="4"/>
  <c r="N1773" i="4"/>
  <c r="M1774" i="4"/>
  <c r="N1774" i="4"/>
  <c r="M1775" i="4"/>
  <c r="N1775" i="4"/>
  <c r="M1776" i="4"/>
  <c r="N1776" i="4"/>
  <c r="M1777" i="4"/>
  <c r="N1777" i="4"/>
  <c r="M1778" i="4"/>
  <c r="N1778" i="4"/>
  <c r="M1779" i="4"/>
  <c r="N1779" i="4"/>
  <c r="M1780" i="4"/>
  <c r="N1780" i="4"/>
  <c r="M1781" i="4"/>
  <c r="N1781" i="4"/>
  <c r="M1782" i="4"/>
  <c r="N1782" i="4"/>
  <c r="M1783" i="4"/>
  <c r="N1783" i="4"/>
  <c r="M1784" i="4"/>
  <c r="N1784" i="4"/>
  <c r="M1785" i="4"/>
  <c r="N1785" i="4"/>
  <c r="M1786" i="4"/>
  <c r="N1786" i="4"/>
  <c r="M1787" i="4"/>
  <c r="N1787" i="4"/>
  <c r="M1788" i="4"/>
  <c r="N1788" i="4"/>
  <c r="M1789" i="4"/>
  <c r="N1789" i="4"/>
  <c r="M1790" i="4"/>
  <c r="N1790" i="4"/>
  <c r="M1791" i="4"/>
  <c r="N1791" i="4"/>
  <c r="M1792" i="4"/>
  <c r="N1792" i="4"/>
  <c r="M1793" i="4"/>
  <c r="N1793" i="4"/>
  <c r="M1794" i="4"/>
  <c r="N1794" i="4"/>
  <c r="M1795" i="4"/>
  <c r="N1795" i="4"/>
  <c r="M1796" i="4"/>
  <c r="N1796" i="4"/>
  <c r="M1797" i="4"/>
  <c r="N1797" i="4"/>
  <c r="M1798" i="4"/>
  <c r="N1798" i="4"/>
  <c r="M1799" i="4"/>
  <c r="N1799" i="4"/>
  <c r="M1800" i="4"/>
  <c r="N1800" i="4"/>
  <c r="M1801" i="4"/>
  <c r="N1801" i="4"/>
  <c r="M1802" i="4"/>
  <c r="N1802" i="4"/>
  <c r="M1803" i="4"/>
  <c r="N1803" i="4"/>
  <c r="M1804" i="4"/>
  <c r="N1804" i="4"/>
  <c r="M1805" i="4"/>
  <c r="N1805" i="4"/>
  <c r="M1806" i="4"/>
  <c r="N1806" i="4"/>
  <c r="M1807" i="4"/>
  <c r="N1807" i="4"/>
  <c r="M1808" i="4"/>
  <c r="N1808" i="4"/>
  <c r="M1809" i="4"/>
  <c r="N1809" i="4"/>
  <c r="M1810" i="4"/>
  <c r="N1810" i="4"/>
  <c r="M1811" i="4"/>
  <c r="N1811" i="4"/>
  <c r="M1812" i="4"/>
  <c r="N1812" i="4"/>
  <c r="M1813" i="4"/>
  <c r="N1813" i="4"/>
  <c r="M1814" i="4"/>
  <c r="N1814" i="4"/>
  <c r="M1815" i="4"/>
  <c r="N1815" i="4"/>
  <c r="M1816" i="4"/>
  <c r="N1816" i="4"/>
  <c r="M1817" i="4"/>
  <c r="N1817" i="4"/>
  <c r="M1818" i="4"/>
  <c r="N1818" i="4"/>
  <c r="M1819" i="4"/>
  <c r="N1819" i="4"/>
  <c r="M1820" i="4"/>
  <c r="N1820" i="4"/>
  <c r="M1821" i="4"/>
  <c r="N1821" i="4"/>
  <c r="M1822" i="4"/>
  <c r="N1822" i="4"/>
  <c r="M1823" i="4"/>
  <c r="N1823" i="4"/>
  <c r="M1824" i="4"/>
  <c r="N1824" i="4"/>
  <c r="M1825" i="4"/>
  <c r="N1825" i="4"/>
  <c r="M1826" i="4"/>
  <c r="N1826" i="4"/>
  <c r="M1827" i="4"/>
  <c r="N1827" i="4"/>
  <c r="M1828" i="4"/>
  <c r="N1828" i="4"/>
  <c r="M1829" i="4"/>
  <c r="N1829" i="4"/>
  <c r="M1830" i="4"/>
  <c r="N1830" i="4"/>
  <c r="M1831" i="4"/>
  <c r="N1831" i="4"/>
  <c r="M1832" i="4"/>
  <c r="N1832" i="4"/>
  <c r="M1833" i="4"/>
  <c r="N1833" i="4"/>
  <c r="M1834" i="4"/>
  <c r="N1834" i="4"/>
  <c r="M1835" i="4"/>
  <c r="N1835" i="4"/>
  <c r="M1836" i="4"/>
  <c r="N1836" i="4"/>
  <c r="M1837" i="4"/>
  <c r="N1837" i="4"/>
  <c r="M1838" i="4"/>
  <c r="N1838" i="4"/>
  <c r="M1839" i="4"/>
  <c r="N1839" i="4"/>
  <c r="M1840" i="4"/>
  <c r="N1840" i="4"/>
  <c r="M1841" i="4"/>
  <c r="N1841" i="4"/>
  <c r="M1842" i="4"/>
  <c r="N1842" i="4"/>
  <c r="M1843" i="4"/>
  <c r="N1843" i="4"/>
  <c r="M1844" i="4"/>
  <c r="N1844" i="4"/>
  <c r="M1845" i="4"/>
  <c r="N1845" i="4"/>
  <c r="M1846" i="4"/>
  <c r="N1846" i="4"/>
  <c r="M1847" i="4"/>
  <c r="N1847" i="4"/>
  <c r="M1848" i="4"/>
  <c r="N1848" i="4"/>
  <c r="M1849" i="4"/>
  <c r="N1849" i="4"/>
  <c r="M1850" i="4"/>
  <c r="N1850" i="4"/>
  <c r="M1851" i="4"/>
  <c r="N1851" i="4"/>
  <c r="M1852" i="4"/>
  <c r="N1852" i="4"/>
  <c r="M1853" i="4"/>
  <c r="N1853" i="4"/>
  <c r="M1854" i="4"/>
  <c r="N1854" i="4"/>
  <c r="M1855" i="4"/>
  <c r="N1855" i="4"/>
  <c r="M1856" i="4"/>
  <c r="N1856" i="4"/>
  <c r="M1857" i="4"/>
  <c r="N1857" i="4"/>
  <c r="M1858" i="4"/>
  <c r="N1858" i="4"/>
  <c r="M1859" i="4"/>
  <c r="N1859" i="4"/>
  <c r="M1860" i="4"/>
  <c r="N1860" i="4"/>
  <c r="M1861" i="4"/>
  <c r="N1861" i="4"/>
  <c r="M1862" i="4"/>
  <c r="N1862" i="4"/>
  <c r="M1863" i="4"/>
  <c r="N1863" i="4"/>
  <c r="M1864" i="4"/>
  <c r="N1864" i="4"/>
  <c r="M1865" i="4"/>
  <c r="N1865" i="4"/>
  <c r="M1866" i="4"/>
  <c r="N1866" i="4"/>
  <c r="M1867" i="4"/>
  <c r="N1867" i="4"/>
  <c r="M1868" i="4"/>
  <c r="N1868" i="4"/>
  <c r="M1869" i="4"/>
  <c r="N1869" i="4"/>
  <c r="M1870" i="4"/>
  <c r="N1870" i="4"/>
  <c r="M1871" i="4"/>
  <c r="N1871" i="4"/>
  <c r="M1872" i="4"/>
  <c r="N1872" i="4"/>
  <c r="M1873" i="4"/>
  <c r="N1873" i="4"/>
  <c r="M1874" i="4"/>
  <c r="N1874" i="4"/>
  <c r="M1875" i="4"/>
  <c r="N1875" i="4"/>
  <c r="M1876" i="4"/>
  <c r="N1876" i="4"/>
  <c r="M1877" i="4"/>
  <c r="N1877" i="4"/>
  <c r="M1878" i="4"/>
  <c r="N1878" i="4"/>
  <c r="M1879" i="4"/>
  <c r="N1879" i="4"/>
  <c r="M1880" i="4"/>
  <c r="N1880" i="4"/>
  <c r="M1881" i="4"/>
  <c r="N1881" i="4"/>
  <c r="M1882" i="4"/>
  <c r="N1882" i="4"/>
  <c r="M1883" i="4"/>
  <c r="N1883" i="4"/>
  <c r="M1884" i="4"/>
  <c r="N1884" i="4"/>
  <c r="M1885" i="4"/>
  <c r="N1885" i="4"/>
  <c r="M1886" i="4"/>
  <c r="N1886" i="4"/>
  <c r="M1887" i="4"/>
  <c r="N1887" i="4"/>
  <c r="M1888" i="4"/>
  <c r="N1888" i="4"/>
  <c r="M1889" i="4"/>
  <c r="N1889" i="4"/>
  <c r="M1890" i="4"/>
  <c r="N1890" i="4"/>
  <c r="M1891" i="4"/>
  <c r="N1891" i="4"/>
  <c r="M1892" i="4"/>
  <c r="N1892" i="4"/>
  <c r="M1893" i="4"/>
  <c r="N1893" i="4"/>
  <c r="M1894" i="4"/>
  <c r="N1894" i="4"/>
  <c r="M1895" i="4"/>
  <c r="N1895" i="4"/>
  <c r="M1896" i="4"/>
  <c r="N1896" i="4"/>
  <c r="M1897" i="4"/>
  <c r="N1897" i="4"/>
  <c r="M1898" i="4"/>
  <c r="N1898" i="4"/>
  <c r="M1899" i="4"/>
  <c r="N1899" i="4"/>
  <c r="M1900" i="4"/>
  <c r="N1900" i="4"/>
  <c r="M1901" i="4"/>
  <c r="N1901" i="4"/>
  <c r="M1902" i="4"/>
  <c r="N1902" i="4"/>
  <c r="M1903" i="4"/>
  <c r="N1903" i="4"/>
  <c r="M1904" i="4"/>
  <c r="N1904" i="4"/>
  <c r="M1905" i="4"/>
  <c r="N1905" i="4"/>
  <c r="M1906" i="4"/>
  <c r="N1906" i="4"/>
  <c r="M1907" i="4"/>
  <c r="N1907" i="4"/>
  <c r="M1908" i="4"/>
  <c r="N1908" i="4"/>
  <c r="M1909" i="4"/>
  <c r="N1909" i="4"/>
  <c r="M1910" i="4"/>
  <c r="N1910" i="4"/>
  <c r="M1911" i="4"/>
  <c r="N1911" i="4"/>
  <c r="M1912" i="4"/>
  <c r="N1912" i="4"/>
  <c r="M1913" i="4"/>
  <c r="N1913" i="4"/>
  <c r="M1914" i="4"/>
  <c r="N1914" i="4"/>
  <c r="M1915" i="4"/>
  <c r="N1915" i="4"/>
  <c r="M1916" i="4"/>
  <c r="N1916" i="4"/>
  <c r="M1917" i="4"/>
  <c r="N1917" i="4"/>
  <c r="M1918" i="4"/>
  <c r="N1918" i="4"/>
  <c r="M1919" i="4"/>
  <c r="N1919" i="4"/>
  <c r="M1920" i="4"/>
  <c r="N1920" i="4"/>
  <c r="M1921" i="4"/>
  <c r="N1921" i="4"/>
  <c r="M1922" i="4"/>
  <c r="N1922" i="4"/>
  <c r="M1923" i="4"/>
  <c r="N1923" i="4"/>
  <c r="M1924" i="4"/>
  <c r="N1924" i="4"/>
  <c r="M1925" i="4"/>
  <c r="N1925" i="4"/>
  <c r="M1926" i="4"/>
  <c r="N1926" i="4"/>
  <c r="M1927" i="4"/>
  <c r="N1927" i="4"/>
  <c r="M1928" i="4"/>
  <c r="N1928" i="4"/>
  <c r="M1929" i="4"/>
  <c r="N1929" i="4"/>
  <c r="M1930" i="4"/>
  <c r="N1930" i="4"/>
  <c r="M1931" i="4"/>
  <c r="N1931" i="4"/>
  <c r="M1932" i="4"/>
  <c r="N1932" i="4"/>
  <c r="M1933" i="4"/>
  <c r="N1933" i="4"/>
  <c r="M1934" i="4"/>
  <c r="N1934" i="4"/>
  <c r="M1935" i="4"/>
  <c r="N1935" i="4"/>
  <c r="M1936" i="4"/>
  <c r="N1936" i="4"/>
  <c r="M1937" i="4"/>
  <c r="N1937" i="4"/>
  <c r="M1938" i="4"/>
  <c r="N1938" i="4"/>
  <c r="M1939" i="4"/>
  <c r="N1939" i="4"/>
  <c r="M1940" i="4"/>
  <c r="N1940" i="4"/>
  <c r="M1941" i="4"/>
  <c r="N1941" i="4"/>
  <c r="M1942" i="4"/>
  <c r="N1942" i="4"/>
  <c r="M1943" i="4"/>
  <c r="N1943" i="4"/>
  <c r="M1944" i="4"/>
  <c r="N1944" i="4"/>
  <c r="M1945" i="4"/>
  <c r="N1945" i="4"/>
  <c r="M1946" i="4"/>
  <c r="N1946" i="4"/>
  <c r="M1947" i="4"/>
  <c r="N1947" i="4"/>
  <c r="M1948" i="4"/>
  <c r="N1948" i="4"/>
  <c r="M1949" i="4"/>
  <c r="N1949" i="4"/>
  <c r="M1950" i="4"/>
  <c r="N1950" i="4"/>
  <c r="M1951" i="4"/>
  <c r="N1951" i="4"/>
  <c r="M1952" i="4"/>
  <c r="N1952" i="4"/>
  <c r="M1953" i="4"/>
  <c r="N1953" i="4"/>
  <c r="M1954" i="4"/>
  <c r="N1954" i="4"/>
  <c r="M1955" i="4"/>
  <c r="N1955" i="4"/>
  <c r="M1956" i="4"/>
  <c r="N1956" i="4"/>
  <c r="M1957" i="4"/>
  <c r="N1957" i="4"/>
  <c r="E31" i="20" a="1"/>
  <c r="E31" i="20" s="1"/>
  <c r="O20" i="20" a="1"/>
  <c r="O20" i="20" s="1"/>
  <c r="G2" i="6"/>
  <c r="E289" i="6"/>
  <c r="F2" i="6"/>
  <c r="B2" i="6"/>
  <c r="B3" i="6"/>
  <c r="B4" i="6"/>
  <c r="B5" i="6"/>
  <c r="B6"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B135" i="6"/>
  <c r="B136" i="6"/>
  <c r="B137" i="6"/>
  <c r="B138" i="6"/>
  <c r="B139" i="6"/>
  <c r="B140" i="6"/>
  <c r="B141" i="6"/>
  <c r="B142" i="6"/>
  <c r="B143" i="6"/>
  <c r="B144" i="6"/>
  <c r="B145" i="6"/>
  <c r="B146" i="6"/>
  <c r="B147" i="6"/>
  <c r="B148" i="6"/>
  <c r="B149" i="6"/>
  <c r="B150" i="6"/>
  <c r="B151" i="6"/>
  <c r="B152" i="6"/>
  <c r="B153" i="6"/>
  <c r="B154" i="6"/>
  <c r="B155" i="6"/>
  <c r="B156" i="6"/>
  <c r="B157" i="6"/>
  <c r="B158" i="6"/>
  <c r="B159" i="6"/>
  <c r="B160" i="6"/>
  <c r="B161" i="6"/>
  <c r="B162" i="6"/>
  <c r="B163" i="6"/>
  <c r="B164" i="6"/>
  <c r="B165" i="6"/>
  <c r="B166" i="6"/>
  <c r="B167" i="6"/>
  <c r="B168" i="6"/>
  <c r="B169" i="6"/>
  <c r="B170" i="6"/>
  <c r="B171" i="6"/>
  <c r="B172" i="6"/>
  <c r="B173" i="6"/>
  <c r="B174" i="6"/>
  <c r="B175" i="6"/>
  <c r="B176" i="6"/>
  <c r="B177" i="6"/>
  <c r="B178" i="6"/>
  <c r="B179" i="6"/>
  <c r="B180" i="6"/>
  <c r="B181" i="6"/>
  <c r="B182" i="6"/>
  <c r="B183" i="6"/>
  <c r="B184" i="6"/>
  <c r="B185" i="6"/>
  <c r="B186" i="6"/>
  <c r="B187" i="6"/>
  <c r="B188" i="6"/>
  <c r="B189" i="6"/>
  <c r="B190" i="6"/>
  <c r="B191" i="6"/>
  <c r="B192" i="6"/>
  <c r="B193" i="6"/>
  <c r="B194" i="6"/>
  <c r="B195" i="6"/>
  <c r="B196" i="6"/>
  <c r="B197" i="6"/>
  <c r="B198" i="6"/>
  <c r="B199" i="6"/>
  <c r="B200" i="6"/>
  <c r="B201" i="6"/>
  <c r="B202" i="6"/>
  <c r="B203" i="6"/>
  <c r="B204" i="6"/>
  <c r="B205" i="6"/>
  <c r="B206" i="6"/>
  <c r="B207" i="6"/>
  <c r="B208" i="6"/>
  <c r="B209" i="6"/>
  <c r="B210" i="6"/>
  <c r="B211" i="6"/>
  <c r="B212" i="6"/>
  <c r="B213" i="6"/>
  <c r="B214" i="6"/>
  <c r="B215" i="6"/>
  <c r="B216" i="6"/>
  <c r="B217" i="6"/>
  <c r="B218" i="6"/>
  <c r="B219" i="6"/>
  <c r="B220" i="6"/>
  <c r="B221" i="6"/>
  <c r="B222" i="6"/>
  <c r="B223" i="6"/>
  <c r="B224" i="6"/>
  <c r="B225" i="6"/>
  <c r="B226" i="6"/>
  <c r="B227" i="6"/>
  <c r="B228" i="6"/>
  <c r="B229" i="6"/>
  <c r="B230" i="6"/>
  <c r="B231" i="6"/>
  <c r="B232" i="6"/>
  <c r="B233" i="6"/>
  <c r="B234" i="6"/>
  <c r="B235" i="6"/>
  <c r="B236" i="6"/>
  <c r="B237" i="6"/>
  <c r="B238" i="6"/>
  <c r="B239" i="6"/>
  <c r="B240" i="6"/>
  <c r="B241" i="6"/>
  <c r="B242" i="6"/>
  <c r="B243" i="6"/>
  <c r="B244" i="6"/>
  <c r="B245" i="6"/>
  <c r="B246" i="6"/>
  <c r="B247" i="6"/>
  <c r="B248" i="6"/>
  <c r="B249" i="6"/>
  <c r="B250" i="6"/>
  <c r="B251" i="6"/>
  <c r="B252" i="6"/>
  <c r="B253" i="6"/>
  <c r="B254" i="6"/>
  <c r="B255" i="6"/>
  <c r="B256" i="6"/>
  <c r="B257" i="6"/>
  <c r="B258" i="6"/>
  <c r="B259" i="6"/>
  <c r="B260" i="6"/>
  <c r="B261" i="6"/>
  <c r="B262" i="6"/>
  <c r="B263" i="6"/>
  <c r="B264" i="6"/>
  <c r="B265" i="6"/>
  <c r="B266" i="6"/>
  <c r="B267" i="6"/>
  <c r="B268" i="6"/>
  <c r="B269" i="6"/>
  <c r="B270" i="6"/>
  <c r="B271" i="6"/>
  <c r="B272" i="6"/>
  <c r="B273" i="6"/>
  <c r="B274" i="6"/>
  <c r="B275" i="6"/>
  <c r="B276" i="6"/>
  <c r="B277" i="6"/>
  <c r="B278" i="6"/>
  <c r="B279" i="6"/>
  <c r="B280" i="6"/>
  <c r="B281" i="6"/>
  <c r="B282" i="6"/>
  <c r="B283" i="6"/>
  <c r="B284" i="6"/>
  <c r="B285" i="6"/>
  <c r="B286" i="6"/>
  <c r="B287" i="6"/>
  <c r="B288" i="6"/>
  <c r="N5" i="6"/>
  <c r="N4" i="6"/>
  <c r="N3" i="6"/>
  <c r="N2" i="6"/>
  <c r="M5" i="6"/>
  <c r="M4" i="6"/>
  <c r="M3" i="6"/>
  <c r="M2" i="6"/>
  <c r="L5" i="6"/>
  <c r="L4" i="6"/>
  <c r="L3" i="6"/>
  <c r="L2" i="6"/>
  <c r="K3" i="4"/>
  <c r="K4" i="4"/>
  <c r="K5" i="4"/>
  <c r="K6" i="4"/>
  <c r="K7" i="4"/>
  <c r="K8" i="4"/>
  <c r="K9" i="4"/>
  <c r="K10" i="4"/>
  <c r="K11" i="4"/>
  <c r="K12" i="4"/>
  <c r="K13" i="4"/>
  <c r="K14" i="4"/>
  <c r="K15" i="4"/>
  <c r="K16" i="4"/>
  <c r="K17" i="4"/>
  <c r="K18" i="4"/>
  <c r="K19" i="4"/>
  <c r="K20" i="4"/>
  <c r="K21" i="4"/>
  <c r="K22" i="4"/>
  <c r="K23" i="4"/>
  <c r="K24" i="4"/>
  <c r="K25" i="4"/>
  <c r="K26" i="4"/>
  <c r="K27" i="4"/>
  <c r="K28" i="4"/>
  <c r="K29" i="4"/>
  <c r="K30" i="4"/>
  <c r="K31" i="4"/>
  <c r="K32" i="4"/>
  <c r="K33" i="4"/>
  <c r="K34" i="4"/>
  <c r="K35" i="4"/>
  <c r="K36" i="4"/>
  <c r="K37" i="4"/>
  <c r="K38" i="4"/>
  <c r="K39" i="4"/>
  <c r="K40" i="4"/>
  <c r="K41" i="4"/>
  <c r="K42" i="4"/>
  <c r="K43" i="4"/>
  <c r="K44" i="4"/>
  <c r="K45" i="4"/>
  <c r="K46" i="4"/>
  <c r="K47" i="4"/>
  <c r="K48" i="4"/>
  <c r="K49" i="4"/>
  <c r="K50" i="4"/>
  <c r="K51" i="4"/>
  <c r="K52" i="4"/>
  <c r="K53" i="4"/>
  <c r="K54" i="4"/>
  <c r="K55" i="4"/>
  <c r="K56" i="4"/>
  <c r="K57" i="4"/>
  <c r="K58" i="4"/>
  <c r="K59" i="4"/>
  <c r="K60" i="4"/>
  <c r="K61" i="4"/>
  <c r="K62" i="4"/>
  <c r="K63" i="4"/>
  <c r="K64" i="4"/>
  <c r="K65" i="4"/>
  <c r="K66" i="4"/>
  <c r="K67" i="4"/>
  <c r="K68" i="4"/>
  <c r="K69" i="4"/>
  <c r="K70" i="4"/>
  <c r="K71" i="4"/>
  <c r="K72" i="4"/>
  <c r="K73" i="4"/>
  <c r="K74" i="4"/>
  <c r="K75" i="4"/>
  <c r="K76" i="4"/>
  <c r="K77" i="4"/>
  <c r="K78" i="4"/>
  <c r="K79" i="4"/>
  <c r="K80" i="4"/>
  <c r="K81" i="4"/>
  <c r="K82" i="4"/>
  <c r="K83" i="4"/>
  <c r="K84" i="4"/>
  <c r="K85" i="4"/>
  <c r="K86" i="4"/>
  <c r="K87" i="4"/>
  <c r="K88" i="4"/>
  <c r="K89" i="4"/>
  <c r="K90" i="4"/>
  <c r="K91" i="4"/>
  <c r="K92" i="4"/>
  <c r="K93" i="4"/>
  <c r="K94" i="4"/>
  <c r="K95" i="4"/>
  <c r="K96" i="4"/>
  <c r="K97" i="4"/>
  <c r="K98" i="4"/>
  <c r="K99" i="4"/>
  <c r="K100" i="4"/>
  <c r="K101" i="4"/>
  <c r="K102" i="4"/>
  <c r="K103" i="4"/>
  <c r="K104" i="4"/>
  <c r="K105" i="4"/>
  <c r="K106" i="4"/>
  <c r="K107" i="4"/>
  <c r="K108" i="4"/>
  <c r="K109" i="4"/>
  <c r="K110" i="4"/>
  <c r="K111" i="4"/>
  <c r="K112" i="4"/>
  <c r="K113" i="4"/>
  <c r="K114" i="4"/>
  <c r="K115" i="4"/>
  <c r="K116" i="4"/>
  <c r="K117" i="4"/>
  <c r="K118" i="4"/>
  <c r="K119" i="4"/>
  <c r="K120" i="4"/>
  <c r="K121" i="4"/>
  <c r="K122" i="4"/>
  <c r="K123" i="4"/>
  <c r="K124" i="4"/>
  <c r="K125" i="4"/>
  <c r="K126" i="4"/>
  <c r="K127" i="4"/>
  <c r="K128" i="4"/>
  <c r="K129" i="4"/>
  <c r="K130" i="4"/>
  <c r="K131" i="4"/>
  <c r="K132" i="4"/>
  <c r="K133" i="4"/>
  <c r="K134" i="4"/>
  <c r="K135" i="4"/>
  <c r="K136" i="4"/>
  <c r="K137" i="4"/>
  <c r="K138" i="4"/>
  <c r="K139" i="4"/>
  <c r="K140" i="4"/>
  <c r="K141" i="4"/>
  <c r="K142" i="4"/>
  <c r="K143" i="4"/>
  <c r="K144" i="4"/>
  <c r="K145" i="4"/>
  <c r="K146" i="4"/>
  <c r="K147" i="4"/>
  <c r="K148" i="4"/>
  <c r="K149" i="4"/>
  <c r="K150" i="4"/>
  <c r="K151" i="4"/>
  <c r="K152" i="4"/>
  <c r="K153" i="4"/>
  <c r="K154" i="4"/>
  <c r="K155" i="4"/>
  <c r="K156" i="4"/>
  <c r="K157" i="4"/>
  <c r="K158" i="4"/>
  <c r="K159" i="4"/>
  <c r="K160" i="4"/>
  <c r="K161" i="4"/>
  <c r="K162" i="4"/>
  <c r="K163" i="4"/>
  <c r="K164" i="4"/>
  <c r="K165" i="4"/>
  <c r="K166" i="4"/>
  <c r="K167" i="4"/>
  <c r="K168" i="4"/>
  <c r="K169" i="4"/>
  <c r="K170" i="4"/>
  <c r="K171" i="4"/>
  <c r="K172" i="4"/>
  <c r="K173" i="4"/>
  <c r="K174" i="4"/>
  <c r="K175" i="4"/>
  <c r="K176" i="4"/>
  <c r="K177" i="4"/>
  <c r="K178" i="4"/>
  <c r="K179" i="4"/>
  <c r="K180" i="4"/>
  <c r="K181" i="4"/>
  <c r="K182" i="4"/>
  <c r="K183" i="4"/>
  <c r="K184" i="4"/>
  <c r="K185" i="4"/>
  <c r="K186" i="4"/>
  <c r="K187" i="4"/>
  <c r="K188" i="4"/>
  <c r="K189" i="4"/>
  <c r="K190" i="4"/>
  <c r="K191" i="4"/>
  <c r="K192" i="4"/>
  <c r="K193" i="4"/>
  <c r="K194" i="4"/>
  <c r="K195" i="4"/>
  <c r="K196" i="4"/>
  <c r="K197" i="4"/>
  <c r="K198" i="4"/>
  <c r="K199" i="4"/>
  <c r="K200" i="4"/>
  <c r="K201" i="4"/>
  <c r="K202" i="4"/>
  <c r="K203" i="4"/>
  <c r="K204" i="4"/>
  <c r="K205" i="4"/>
  <c r="K206" i="4"/>
  <c r="K207" i="4"/>
  <c r="K208" i="4"/>
  <c r="K209" i="4"/>
  <c r="K210" i="4"/>
  <c r="K211" i="4"/>
  <c r="K212" i="4"/>
  <c r="K213" i="4"/>
  <c r="K214" i="4"/>
  <c r="K215" i="4"/>
  <c r="K216" i="4"/>
  <c r="K217" i="4"/>
  <c r="K218" i="4"/>
  <c r="K219" i="4"/>
  <c r="K220" i="4"/>
  <c r="K221" i="4"/>
  <c r="K222" i="4"/>
  <c r="K223" i="4"/>
  <c r="K224" i="4"/>
  <c r="K225" i="4"/>
  <c r="K226" i="4"/>
  <c r="K227" i="4"/>
  <c r="K228" i="4"/>
  <c r="K229" i="4"/>
  <c r="K230" i="4"/>
  <c r="K231" i="4"/>
  <c r="K232" i="4"/>
  <c r="K233" i="4"/>
  <c r="K234" i="4"/>
  <c r="K235" i="4"/>
  <c r="K236" i="4"/>
  <c r="K237" i="4"/>
  <c r="K238" i="4"/>
  <c r="K239" i="4"/>
  <c r="K240" i="4"/>
  <c r="K241" i="4"/>
  <c r="K242" i="4"/>
  <c r="K243" i="4"/>
  <c r="K244" i="4"/>
  <c r="K245" i="4"/>
  <c r="K246" i="4"/>
  <c r="K247" i="4"/>
  <c r="K248" i="4"/>
  <c r="K249" i="4"/>
  <c r="K250" i="4"/>
  <c r="K251" i="4"/>
  <c r="K252" i="4"/>
  <c r="K253" i="4"/>
  <c r="K254" i="4"/>
  <c r="K255" i="4"/>
  <c r="K256" i="4"/>
  <c r="K257" i="4"/>
  <c r="K258" i="4"/>
  <c r="K259" i="4"/>
  <c r="K260" i="4"/>
  <c r="K261" i="4"/>
  <c r="K262" i="4"/>
  <c r="K263" i="4"/>
  <c r="K264" i="4"/>
  <c r="K265" i="4"/>
  <c r="K266" i="4"/>
  <c r="K267" i="4"/>
  <c r="K268" i="4"/>
  <c r="K269" i="4"/>
  <c r="K270" i="4"/>
  <c r="K271" i="4"/>
  <c r="K272" i="4"/>
  <c r="K273" i="4"/>
  <c r="K274" i="4"/>
  <c r="K275" i="4"/>
  <c r="K276" i="4"/>
  <c r="K277" i="4"/>
  <c r="K278" i="4"/>
  <c r="K279" i="4"/>
  <c r="K280" i="4"/>
  <c r="K281" i="4"/>
  <c r="K282" i="4"/>
  <c r="K283" i="4"/>
  <c r="K284" i="4"/>
  <c r="K285" i="4"/>
  <c r="K286" i="4"/>
  <c r="K287" i="4"/>
  <c r="K288" i="4"/>
  <c r="K289" i="4"/>
  <c r="K290" i="4"/>
  <c r="K291" i="4"/>
  <c r="K292" i="4"/>
  <c r="K293" i="4"/>
  <c r="K294" i="4"/>
  <c r="K295" i="4"/>
  <c r="K296" i="4"/>
  <c r="K297" i="4"/>
  <c r="K298" i="4"/>
  <c r="K299" i="4"/>
  <c r="K300" i="4"/>
  <c r="K301" i="4"/>
  <c r="K302" i="4"/>
  <c r="K303" i="4"/>
  <c r="K304" i="4"/>
  <c r="K305" i="4"/>
  <c r="K306" i="4"/>
  <c r="K307" i="4"/>
  <c r="K308" i="4"/>
  <c r="K309" i="4"/>
  <c r="K310" i="4"/>
  <c r="K311" i="4"/>
  <c r="K312" i="4"/>
  <c r="K313" i="4"/>
  <c r="K314" i="4"/>
  <c r="K315" i="4"/>
  <c r="K316" i="4"/>
  <c r="K317" i="4"/>
  <c r="K318" i="4"/>
  <c r="K319" i="4"/>
  <c r="K320" i="4"/>
  <c r="K321" i="4"/>
  <c r="K322" i="4"/>
  <c r="K323" i="4"/>
  <c r="K324" i="4"/>
  <c r="K325" i="4"/>
  <c r="K326" i="4"/>
  <c r="K327" i="4"/>
  <c r="K328" i="4"/>
  <c r="K329" i="4"/>
  <c r="K330" i="4"/>
  <c r="K331" i="4"/>
  <c r="K332" i="4"/>
  <c r="K333" i="4"/>
  <c r="K334" i="4"/>
  <c r="K335" i="4"/>
  <c r="K336" i="4"/>
  <c r="K337" i="4"/>
  <c r="K338" i="4"/>
  <c r="K339" i="4"/>
  <c r="K340" i="4"/>
  <c r="K341" i="4"/>
  <c r="K342" i="4"/>
  <c r="K343" i="4"/>
  <c r="K344" i="4"/>
  <c r="K345" i="4"/>
  <c r="K346" i="4"/>
  <c r="K347" i="4"/>
  <c r="K348" i="4"/>
  <c r="K349" i="4"/>
  <c r="K350" i="4"/>
  <c r="K351" i="4"/>
  <c r="K352" i="4"/>
  <c r="K353" i="4"/>
  <c r="K354" i="4"/>
  <c r="K355" i="4"/>
  <c r="K356" i="4"/>
  <c r="K357" i="4"/>
  <c r="K358" i="4"/>
  <c r="K359" i="4"/>
  <c r="K360" i="4"/>
  <c r="K361" i="4"/>
  <c r="K362" i="4"/>
  <c r="K363" i="4"/>
  <c r="K364" i="4"/>
  <c r="K365" i="4"/>
  <c r="K366" i="4"/>
  <c r="K367" i="4"/>
  <c r="K368" i="4"/>
  <c r="K369" i="4"/>
  <c r="K370" i="4"/>
  <c r="K371" i="4"/>
  <c r="K372" i="4"/>
  <c r="K373" i="4"/>
  <c r="K374" i="4"/>
  <c r="K375" i="4"/>
  <c r="K376" i="4"/>
  <c r="K377" i="4"/>
  <c r="K378" i="4"/>
  <c r="K379" i="4"/>
  <c r="K380" i="4"/>
  <c r="K381" i="4"/>
  <c r="K382" i="4"/>
  <c r="K383" i="4"/>
  <c r="K384" i="4"/>
  <c r="K385" i="4"/>
  <c r="K386" i="4"/>
  <c r="K387" i="4"/>
  <c r="K388" i="4"/>
  <c r="K389" i="4"/>
  <c r="K390" i="4"/>
  <c r="K391" i="4"/>
  <c r="K392" i="4"/>
  <c r="K393" i="4"/>
  <c r="K394" i="4"/>
  <c r="K395" i="4"/>
  <c r="K396" i="4"/>
  <c r="K397" i="4"/>
  <c r="K398" i="4"/>
  <c r="K399" i="4"/>
  <c r="K400" i="4"/>
  <c r="K401" i="4"/>
  <c r="K402" i="4"/>
  <c r="K403" i="4"/>
  <c r="K404" i="4"/>
  <c r="K405" i="4"/>
  <c r="K406" i="4"/>
  <c r="K407" i="4"/>
  <c r="K408" i="4"/>
  <c r="K409" i="4"/>
  <c r="K410" i="4"/>
  <c r="K411" i="4"/>
  <c r="K412" i="4"/>
  <c r="K413" i="4"/>
  <c r="K414" i="4"/>
  <c r="K415" i="4"/>
  <c r="K416" i="4"/>
  <c r="K417" i="4"/>
  <c r="K418" i="4"/>
  <c r="K419" i="4"/>
  <c r="K420" i="4"/>
  <c r="K421" i="4"/>
  <c r="K422" i="4"/>
  <c r="K423" i="4"/>
  <c r="K424" i="4"/>
  <c r="K425" i="4"/>
  <c r="K426" i="4"/>
  <c r="K427" i="4"/>
  <c r="K428" i="4"/>
  <c r="K429" i="4"/>
  <c r="K430" i="4"/>
  <c r="K431" i="4"/>
  <c r="K432" i="4"/>
  <c r="K433" i="4"/>
  <c r="K434" i="4"/>
  <c r="K435" i="4"/>
  <c r="K436" i="4"/>
  <c r="K437" i="4"/>
  <c r="K438" i="4"/>
  <c r="K439" i="4"/>
  <c r="K440" i="4"/>
  <c r="K441" i="4"/>
  <c r="K442" i="4"/>
  <c r="K443" i="4"/>
  <c r="K444" i="4"/>
  <c r="K445" i="4"/>
  <c r="K446" i="4"/>
  <c r="K447" i="4"/>
  <c r="K448" i="4"/>
  <c r="K449" i="4"/>
  <c r="K450" i="4"/>
  <c r="K451" i="4"/>
  <c r="K452" i="4"/>
  <c r="K453" i="4"/>
  <c r="K454" i="4"/>
  <c r="K455" i="4"/>
  <c r="K456" i="4"/>
  <c r="K457" i="4"/>
  <c r="K458" i="4"/>
  <c r="K459" i="4"/>
  <c r="K460" i="4"/>
  <c r="K461" i="4"/>
  <c r="K462" i="4"/>
  <c r="K463" i="4"/>
  <c r="K464" i="4"/>
  <c r="K465" i="4"/>
  <c r="K466" i="4"/>
  <c r="K467" i="4"/>
  <c r="K468" i="4"/>
  <c r="K469" i="4"/>
  <c r="K470" i="4"/>
  <c r="K471" i="4"/>
  <c r="K472" i="4"/>
  <c r="K473" i="4"/>
  <c r="K474" i="4"/>
  <c r="K475" i="4"/>
  <c r="K476" i="4"/>
  <c r="K477" i="4"/>
  <c r="K478" i="4"/>
  <c r="K479" i="4"/>
  <c r="K480" i="4"/>
  <c r="K481" i="4"/>
  <c r="K482" i="4"/>
  <c r="K483" i="4"/>
  <c r="K484" i="4"/>
  <c r="K485" i="4"/>
  <c r="K486" i="4"/>
  <c r="K487" i="4"/>
  <c r="K488" i="4"/>
  <c r="K489" i="4"/>
  <c r="K490" i="4"/>
  <c r="K491" i="4"/>
  <c r="K492" i="4"/>
  <c r="K493" i="4"/>
  <c r="K494" i="4"/>
  <c r="K495" i="4"/>
  <c r="K496" i="4"/>
  <c r="K497" i="4"/>
  <c r="K498" i="4"/>
  <c r="K499" i="4"/>
  <c r="K500" i="4"/>
  <c r="K501" i="4"/>
  <c r="K502" i="4"/>
  <c r="K503" i="4"/>
  <c r="K504" i="4"/>
  <c r="K505" i="4"/>
  <c r="K506" i="4"/>
  <c r="K507" i="4"/>
  <c r="K508" i="4"/>
  <c r="K509" i="4"/>
  <c r="K510" i="4"/>
  <c r="K511" i="4"/>
  <c r="K512" i="4"/>
  <c r="K513" i="4"/>
  <c r="K514" i="4"/>
  <c r="K515" i="4"/>
  <c r="K516" i="4"/>
  <c r="K517" i="4"/>
  <c r="K518" i="4"/>
  <c r="K519" i="4"/>
  <c r="K520" i="4"/>
  <c r="K521" i="4"/>
  <c r="K522" i="4"/>
  <c r="K523" i="4"/>
  <c r="K524" i="4"/>
  <c r="K525" i="4"/>
  <c r="K526" i="4"/>
  <c r="K527" i="4"/>
  <c r="K528" i="4"/>
  <c r="K529" i="4"/>
  <c r="K530" i="4"/>
  <c r="K531" i="4"/>
  <c r="K532" i="4"/>
  <c r="K533" i="4"/>
  <c r="K534" i="4"/>
  <c r="K535" i="4"/>
  <c r="K536" i="4"/>
  <c r="K537" i="4"/>
  <c r="K538" i="4"/>
  <c r="K539" i="4"/>
  <c r="K540" i="4"/>
  <c r="K541" i="4"/>
  <c r="K542" i="4"/>
  <c r="K543" i="4"/>
  <c r="K544" i="4"/>
  <c r="K545" i="4"/>
  <c r="K546" i="4"/>
  <c r="K547" i="4"/>
  <c r="K548" i="4"/>
  <c r="K549" i="4"/>
  <c r="K550" i="4"/>
  <c r="K551" i="4"/>
  <c r="K552" i="4"/>
  <c r="K553" i="4"/>
  <c r="K554" i="4"/>
  <c r="K555" i="4"/>
  <c r="K556" i="4"/>
  <c r="K557" i="4"/>
  <c r="K558" i="4"/>
  <c r="K559" i="4"/>
  <c r="K560" i="4"/>
  <c r="K561" i="4"/>
  <c r="K562" i="4"/>
  <c r="K563" i="4"/>
  <c r="K564" i="4"/>
  <c r="K565" i="4"/>
  <c r="K566" i="4"/>
  <c r="K567" i="4"/>
  <c r="K568" i="4"/>
  <c r="K569" i="4"/>
  <c r="K570" i="4"/>
  <c r="K571" i="4"/>
  <c r="K572" i="4"/>
  <c r="K573" i="4"/>
  <c r="K574" i="4"/>
  <c r="K575" i="4"/>
  <c r="K576" i="4"/>
  <c r="K577" i="4"/>
  <c r="K578" i="4"/>
  <c r="K579" i="4"/>
  <c r="K580" i="4"/>
  <c r="K581" i="4"/>
  <c r="K582" i="4"/>
  <c r="K583" i="4"/>
  <c r="K584" i="4"/>
  <c r="K585" i="4"/>
  <c r="K586" i="4"/>
  <c r="K587" i="4"/>
  <c r="K588" i="4"/>
  <c r="K589" i="4"/>
  <c r="K590" i="4"/>
  <c r="K591" i="4"/>
  <c r="K592" i="4"/>
  <c r="K593" i="4"/>
  <c r="K594" i="4"/>
  <c r="K595" i="4"/>
  <c r="K596" i="4"/>
  <c r="K597" i="4"/>
  <c r="K598" i="4"/>
  <c r="K599" i="4"/>
  <c r="K600" i="4"/>
  <c r="K601" i="4"/>
  <c r="K602" i="4"/>
  <c r="K603" i="4"/>
  <c r="K604" i="4"/>
  <c r="K605" i="4"/>
  <c r="K606" i="4"/>
  <c r="K607" i="4"/>
  <c r="K608" i="4"/>
  <c r="K609" i="4"/>
  <c r="K610" i="4"/>
  <c r="K611" i="4"/>
  <c r="K612" i="4"/>
  <c r="K613" i="4"/>
  <c r="K614" i="4"/>
  <c r="K615" i="4"/>
  <c r="K616" i="4"/>
  <c r="K617" i="4"/>
  <c r="K618" i="4"/>
  <c r="K619" i="4"/>
  <c r="K620" i="4"/>
  <c r="K621" i="4"/>
  <c r="K622" i="4"/>
  <c r="K623" i="4"/>
  <c r="K624" i="4"/>
  <c r="K625" i="4"/>
  <c r="K626" i="4"/>
  <c r="K627" i="4"/>
  <c r="K628" i="4"/>
  <c r="K629" i="4"/>
  <c r="K630" i="4"/>
  <c r="K631" i="4"/>
  <c r="K632" i="4"/>
  <c r="K633" i="4"/>
  <c r="K634" i="4"/>
  <c r="K635" i="4"/>
  <c r="K636" i="4"/>
  <c r="K637" i="4"/>
  <c r="K638" i="4"/>
  <c r="K639" i="4"/>
  <c r="K640" i="4"/>
  <c r="K641" i="4"/>
  <c r="K642" i="4"/>
  <c r="K643" i="4"/>
  <c r="K644" i="4"/>
  <c r="K645" i="4"/>
  <c r="K646" i="4"/>
  <c r="K647" i="4"/>
  <c r="K648" i="4"/>
  <c r="K649" i="4"/>
  <c r="K650" i="4"/>
  <c r="K651" i="4"/>
  <c r="K652" i="4"/>
  <c r="K653" i="4"/>
  <c r="K654" i="4"/>
  <c r="K655" i="4"/>
  <c r="K656" i="4"/>
  <c r="K657" i="4"/>
  <c r="K658" i="4"/>
  <c r="K659" i="4"/>
  <c r="K660" i="4"/>
  <c r="K661" i="4"/>
  <c r="K662" i="4"/>
  <c r="K663" i="4"/>
  <c r="K664" i="4"/>
  <c r="K665" i="4"/>
  <c r="K666" i="4"/>
  <c r="K667" i="4"/>
  <c r="K668" i="4"/>
  <c r="K669" i="4"/>
  <c r="K670" i="4"/>
  <c r="K671" i="4"/>
  <c r="K672" i="4"/>
  <c r="K673" i="4"/>
  <c r="K674" i="4"/>
  <c r="K675" i="4"/>
  <c r="K676" i="4"/>
  <c r="K677" i="4"/>
  <c r="K678" i="4"/>
  <c r="K679" i="4"/>
  <c r="K680" i="4"/>
  <c r="K681" i="4"/>
  <c r="K682" i="4"/>
  <c r="K683" i="4"/>
  <c r="K684" i="4"/>
  <c r="K685" i="4"/>
  <c r="K686" i="4"/>
  <c r="K687" i="4"/>
  <c r="K688" i="4"/>
  <c r="K689" i="4"/>
  <c r="K690" i="4"/>
  <c r="K691" i="4"/>
  <c r="K692" i="4"/>
  <c r="K693" i="4"/>
  <c r="K694" i="4"/>
  <c r="K695" i="4"/>
  <c r="K696" i="4"/>
  <c r="K697" i="4"/>
  <c r="K698" i="4"/>
  <c r="K699" i="4"/>
  <c r="K700" i="4"/>
  <c r="K701" i="4"/>
  <c r="K702" i="4"/>
  <c r="K703" i="4"/>
  <c r="K704" i="4"/>
  <c r="K705" i="4"/>
  <c r="K706" i="4"/>
  <c r="K707" i="4"/>
  <c r="K708" i="4"/>
  <c r="K709" i="4"/>
  <c r="K710" i="4"/>
  <c r="K711" i="4"/>
  <c r="K712" i="4"/>
  <c r="K713" i="4"/>
  <c r="K714" i="4"/>
  <c r="K715" i="4"/>
  <c r="K716" i="4"/>
  <c r="K717" i="4"/>
  <c r="K718" i="4"/>
  <c r="K719" i="4"/>
  <c r="K720" i="4"/>
  <c r="K721" i="4"/>
  <c r="K722" i="4"/>
  <c r="K723" i="4"/>
  <c r="K724" i="4"/>
  <c r="K725" i="4"/>
  <c r="K726" i="4"/>
  <c r="K727" i="4"/>
  <c r="K728" i="4"/>
  <c r="K729" i="4"/>
  <c r="K730" i="4"/>
  <c r="K731" i="4"/>
  <c r="K732" i="4"/>
  <c r="K733" i="4"/>
  <c r="K734" i="4"/>
  <c r="K735" i="4"/>
  <c r="K736" i="4"/>
  <c r="K737" i="4"/>
  <c r="K738" i="4"/>
  <c r="K739" i="4"/>
  <c r="K740" i="4"/>
  <c r="K741" i="4"/>
  <c r="K742" i="4"/>
  <c r="K743" i="4"/>
  <c r="K744" i="4"/>
  <c r="K745" i="4"/>
  <c r="K746" i="4"/>
  <c r="K747" i="4"/>
  <c r="K748" i="4"/>
  <c r="K749" i="4"/>
  <c r="K750" i="4"/>
  <c r="K751" i="4"/>
  <c r="K752" i="4"/>
  <c r="K753" i="4"/>
  <c r="K754" i="4"/>
  <c r="K755" i="4"/>
  <c r="K756" i="4"/>
  <c r="K757" i="4"/>
  <c r="K758" i="4"/>
  <c r="K759" i="4"/>
  <c r="K760" i="4"/>
  <c r="K761" i="4"/>
  <c r="K762" i="4"/>
  <c r="K763" i="4"/>
  <c r="K764" i="4"/>
  <c r="K765" i="4"/>
  <c r="K766" i="4"/>
  <c r="K767" i="4"/>
  <c r="K768" i="4"/>
  <c r="K769" i="4"/>
  <c r="K770" i="4"/>
  <c r="K771" i="4"/>
  <c r="K772" i="4"/>
  <c r="K773" i="4"/>
  <c r="K774" i="4"/>
  <c r="K775" i="4"/>
  <c r="K776" i="4"/>
  <c r="K777" i="4"/>
  <c r="K778" i="4"/>
  <c r="K779" i="4"/>
  <c r="K780" i="4"/>
  <c r="K781" i="4"/>
  <c r="K782" i="4"/>
  <c r="K783" i="4"/>
  <c r="K784" i="4"/>
  <c r="K785" i="4"/>
  <c r="K786" i="4"/>
  <c r="K787" i="4"/>
  <c r="K788" i="4"/>
  <c r="K789" i="4"/>
  <c r="K790" i="4"/>
  <c r="K791" i="4"/>
  <c r="K792" i="4"/>
  <c r="K793" i="4"/>
  <c r="K794" i="4"/>
  <c r="K795" i="4"/>
  <c r="K796" i="4"/>
  <c r="K797" i="4"/>
  <c r="K798" i="4"/>
  <c r="K799" i="4"/>
  <c r="K800" i="4"/>
  <c r="K801" i="4"/>
  <c r="K802" i="4"/>
  <c r="K803" i="4"/>
  <c r="K804" i="4"/>
  <c r="K805" i="4"/>
  <c r="K806" i="4"/>
  <c r="K807" i="4"/>
  <c r="K808" i="4"/>
  <c r="K809" i="4"/>
  <c r="K810" i="4"/>
  <c r="K811" i="4"/>
  <c r="K812" i="4"/>
  <c r="K813" i="4"/>
  <c r="K814" i="4"/>
  <c r="K815" i="4"/>
  <c r="K816" i="4"/>
  <c r="K817" i="4"/>
  <c r="K818" i="4"/>
  <c r="K819" i="4"/>
  <c r="K820" i="4"/>
  <c r="K821" i="4"/>
  <c r="K822" i="4"/>
  <c r="K823" i="4"/>
  <c r="K824" i="4"/>
  <c r="K825" i="4"/>
  <c r="K826" i="4"/>
  <c r="K827" i="4"/>
  <c r="K828" i="4"/>
  <c r="K829" i="4"/>
  <c r="K830" i="4"/>
  <c r="K831" i="4"/>
  <c r="K832" i="4"/>
  <c r="K833" i="4"/>
  <c r="K834" i="4"/>
  <c r="K835" i="4"/>
  <c r="K836" i="4"/>
  <c r="K837" i="4"/>
  <c r="K838" i="4"/>
  <c r="K839" i="4"/>
  <c r="K840" i="4"/>
  <c r="K841" i="4"/>
  <c r="K842" i="4"/>
  <c r="K843" i="4"/>
  <c r="K844" i="4"/>
  <c r="K845" i="4"/>
  <c r="K846" i="4"/>
  <c r="K847" i="4"/>
  <c r="K848" i="4"/>
  <c r="K849" i="4"/>
  <c r="K850" i="4"/>
  <c r="K851" i="4"/>
  <c r="K852" i="4"/>
  <c r="K853" i="4"/>
  <c r="K854" i="4"/>
  <c r="K855" i="4"/>
  <c r="K856" i="4"/>
  <c r="K857" i="4"/>
  <c r="K858" i="4"/>
  <c r="K859" i="4"/>
  <c r="K860" i="4"/>
  <c r="K861" i="4"/>
  <c r="K862" i="4"/>
  <c r="K863" i="4"/>
  <c r="K864" i="4"/>
  <c r="K865" i="4"/>
  <c r="K866" i="4"/>
  <c r="K867" i="4"/>
  <c r="K868" i="4"/>
  <c r="K869" i="4"/>
  <c r="K870" i="4"/>
  <c r="K871" i="4"/>
  <c r="K872" i="4"/>
  <c r="K873" i="4"/>
  <c r="K874" i="4"/>
  <c r="K875" i="4"/>
  <c r="K876" i="4"/>
  <c r="K877" i="4"/>
  <c r="K878" i="4"/>
  <c r="K879" i="4"/>
  <c r="K880" i="4"/>
  <c r="K881" i="4"/>
  <c r="K882" i="4"/>
  <c r="K883" i="4"/>
  <c r="K884" i="4"/>
  <c r="K885" i="4"/>
  <c r="K886" i="4"/>
  <c r="K887" i="4"/>
  <c r="K888" i="4"/>
  <c r="K889" i="4"/>
  <c r="K890" i="4"/>
  <c r="K891" i="4"/>
  <c r="K892" i="4"/>
  <c r="K893" i="4"/>
  <c r="K894" i="4"/>
  <c r="K895" i="4"/>
  <c r="K896" i="4"/>
  <c r="K897" i="4"/>
  <c r="K898" i="4"/>
  <c r="K899" i="4"/>
  <c r="K900" i="4"/>
  <c r="K901" i="4"/>
  <c r="K902" i="4"/>
  <c r="K903" i="4"/>
  <c r="K904" i="4"/>
  <c r="K905" i="4"/>
  <c r="K906" i="4"/>
  <c r="K907" i="4"/>
  <c r="K908" i="4"/>
  <c r="K909" i="4"/>
  <c r="K910" i="4"/>
  <c r="K911" i="4"/>
  <c r="K912" i="4"/>
  <c r="K913" i="4"/>
  <c r="K914" i="4"/>
  <c r="K915" i="4"/>
  <c r="K916" i="4"/>
  <c r="K917" i="4"/>
  <c r="K918" i="4"/>
  <c r="K919" i="4"/>
  <c r="K920" i="4"/>
  <c r="K921" i="4"/>
  <c r="K922" i="4"/>
  <c r="K923" i="4"/>
  <c r="K924" i="4"/>
  <c r="K925" i="4"/>
  <c r="K926" i="4"/>
  <c r="K927" i="4"/>
  <c r="K928" i="4"/>
  <c r="K929" i="4"/>
  <c r="K930" i="4"/>
  <c r="K931" i="4"/>
  <c r="K932" i="4"/>
  <c r="K933" i="4"/>
  <c r="K934" i="4"/>
  <c r="K935" i="4"/>
  <c r="K936" i="4"/>
  <c r="K937" i="4"/>
  <c r="K938" i="4"/>
  <c r="K939" i="4"/>
  <c r="K940" i="4"/>
  <c r="K941" i="4"/>
  <c r="K942" i="4"/>
  <c r="K943" i="4"/>
  <c r="K944" i="4"/>
  <c r="K945" i="4"/>
  <c r="K946" i="4"/>
  <c r="K947" i="4"/>
  <c r="K948" i="4"/>
  <c r="K949" i="4"/>
  <c r="K950" i="4"/>
  <c r="K951" i="4"/>
  <c r="K952" i="4"/>
  <c r="K953" i="4"/>
  <c r="K954" i="4"/>
  <c r="K955" i="4"/>
  <c r="K956" i="4"/>
  <c r="K957" i="4"/>
  <c r="K958" i="4"/>
  <c r="K959" i="4"/>
  <c r="K960" i="4"/>
  <c r="K961" i="4"/>
  <c r="K962" i="4"/>
  <c r="K963" i="4"/>
  <c r="K964" i="4"/>
  <c r="K965" i="4"/>
  <c r="K966" i="4"/>
  <c r="K967" i="4"/>
  <c r="K968" i="4"/>
  <c r="K969" i="4"/>
  <c r="K970" i="4"/>
  <c r="K971" i="4"/>
  <c r="K972" i="4"/>
  <c r="K973" i="4"/>
  <c r="K974" i="4"/>
  <c r="K975" i="4"/>
  <c r="K976" i="4"/>
  <c r="K977" i="4"/>
  <c r="K978" i="4"/>
  <c r="K979" i="4"/>
  <c r="K980" i="4"/>
  <c r="K981" i="4"/>
  <c r="K982" i="4"/>
  <c r="K983" i="4"/>
  <c r="K984" i="4"/>
  <c r="K985" i="4"/>
  <c r="K986" i="4"/>
  <c r="K987" i="4"/>
  <c r="K988" i="4"/>
  <c r="K989" i="4"/>
  <c r="K990" i="4"/>
  <c r="K991" i="4"/>
  <c r="K992" i="4"/>
  <c r="K993" i="4"/>
  <c r="K994" i="4"/>
  <c r="K995" i="4"/>
  <c r="K996" i="4"/>
  <c r="K997" i="4"/>
  <c r="K998" i="4"/>
  <c r="K999" i="4"/>
  <c r="K1000" i="4"/>
  <c r="K1001" i="4"/>
  <c r="K1002" i="4"/>
  <c r="K1003" i="4"/>
  <c r="K1004" i="4"/>
  <c r="K1005" i="4"/>
  <c r="K1006" i="4"/>
  <c r="K1007" i="4"/>
  <c r="K1008" i="4"/>
  <c r="K1009" i="4"/>
  <c r="K1010" i="4"/>
  <c r="K1011" i="4"/>
  <c r="K1012" i="4"/>
  <c r="K1013" i="4"/>
  <c r="K1014" i="4"/>
  <c r="K1015" i="4"/>
  <c r="K1016" i="4"/>
  <c r="K1017" i="4"/>
  <c r="K1018" i="4"/>
  <c r="K1019" i="4"/>
  <c r="K1020" i="4"/>
  <c r="K1021" i="4"/>
  <c r="K1022" i="4"/>
  <c r="K1023" i="4"/>
  <c r="K1024" i="4"/>
  <c r="K1025" i="4"/>
  <c r="K1026" i="4"/>
  <c r="K1027" i="4"/>
  <c r="K1028" i="4"/>
  <c r="K1029" i="4"/>
  <c r="K1030" i="4"/>
  <c r="K1031" i="4"/>
  <c r="K1032" i="4"/>
  <c r="K1033" i="4"/>
  <c r="K1034" i="4"/>
  <c r="K1035" i="4"/>
  <c r="K1036" i="4"/>
  <c r="K1037" i="4"/>
  <c r="K1038" i="4"/>
  <c r="K1039" i="4"/>
  <c r="K1040" i="4"/>
  <c r="K1041" i="4"/>
  <c r="K1042" i="4"/>
  <c r="K1043" i="4"/>
  <c r="K1044" i="4"/>
  <c r="K1045" i="4"/>
  <c r="K1046" i="4"/>
  <c r="K1047" i="4"/>
  <c r="K1048" i="4"/>
  <c r="K1049" i="4"/>
  <c r="K1050" i="4"/>
  <c r="K1051" i="4"/>
  <c r="K1052" i="4"/>
  <c r="K1053" i="4"/>
  <c r="K1054" i="4"/>
  <c r="K1055" i="4"/>
  <c r="K1056" i="4"/>
  <c r="K1057" i="4"/>
  <c r="K1058" i="4"/>
  <c r="K1059" i="4"/>
  <c r="K1060" i="4"/>
  <c r="K1061" i="4"/>
  <c r="K1062" i="4"/>
  <c r="K1063" i="4"/>
  <c r="K1064" i="4"/>
  <c r="K1065" i="4"/>
  <c r="K1066" i="4"/>
  <c r="K1067" i="4"/>
  <c r="K1068" i="4"/>
  <c r="K1069" i="4"/>
  <c r="K1070" i="4"/>
  <c r="K1071" i="4"/>
  <c r="K1072" i="4"/>
  <c r="K1073" i="4"/>
  <c r="K1074" i="4"/>
  <c r="K1075" i="4"/>
  <c r="K1076" i="4"/>
  <c r="K1077" i="4"/>
  <c r="K1078" i="4"/>
  <c r="K1079" i="4"/>
  <c r="K1080" i="4"/>
  <c r="K1081" i="4"/>
  <c r="K1082" i="4"/>
  <c r="K1083" i="4"/>
  <c r="K1084" i="4"/>
  <c r="K1085" i="4"/>
  <c r="K1086" i="4"/>
  <c r="K1087" i="4"/>
  <c r="K1088" i="4"/>
  <c r="K1089" i="4"/>
  <c r="K1090" i="4"/>
  <c r="K1091" i="4"/>
  <c r="K1092" i="4"/>
  <c r="K1093" i="4"/>
  <c r="K1094" i="4"/>
  <c r="K1095" i="4"/>
  <c r="K1096" i="4"/>
  <c r="K1097" i="4"/>
  <c r="K1098" i="4"/>
  <c r="K1099" i="4"/>
  <c r="K1100" i="4"/>
  <c r="K1101" i="4"/>
  <c r="K1102" i="4"/>
  <c r="K1103" i="4"/>
  <c r="K1104" i="4"/>
  <c r="K1105" i="4"/>
  <c r="K1106" i="4"/>
  <c r="K1107" i="4"/>
  <c r="K1108" i="4"/>
  <c r="K1109" i="4"/>
  <c r="K1110" i="4"/>
  <c r="K1111" i="4"/>
  <c r="K1112" i="4"/>
  <c r="K1113" i="4"/>
  <c r="K1114" i="4"/>
  <c r="K1115" i="4"/>
  <c r="K1116" i="4"/>
  <c r="K1117" i="4"/>
  <c r="K1118" i="4"/>
  <c r="K1119" i="4"/>
  <c r="K1120" i="4"/>
  <c r="K1121" i="4"/>
  <c r="K1122" i="4"/>
  <c r="K1123" i="4"/>
  <c r="K1124" i="4"/>
  <c r="K1125" i="4"/>
  <c r="K1126" i="4"/>
  <c r="K1127" i="4"/>
  <c r="K1128" i="4"/>
  <c r="K1129" i="4"/>
  <c r="K1130" i="4"/>
  <c r="K1131" i="4"/>
  <c r="K1132" i="4"/>
  <c r="K1133" i="4"/>
  <c r="K1134" i="4"/>
  <c r="K1135" i="4"/>
  <c r="K1136" i="4"/>
  <c r="K1137" i="4"/>
  <c r="K1138" i="4"/>
  <c r="K1139" i="4"/>
  <c r="K1140" i="4"/>
  <c r="K1141" i="4"/>
  <c r="K1142" i="4"/>
  <c r="K1143" i="4"/>
  <c r="K1144" i="4"/>
  <c r="K1145" i="4"/>
  <c r="K1146" i="4"/>
  <c r="K1147" i="4"/>
  <c r="K1148" i="4"/>
  <c r="K1149" i="4"/>
  <c r="K1150" i="4"/>
  <c r="K1151" i="4"/>
  <c r="K1152" i="4"/>
  <c r="K1153" i="4"/>
  <c r="K1154" i="4"/>
  <c r="K1155" i="4"/>
  <c r="K1156" i="4"/>
  <c r="K1157" i="4"/>
  <c r="K1158" i="4"/>
  <c r="K1159" i="4"/>
  <c r="K1160" i="4"/>
  <c r="K1161" i="4"/>
  <c r="K1162" i="4"/>
  <c r="K1163" i="4"/>
  <c r="K1164" i="4"/>
  <c r="K1165" i="4"/>
  <c r="K1166" i="4"/>
  <c r="K1167" i="4"/>
  <c r="K1168" i="4"/>
  <c r="K1169" i="4"/>
  <c r="K1170" i="4"/>
  <c r="K1171" i="4"/>
  <c r="K1172" i="4"/>
  <c r="K1173" i="4"/>
  <c r="K1174" i="4"/>
  <c r="K1175" i="4"/>
  <c r="K1176" i="4"/>
  <c r="K1177" i="4"/>
  <c r="K1178" i="4"/>
  <c r="K1179" i="4"/>
  <c r="K1180" i="4"/>
  <c r="K1181" i="4"/>
  <c r="K1182" i="4"/>
  <c r="K1183" i="4"/>
  <c r="K1184" i="4"/>
  <c r="K1185" i="4"/>
  <c r="K1186" i="4"/>
  <c r="K1187" i="4"/>
  <c r="K1188" i="4"/>
  <c r="K1189" i="4"/>
  <c r="K1190" i="4"/>
  <c r="K1191" i="4"/>
  <c r="K1192" i="4"/>
  <c r="K1193" i="4"/>
  <c r="K1194" i="4"/>
  <c r="K1195" i="4"/>
  <c r="K1196" i="4"/>
  <c r="K1197" i="4"/>
  <c r="K1198" i="4"/>
  <c r="K1199" i="4"/>
  <c r="K1200" i="4"/>
  <c r="K1201" i="4"/>
  <c r="K1202" i="4"/>
  <c r="K1203" i="4"/>
  <c r="K1204" i="4"/>
  <c r="K1205" i="4"/>
  <c r="K1206" i="4"/>
  <c r="K1207" i="4"/>
  <c r="K1208" i="4"/>
  <c r="K1209" i="4"/>
  <c r="K1210" i="4"/>
  <c r="K1211" i="4"/>
  <c r="K1212" i="4"/>
  <c r="K1213" i="4"/>
  <c r="K1214" i="4"/>
  <c r="K1215" i="4"/>
  <c r="K1216" i="4"/>
  <c r="K1217" i="4"/>
  <c r="K1218" i="4"/>
  <c r="K1219" i="4"/>
  <c r="K1220" i="4"/>
  <c r="K1221" i="4"/>
  <c r="K1222" i="4"/>
  <c r="K1223" i="4"/>
  <c r="K1224" i="4"/>
  <c r="K1225" i="4"/>
  <c r="K1226" i="4"/>
  <c r="K1227" i="4"/>
  <c r="K1228" i="4"/>
  <c r="K1229" i="4"/>
  <c r="K1230" i="4"/>
  <c r="K1231" i="4"/>
  <c r="K1232" i="4"/>
  <c r="K1233" i="4"/>
  <c r="K1234" i="4"/>
  <c r="K1235" i="4"/>
  <c r="K1236" i="4"/>
  <c r="K1237" i="4"/>
  <c r="K1238" i="4"/>
  <c r="K1239" i="4"/>
  <c r="K1240" i="4"/>
  <c r="K1241" i="4"/>
  <c r="K1242" i="4"/>
  <c r="K1243" i="4"/>
  <c r="K1244" i="4"/>
  <c r="K1245" i="4"/>
  <c r="K1246" i="4"/>
  <c r="K1247" i="4"/>
  <c r="K1248" i="4"/>
  <c r="K1249" i="4"/>
  <c r="K1250" i="4"/>
  <c r="K1251" i="4"/>
  <c r="K1252" i="4"/>
  <c r="K1253" i="4"/>
  <c r="K1254" i="4"/>
  <c r="K1255" i="4"/>
  <c r="K1256" i="4"/>
  <c r="K1257" i="4"/>
  <c r="K1258" i="4"/>
  <c r="K1259" i="4"/>
  <c r="K1260" i="4"/>
  <c r="K1261" i="4"/>
  <c r="K1262" i="4"/>
  <c r="K1263" i="4"/>
  <c r="K1264" i="4"/>
  <c r="K1265" i="4"/>
  <c r="K1266" i="4"/>
  <c r="K1267" i="4"/>
  <c r="K1268" i="4"/>
  <c r="K1269" i="4"/>
  <c r="K1270" i="4"/>
  <c r="K1271" i="4"/>
  <c r="K1272" i="4"/>
  <c r="K1273" i="4"/>
  <c r="K1274" i="4"/>
  <c r="K1275" i="4"/>
  <c r="K1276" i="4"/>
  <c r="K1277" i="4"/>
  <c r="K1278" i="4"/>
  <c r="K1279" i="4"/>
  <c r="K1280" i="4"/>
  <c r="K1281" i="4"/>
  <c r="K1282" i="4"/>
  <c r="K1283" i="4"/>
  <c r="K1284" i="4"/>
  <c r="K1285" i="4"/>
  <c r="K1286" i="4"/>
  <c r="K1287" i="4"/>
  <c r="K1288" i="4"/>
  <c r="K1289" i="4"/>
  <c r="K1290" i="4"/>
  <c r="K1291" i="4"/>
  <c r="K1292" i="4"/>
  <c r="K1293" i="4"/>
  <c r="K1294" i="4"/>
  <c r="K1295" i="4"/>
  <c r="K1296" i="4"/>
  <c r="K1297" i="4"/>
  <c r="K1298" i="4"/>
  <c r="K1299" i="4"/>
  <c r="K1300" i="4"/>
  <c r="K1301" i="4"/>
  <c r="K1302" i="4"/>
  <c r="K1303" i="4"/>
  <c r="K1304" i="4"/>
  <c r="K1305" i="4"/>
  <c r="K1306" i="4"/>
  <c r="K1307" i="4"/>
  <c r="K1308" i="4"/>
  <c r="K1309" i="4"/>
  <c r="K1310" i="4"/>
  <c r="K1311" i="4"/>
  <c r="K1312" i="4"/>
  <c r="K1313" i="4"/>
  <c r="K1314" i="4"/>
  <c r="K1315" i="4"/>
  <c r="K1316" i="4"/>
  <c r="K1317" i="4"/>
  <c r="K1318" i="4"/>
  <c r="K1319" i="4"/>
  <c r="K1320" i="4"/>
  <c r="K1321" i="4"/>
  <c r="K1322" i="4"/>
  <c r="K1323" i="4"/>
  <c r="K1324" i="4"/>
  <c r="K1325" i="4"/>
  <c r="K1326" i="4"/>
  <c r="K1327" i="4"/>
  <c r="K1328" i="4"/>
  <c r="K1329" i="4"/>
  <c r="K1330" i="4"/>
  <c r="K1331" i="4"/>
  <c r="K1332" i="4"/>
  <c r="K1333" i="4"/>
  <c r="K1334" i="4"/>
  <c r="K1335" i="4"/>
  <c r="K1336" i="4"/>
  <c r="K1337" i="4"/>
  <c r="K1338" i="4"/>
  <c r="K1339" i="4"/>
  <c r="K1340" i="4"/>
  <c r="K1341" i="4"/>
  <c r="K1342" i="4"/>
  <c r="K1343" i="4"/>
  <c r="K1344" i="4"/>
  <c r="K1345" i="4"/>
  <c r="K1346" i="4"/>
  <c r="K1347" i="4"/>
  <c r="K1348" i="4"/>
  <c r="K1349" i="4"/>
  <c r="K1350" i="4"/>
  <c r="K1351" i="4"/>
  <c r="K1352" i="4"/>
  <c r="K1353" i="4"/>
  <c r="K1354" i="4"/>
  <c r="K1355" i="4"/>
  <c r="K1356" i="4"/>
  <c r="K1357" i="4"/>
  <c r="K1358" i="4"/>
  <c r="K1359" i="4"/>
  <c r="K1360" i="4"/>
  <c r="K1361" i="4"/>
  <c r="K1362" i="4"/>
  <c r="K1363" i="4"/>
  <c r="K1364" i="4"/>
  <c r="K1365" i="4"/>
  <c r="K1366" i="4"/>
  <c r="K1367" i="4"/>
  <c r="K1368" i="4"/>
  <c r="K1369" i="4"/>
  <c r="K1370" i="4"/>
  <c r="K1371" i="4"/>
  <c r="K1372" i="4"/>
  <c r="K1373" i="4"/>
  <c r="K1374" i="4"/>
  <c r="K1375" i="4"/>
  <c r="K1376" i="4"/>
  <c r="K1377" i="4"/>
  <c r="K1378" i="4"/>
  <c r="K1379" i="4"/>
  <c r="K1380" i="4"/>
  <c r="K1381" i="4"/>
  <c r="K1382" i="4"/>
  <c r="K1383" i="4"/>
  <c r="K1384" i="4"/>
  <c r="K1385" i="4"/>
  <c r="K1386" i="4"/>
  <c r="K1387" i="4"/>
  <c r="K1388" i="4"/>
  <c r="K1389" i="4"/>
  <c r="K1390" i="4"/>
  <c r="K1391" i="4"/>
  <c r="K1392" i="4"/>
  <c r="K1393" i="4"/>
  <c r="K1394" i="4"/>
  <c r="K1395" i="4"/>
  <c r="K1396" i="4"/>
  <c r="K1397" i="4"/>
  <c r="K1398" i="4"/>
  <c r="K1399" i="4"/>
  <c r="K1400" i="4"/>
  <c r="K1401" i="4"/>
  <c r="K1402" i="4"/>
  <c r="K1403" i="4"/>
  <c r="K1404" i="4"/>
  <c r="K1405" i="4"/>
  <c r="K1406" i="4"/>
  <c r="K1407" i="4"/>
  <c r="K1408" i="4"/>
  <c r="K1409" i="4"/>
  <c r="K1410" i="4"/>
  <c r="K1411" i="4"/>
  <c r="K1412" i="4"/>
  <c r="K1413" i="4"/>
  <c r="K1414" i="4"/>
  <c r="K1415" i="4"/>
  <c r="K1416" i="4"/>
  <c r="K1417" i="4"/>
  <c r="K1418" i="4"/>
  <c r="K1419" i="4"/>
  <c r="K1420" i="4"/>
  <c r="K1421" i="4"/>
  <c r="K1422" i="4"/>
  <c r="K1423" i="4"/>
  <c r="K1424" i="4"/>
  <c r="K1425" i="4"/>
  <c r="K1426" i="4"/>
  <c r="K1427" i="4"/>
  <c r="K1428" i="4"/>
  <c r="K1429" i="4"/>
  <c r="K1430" i="4"/>
  <c r="K1431" i="4"/>
  <c r="K1432" i="4"/>
  <c r="K1433" i="4"/>
  <c r="K1434" i="4"/>
  <c r="K1435" i="4"/>
  <c r="K1436" i="4"/>
  <c r="K1437" i="4"/>
  <c r="K1438" i="4"/>
  <c r="K1439" i="4"/>
  <c r="K1440" i="4"/>
  <c r="K1441" i="4"/>
  <c r="K1442" i="4"/>
  <c r="K1443" i="4"/>
  <c r="K1444" i="4"/>
  <c r="K1445" i="4"/>
  <c r="K1446" i="4"/>
  <c r="K1447" i="4"/>
  <c r="K1448" i="4"/>
  <c r="K1449" i="4"/>
  <c r="K1450" i="4"/>
  <c r="K1451" i="4"/>
  <c r="K1452" i="4"/>
  <c r="K1453" i="4"/>
  <c r="K1454" i="4"/>
  <c r="K1455" i="4"/>
  <c r="K1456" i="4"/>
  <c r="K1457" i="4"/>
  <c r="K1458" i="4"/>
  <c r="K1459" i="4"/>
  <c r="K1460" i="4"/>
  <c r="K1461" i="4"/>
  <c r="K1462" i="4"/>
  <c r="K1463" i="4"/>
  <c r="K1464" i="4"/>
  <c r="K1465" i="4"/>
  <c r="K1466" i="4"/>
  <c r="K1467" i="4"/>
  <c r="K1468" i="4"/>
  <c r="K1469" i="4"/>
  <c r="K1470" i="4"/>
  <c r="K1471" i="4"/>
  <c r="K1472" i="4"/>
  <c r="K1473" i="4"/>
  <c r="K1474" i="4"/>
  <c r="K1475" i="4"/>
  <c r="K1476" i="4"/>
  <c r="K1477" i="4"/>
  <c r="K1478" i="4"/>
  <c r="K1479" i="4"/>
  <c r="K1480" i="4"/>
  <c r="K1481" i="4"/>
  <c r="K1482" i="4"/>
  <c r="K1483" i="4"/>
  <c r="K1484" i="4"/>
  <c r="K1485" i="4"/>
  <c r="K1486" i="4"/>
  <c r="K1487" i="4"/>
  <c r="K1488" i="4"/>
  <c r="K1489" i="4"/>
  <c r="K1490" i="4"/>
  <c r="K1491" i="4"/>
  <c r="K1492" i="4"/>
  <c r="K1493" i="4"/>
  <c r="K1494" i="4"/>
  <c r="K1495" i="4"/>
  <c r="K1496" i="4"/>
  <c r="K1497" i="4"/>
  <c r="K1498" i="4"/>
  <c r="K1499" i="4"/>
  <c r="K1500" i="4"/>
  <c r="K1501" i="4"/>
  <c r="K1502" i="4"/>
  <c r="K1503" i="4"/>
  <c r="K1504" i="4"/>
  <c r="K1505" i="4"/>
  <c r="K1506" i="4"/>
  <c r="K1507" i="4"/>
  <c r="K1508" i="4"/>
  <c r="K1509" i="4"/>
  <c r="K1510" i="4"/>
  <c r="K1511" i="4"/>
  <c r="K1512" i="4"/>
  <c r="K1513" i="4"/>
  <c r="K1514" i="4"/>
  <c r="K1515" i="4"/>
  <c r="K1516" i="4"/>
  <c r="K1517" i="4"/>
  <c r="K1518" i="4"/>
  <c r="K1519" i="4"/>
  <c r="K1520" i="4"/>
  <c r="K1521" i="4"/>
  <c r="K1522" i="4"/>
  <c r="K1523" i="4"/>
  <c r="K1524" i="4"/>
  <c r="K1525" i="4"/>
  <c r="K1526" i="4"/>
  <c r="K1527" i="4"/>
  <c r="K1528" i="4"/>
  <c r="K1529" i="4"/>
  <c r="K1530" i="4"/>
  <c r="K1531" i="4"/>
  <c r="K1532" i="4"/>
  <c r="K1533" i="4"/>
  <c r="K1534" i="4"/>
  <c r="K1535" i="4"/>
  <c r="K1536" i="4"/>
  <c r="K1537" i="4"/>
  <c r="K1538" i="4"/>
  <c r="K1539" i="4"/>
  <c r="K1540" i="4"/>
  <c r="K1541" i="4"/>
  <c r="K1542" i="4"/>
  <c r="K1543" i="4"/>
  <c r="K1544" i="4"/>
  <c r="K1545" i="4"/>
  <c r="K1546" i="4"/>
  <c r="K1547" i="4"/>
  <c r="K1548" i="4"/>
  <c r="K1549" i="4"/>
  <c r="K1550" i="4"/>
  <c r="K1551" i="4"/>
  <c r="K1552" i="4"/>
  <c r="K1553" i="4"/>
  <c r="K1554" i="4"/>
  <c r="K1555" i="4"/>
  <c r="K1556" i="4"/>
  <c r="K1557" i="4"/>
  <c r="K1558" i="4"/>
  <c r="K1559" i="4"/>
  <c r="K1560" i="4"/>
  <c r="K1561" i="4"/>
  <c r="K1562" i="4"/>
  <c r="K1563" i="4"/>
  <c r="K1564" i="4"/>
  <c r="K1565" i="4"/>
  <c r="K1566" i="4"/>
  <c r="K1567" i="4"/>
  <c r="K1568" i="4"/>
  <c r="K1569" i="4"/>
  <c r="K1570" i="4"/>
  <c r="K1571" i="4"/>
  <c r="K1572" i="4"/>
  <c r="K1573" i="4"/>
  <c r="K1574" i="4"/>
  <c r="K1575" i="4"/>
  <c r="K1576" i="4"/>
  <c r="K1577" i="4"/>
  <c r="K1578" i="4"/>
  <c r="K1579" i="4"/>
  <c r="K1580" i="4"/>
  <c r="K1581" i="4"/>
  <c r="K1582" i="4"/>
  <c r="K1583" i="4"/>
  <c r="K1584" i="4"/>
  <c r="K1585" i="4"/>
  <c r="K1586" i="4"/>
  <c r="K1587" i="4"/>
  <c r="K1588" i="4"/>
  <c r="K1589" i="4"/>
  <c r="K1590" i="4"/>
  <c r="K1591" i="4"/>
  <c r="K1592" i="4"/>
  <c r="K1593" i="4"/>
  <c r="K1594" i="4"/>
  <c r="K1595" i="4"/>
  <c r="K1596" i="4"/>
  <c r="K1597" i="4"/>
  <c r="K1598" i="4"/>
  <c r="K1599" i="4"/>
  <c r="K1600" i="4"/>
  <c r="K1601" i="4"/>
  <c r="K1602" i="4"/>
  <c r="K1603" i="4"/>
  <c r="K1604" i="4"/>
  <c r="K1605" i="4"/>
  <c r="K1606" i="4"/>
  <c r="K1607" i="4"/>
  <c r="K1608" i="4"/>
  <c r="K1609" i="4"/>
  <c r="K1610" i="4"/>
  <c r="K1611" i="4"/>
  <c r="K1612" i="4"/>
  <c r="K1613" i="4"/>
  <c r="K1614" i="4"/>
  <c r="K1615" i="4"/>
  <c r="K1616" i="4"/>
  <c r="K1617" i="4"/>
  <c r="K1618" i="4"/>
  <c r="K1619" i="4"/>
  <c r="K1620" i="4"/>
  <c r="K1621" i="4"/>
  <c r="K1622" i="4"/>
  <c r="K1623" i="4"/>
  <c r="K1624" i="4"/>
  <c r="K1625" i="4"/>
  <c r="K1626" i="4"/>
  <c r="K1627" i="4"/>
  <c r="K1628" i="4"/>
  <c r="K1629" i="4"/>
  <c r="K1630" i="4"/>
  <c r="K1631" i="4"/>
  <c r="K1632" i="4"/>
  <c r="K1633" i="4"/>
  <c r="K1634" i="4"/>
  <c r="K1635" i="4"/>
  <c r="K1636" i="4"/>
  <c r="K1637" i="4"/>
  <c r="K1638" i="4"/>
  <c r="K1639" i="4"/>
  <c r="K1640" i="4"/>
  <c r="K1641" i="4"/>
  <c r="K1642" i="4"/>
  <c r="K1643" i="4"/>
  <c r="K1644" i="4"/>
  <c r="K1645" i="4"/>
  <c r="K1646" i="4"/>
  <c r="K1647" i="4"/>
  <c r="K1648" i="4"/>
  <c r="K1649" i="4"/>
  <c r="K1650" i="4"/>
  <c r="K1651" i="4"/>
  <c r="K1652" i="4"/>
  <c r="K1653" i="4"/>
  <c r="K1654" i="4"/>
  <c r="K1655" i="4"/>
  <c r="K1656" i="4"/>
  <c r="K1657" i="4"/>
  <c r="K1658" i="4"/>
  <c r="K1659" i="4"/>
  <c r="K1660" i="4"/>
  <c r="K1661" i="4"/>
  <c r="K1662" i="4"/>
  <c r="K1663" i="4"/>
  <c r="K1664" i="4"/>
  <c r="K1665" i="4"/>
  <c r="K1666" i="4"/>
  <c r="K1667" i="4"/>
  <c r="K1668" i="4"/>
  <c r="K1669" i="4"/>
  <c r="K1670" i="4"/>
  <c r="K1671" i="4"/>
  <c r="K1672" i="4"/>
  <c r="K1673" i="4"/>
  <c r="K1674" i="4"/>
  <c r="K1675" i="4"/>
  <c r="K1676" i="4"/>
  <c r="K1677" i="4"/>
  <c r="K1678" i="4"/>
  <c r="K1679" i="4"/>
  <c r="K1680" i="4"/>
  <c r="K1681" i="4"/>
  <c r="K1682" i="4"/>
  <c r="K1683" i="4"/>
  <c r="K1684" i="4"/>
  <c r="K1685" i="4"/>
  <c r="K1686" i="4"/>
  <c r="K1687" i="4"/>
  <c r="K1688" i="4"/>
  <c r="K1689" i="4"/>
  <c r="K1690" i="4"/>
  <c r="K1691" i="4"/>
  <c r="K1692" i="4"/>
  <c r="K1693" i="4"/>
  <c r="K1694" i="4"/>
  <c r="K1695" i="4"/>
  <c r="K1696" i="4"/>
  <c r="K1697" i="4"/>
  <c r="K1698" i="4"/>
  <c r="K1699" i="4"/>
  <c r="K1700" i="4"/>
  <c r="K1701" i="4"/>
  <c r="K1702" i="4"/>
  <c r="K1703" i="4"/>
  <c r="K1704" i="4"/>
  <c r="K1705" i="4"/>
  <c r="K1706" i="4"/>
  <c r="K1707" i="4"/>
  <c r="K1708" i="4"/>
  <c r="K1709" i="4"/>
  <c r="K1710" i="4"/>
  <c r="K1711" i="4"/>
  <c r="K1712" i="4"/>
  <c r="K1713" i="4"/>
  <c r="K1714" i="4"/>
  <c r="K1715" i="4"/>
  <c r="K1716" i="4"/>
  <c r="K1717" i="4"/>
  <c r="K1718" i="4"/>
  <c r="K1719" i="4"/>
  <c r="K1720" i="4"/>
  <c r="K1721" i="4"/>
  <c r="K1722" i="4"/>
  <c r="K1723" i="4"/>
  <c r="K1724" i="4"/>
  <c r="K1725" i="4"/>
  <c r="K1726" i="4"/>
  <c r="K1727" i="4"/>
  <c r="K1728" i="4"/>
  <c r="K1729" i="4"/>
  <c r="K1730" i="4"/>
  <c r="K1731" i="4"/>
  <c r="K1732" i="4"/>
  <c r="K1733" i="4"/>
  <c r="K1734" i="4"/>
  <c r="K1735" i="4"/>
  <c r="K1736" i="4"/>
  <c r="K1737" i="4"/>
  <c r="K1738" i="4"/>
  <c r="K1739" i="4"/>
  <c r="K1740" i="4"/>
  <c r="K1741" i="4"/>
  <c r="K1742" i="4"/>
  <c r="K1743" i="4"/>
  <c r="K1744" i="4"/>
  <c r="K1745" i="4"/>
  <c r="K1746" i="4"/>
  <c r="K1747" i="4"/>
  <c r="K1748" i="4"/>
  <c r="K1749" i="4"/>
  <c r="K1750" i="4"/>
  <c r="K1751" i="4"/>
  <c r="K1752" i="4"/>
  <c r="K1753" i="4"/>
  <c r="K1754" i="4"/>
  <c r="K1755" i="4"/>
  <c r="K1756" i="4"/>
  <c r="K1757" i="4"/>
  <c r="K1758" i="4"/>
  <c r="K1759" i="4"/>
  <c r="K1760" i="4"/>
  <c r="K1761" i="4"/>
  <c r="K1762" i="4"/>
  <c r="K1763" i="4"/>
  <c r="K1764" i="4"/>
  <c r="K1765" i="4"/>
  <c r="K1766" i="4"/>
  <c r="K1767" i="4"/>
  <c r="K1768" i="4"/>
  <c r="K1769" i="4"/>
  <c r="K1770" i="4"/>
  <c r="K1771" i="4"/>
  <c r="K1772" i="4"/>
  <c r="K1773" i="4"/>
  <c r="K1774" i="4"/>
  <c r="K1775" i="4"/>
  <c r="K1776" i="4"/>
  <c r="K1777" i="4"/>
  <c r="K1778" i="4"/>
  <c r="K1779" i="4"/>
  <c r="K1780" i="4"/>
  <c r="K1781" i="4"/>
  <c r="K1782" i="4"/>
  <c r="K1783" i="4"/>
  <c r="K1784" i="4"/>
  <c r="K1785" i="4"/>
  <c r="K1786" i="4"/>
  <c r="K1787" i="4"/>
  <c r="K1788" i="4"/>
  <c r="K1789" i="4"/>
  <c r="K1790" i="4"/>
  <c r="K1791" i="4"/>
  <c r="K1792" i="4"/>
  <c r="K1793" i="4"/>
  <c r="K1794" i="4"/>
  <c r="K1795" i="4"/>
  <c r="K1796" i="4"/>
  <c r="K1797" i="4"/>
  <c r="K1798" i="4"/>
  <c r="K1799" i="4"/>
  <c r="K1800" i="4"/>
  <c r="K1801" i="4"/>
  <c r="K1802" i="4"/>
  <c r="K1803" i="4"/>
  <c r="K1804" i="4"/>
  <c r="K1805" i="4"/>
  <c r="K1806" i="4"/>
  <c r="K1807" i="4"/>
  <c r="K1808" i="4"/>
  <c r="K1809" i="4"/>
  <c r="K1810" i="4"/>
  <c r="K1811" i="4"/>
  <c r="K1812" i="4"/>
  <c r="K1813" i="4"/>
  <c r="K1814" i="4"/>
  <c r="K1815" i="4"/>
  <c r="K1816" i="4"/>
  <c r="K1817" i="4"/>
  <c r="K1818" i="4"/>
  <c r="K1819" i="4"/>
  <c r="K1820" i="4"/>
  <c r="K1821" i="4"/>
  <c r="K1822" i="4"/>
  <c r="K1823" i="4"/>
  <c r="K1824" i="4"/>
  <c r="K1825" i="4"/>
  <c r="K1826" i="4"/>
  <c r="K1827" i="4"/>
  <c r="K1828" i="4"/>
  <c r="K1829" i="4"/>
  <c r="K1830" i="4"/>
  <c r="K1831" i="4"/>
  <c r="K1832" i="4"/>
  <c r="K1833" i="4"/>
  <c r="K1834" i="4"/>
  <c r="K1835" i="4"/>
  <c r="K1836" i="4"/>
  <c r="K1837" i="4"/>
  <c r="K1838" i="4"/>
  <c r="K1839" i="4"/>
  <c r="K1840" i="4"/>
  <c r="K1841" i="4"/>
  <c r="K1842" i="4"/>
  <c r="K1843" i="4"/>
  <c r="K1844" i="4"/>
  <c r="K1845" i="4"/>
  <c r="K1846" i="4"/>
  <c r="K1847" i="4"/>
  <c r="K1848" i="4"/>
  <c r="K1849" i="4"/>
  <c r="K1850" i="4"/>
  <c r="K1851" i="4"/>
  <c r="K1852" i="4"/>
  <c r="K1853" i="4"/>
  <c r="K1854" i="4"/>
  <c r="K1855" i="4"/>
  <c r="K1856" i="4"/>
  <c r="K1857" i="4"/>
  <c r="K1858" i="4"/>
  <c r="K1859" i="4"/>
  <c r="K1860" i="4"/>
  <c r="K1861" i="4"/>
  <c r="K1862" i="4"/>
  <c r="K1863" i="4"/>
  <c r="K1864" i="4"/>
  <c r="K1865" i="4"/>
  <c r="K1866" i="4"/>
  <c r="K1867" i="4"/>
  <c r="K1868" i="4"/>
  <c r="K1869" i="4"/>
  <c r="K1870" i="4"/>
  <c r="K1871" i="4"/>
  <c r="K1872" i="4"/>
  <c r="K1873" i="4"/>
  <c r="K1874" i="4"/>
  <c r="K1875" i="4"/>
  <c r="K1876" i="4"/>
  <c r="K1877" i="4"/>
  <c r="K1878" i="4"/>
  <c r="K1879" i="4"/>
  <c r="K1880" i="4"/>
  <c r="K1881" i="4"/>
  <c r="K1882" i="4"/>
  <c r="K1883" i="4"/>
  <c r="K1884" i="4"/>
  <c r="K1885" i="4"/>
  <c r="K1886" i="4"/>
  <c r="K1887" i="4"/>
  <c r="K1888" i="4"/>
  <c r="K1889" i="4"/>
  <c r="K1890" i="4"/>
  <c r="K1891" i="4"/>
  <c r="K1892" i="4"/>
  <c r="K1893" i="4"/>
  <c r="K1894" i="4"/>
  <c r="K1895" i="4"/>
  <c r="K1896" i="4"/>
  <c r="K1897" i="4"/>
  <c r="K1898" i="4"/>
  <c r="K1899" i="4"/>
  <c r="K1900" i="4"/>
  <c r="K1901" i="4"/>
  <c r="K1902" i="4"/>
  <c r="K1903" i="4"/>
  <c r="K1904" i="4"/>
  <c r="K1905" i="4"/>
  <c r="K1906" i="4"/>
  <c r="K1907" i="4"/>
  <c r="K1908" i="4"/>
  <c r="K1909" i="4"/>
  <c r="K1910" i="4"/>
  <c r="K1911" i="4"/>
  <c r="K1912" i="4"/>
  <c r="K1913" i="4"/>
  <c r="K1914" i="4"/>
  <c r="K1915" i="4"/>
  <c r="K1916" i="4"/>
  <c r="K1917" i="4"/>
  <c r="K1918" i="4"/>
  <c r="K1919" i="4"/>
  <c r="K1920" i="4"/>
  <c r="K1921" i="4"/>
  <c r="K1922" i="4"/>
  <c r="K1923" i="4"/>
  <c r="K1924" i="4"/>
  <c r="K1925" i="4"/>
  <c r="K1926" i="4"/>
  <c r="K1927" i="4"/>
  <c r="K1928" i="4"/>
  <c r="K1929" i="4"/>
  <c r="K1930" i="4"/>
  <c r="K1931" i="4"/>
  <c r="K1932" i="4"/>
  <c r="K1933" i="4"/>
  <c r="K1934" i="4"/>
  <c r="K1935" i="4"/>
  <c r="K1936" i="4"/>
  <c r="K1937" i="4"/>
  <c r="K1938" i="4"/>
  <c r="K1939" i="4"/>
  <c r="K1940" i="4"/>
  <c r="K1941" i="4"/>
  <c r="K1942" i="4"/>
  <c r="K1943" i="4"/>
  <c r="K1944" i="4"/>
  <c r="K1945" i="4"/>
  <c r="K1946" i="4"/>
  <c r="K1947" i="4"/>
  <c r="K1948" i="4"/>
  <c r="K1949" i="4"/>
  <c r="K1950" i="4"/>
  <c r="K1951" i="4"/>
  <c r="K1952" i="4"/>
  <c r="K1953" i="4"/>
  <c r="K1954" i="4"/>
  <c r="K1955" i="4"/>
  <c r="K1956" i="4"/>
  <c r="K1957" i="4"/>
  <c r="K2" i="4"/>
  <c r="F3" i="6" l="1"/>
  <c r="F4" i="6"/>
  <c r="F5" i="6"/>
  <c r="F6" i="6"/>
  <c r="F7" i="6"/>
  <c r="F8" i="6"/>
  <c r="F9" i="6"/>
  <c r="F10" i="6"/>
  <c r="F11" i="6"/>
  <c r="F12" i="6"/>
  <c r="F13" i="6"/>
  <c r="F14" i="6"/>
  <c r="F15" i="6"/>
  <c r="F16" i="6"/>
  <c r="F17" i="6"/>
  <c r="F18" i="6"/>
  <c r="F19" i="6"/>
  <c r="F20" i="6"/>
  <c r="F21" i="6"/>
  <c r="F22" i="6"/>
  <c r="F23" i="6"/>
  <c r="F24" i="6"/>
  <c r="F25" i="6"/>
  <c r="F26" i="6"/>
  <c r="F27" i="6"/>
  <c r="F28" i="6"/>
  <c r="F29" i="6"/>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G3" i="6"/>
  <c r="G4" i="6"/>
  <c r="G5" i="6"/>
  <c r="G6" i="6"/>
  <c r="G7" i="6"/>
  <c r="G8" i="6"/>
  <c r="G9" i="6"/>
  <c r="G10" i="6"/>
  <c r="G11" i="6"/>
  <c r="G12" i="6"/>
  <c r="G13" i="6"/>
  <c r="G14" i="6"/>
  <c r="G15" i="6"/>
  <c r="G16" i="6"/>
  <c r="G17" i="6"/>
  <c r="G18" i="6"/>
  <c r="G19" i="6"/>
  <c r="G20" i="6"/>
  <c r="G21" i="6"/>
  <c r="G22" i="6"/>
  <c r="G23" i="6"/>
  <c r="G24" i="6"/>
  <c r="G25" i="6"/>
  <c r="G26" i="6"/>
  <c r="G27" i="6"/>
  <c r="G28" i="6"/>
  <c r="G29" i="6"/>
  <c r="G30" i="6"/>
  <c r="G31" i="6"/>
  <c r="G32" i="6"/>
  <c r="G33" i="6"/>
  <c r="G34" i="6"/>
  <c r="G35" i="6"/>
  <c r="G36" i="6"/>
  <c r="G37" i="6"/>
  <c r="G38" i="6"/>
  <c r="G39" i="6"/>
  <c r="G40" i="6"/>
  <c r="G41" i="6"/>
  <c r="G42" i="6"/>
  <c r="G43" i="6"/>
  <c r="G44" i="6"/>
  <c r="G45" i="6"/>
  <c r="G46" i="6"/>
  <c r="G47" i="6"/>
  <c r="G48" i="6"/>
  <c r="G49" i="6"/>
  <c r="G50" i="6"/>
  <c r="G51" i="6"/>
  <c r="G52" i="6"/>
  <c r="G53" i="6"/>
  <c r="G54" i="6"/>
  <c r="G55" i="6"/>
  <c r="G56" i="6"/>
  <c r="G57" i="6"/>
  <c r="G58" i="6"/>
  <c r="G59" i="6"/>
  <c r="G60" i="6"/>
  <c r="G61" i="6"/>
  <c r="G62" i="6"/>
  <c r="G63" i="6"/>
  <c r="G64" i="6"/>
  <c r="G65" i="6"/>
  <c r="G66" i="6"/>
  <c r="G67" i="6"/>
  <c r="G68" i="6"/>
  <c r="G69" i="6"/>
  <c r="G70" i="6"/>
  <c r="G71" i="6"/>
  <c r="G72" i="6"/>
  <c r="G73" i="6"/>
  <c r="G74" i="6"/>
  <c r="G75" i="6"/>
  <c r="G76" i="6"/>
  <c r="G77" i="6"/>
  <c r="G78" i="6"/>
  <c r="G79" i="6"/>
  <c r="G80" i="6"/>
  <c r="G81" i="6"/>
  <c r="G82" i="6"/>
  <c r="G83" i="6"/>
  <c r="G84" i="6"/>
  <c r="G85" i="6"/>
  <c r="G86" i="6"/>
  <c r="G87" i="6"/>
  <c r="G88" i="6"/>
  <c r="G89" i="6"/>
  <c r="G90" i="6"/>
  <c r="G91" i="6"/>
  <c r="G92" i="6"/>
  <c r="G93" i="6"/>
  <c r="G94" i="6"/>
  <c r="G95" i="6"/>
  <c r="G96" i="6"/>
  <c r="G97" i="6"/>
  <c r="G98" i="6"/>
  <c r="G99" i="6"/>
  <c r="G100" i="6"/>
  <c r="G101" i="6"/>
  <c r="G102" i="6"/>
  <c r="G103" i="6"/>
  <c r="G104" i="6"/>
  <c r="G105" i="6"/>
  <c r="G106" i="6"/>
  <c r="G107" i="6"/>
  <c r="G108" i="6"/>
  <c r="G109" i="6"/>
  <c r="G110" i="6"/>
  <c r="G111" i="6"/>
  <c r="G112" i="6"/>
  <c r="G113" i="6"/>
  <c r="G114" i="6"/>
  <c r="G115" i="6"/>
  <c r="G116" i="6"/>
  <c r="G117" i="6"/>
  <c r="G118" i="6"/>
  <c r="G119" i="6"/>
  <c r="G120" i="6"/>
  <c r="G121" i="6"/>
  <c r="G122" i="6"/>
  <c r="G123" i="6"/>
  <c r="G124" i="6"/>
  <c r="G125" i="6"/>
  <c r="G126" i="6"/>
  <c r="G127" i="6"/>
  <c r="G128" i="6"/>
  <c r="G129" i="6"/>
  <c r="G130" i="6"/>
  <c r="G131" i="6"/>
  <c r="G132" i="6"/>
  <c r="G133" i="6"/>
  <c r="G134" i="6"/>
  <c r="G135" i="6"/>
  <c r="G136" i="6"/>
  <c r="G137" i="6"/>
  <c r="G138" i="6"/>
  <c r="G139" i="6"/>
  <c r="G140" i="6"/>
  <c r="G141" i="6"/>
  <c r="G142" i="6"/>
  <c r="G143" i="6"/>
  <c r="G144" i="6"/>
  <c r="G145" i="6"/>
  <c r="G146" i="6"/>
  <c r="G147" i="6"/>
  <c r="G148" i="6"/>
  <c r="G149" i="6"/>
  <c r="G150" i="6"/>
  <c r="G151" i="6"/>
  <c r="G152" i="6"/>
  <c r="G153" i="6"/>
  <c r="G154" i="6"/>
  <c r="G155" i="6"/>
  <c r="G156" i="6"/>
  <c r="G157" i="6"/>
  <c r="G158" i="6"/>
  <c r="G159" i="6"/>
  <c r="G160" i="6"/>
  <c r="G161" i="6"/>
  <c r="G162" i="6"/>
  <c r="G163" i="6"/>
  <c r="G164" i="6"/>
  <c r="G165" i="6"/>
  <c r="G166" i="6"/>
  <c r="G167" i="6"/>
  <c r="G168" i="6"/>
  <c r="G169" i="6"/>
  <c r="G170" i="6"/>
  <c r="G171" i="6"/>
  <c r="G172" i="6"/>
  <c r="G173" i="6"/>
  <c r="G174" i="6"/>
  <c r="G175" i="6"/>
  <c r="G176" i="6"/>
  <c r="G177" i="6"/>
  <c r="G178" i="6"/>
  <c r="G179" i="6"/>
  <c r="G180" i="6"/>
  <c r="G181" i="6"/>
  <c r="G182" i="6"/>
  <c r="G183" i="6"/>
  <c r="G184" i="6"/>
  <c r="G185" i="6"/>
  <c r="G186" i="6"/>
  <c r="G187" i="6"/>
  <c r="G188" i="6"/>
  <c r="G189" i="6"/>
  <c r="G190" i="6"/>
  <c r="G191" i="6"/>
  <c r="G192" i="6"/>
  <c r="G193" i="6"/>
  <c r="G194" i="6"/>
  <c r="G195" i="6"/>
  <c r="G196" i="6"/>
  <c r="G197" i="6"/>
  <c r="G198" i="6"/>
  <c r="G199" i="6"/>
  <c r="G200" i="6"/>
  <c r="G201" i="6"/>
  <c r="G202" i="6"/>
  <c r="G203" i="6"/>
  <c r="G204" i="6"/>
  <c r="G205" i="6"/>
  <c r="G206" i="6"/>
  <c r="G207" i="6"/>
  <c r="G208" i="6"/>
  <c r="G209" i="6"/>
  <c r="G210" i="6"/>
  <c r="G211" i="6"/>
  <c r="G212" i="6"/>
  <c r="G213" i="6"/>
  <c r="G214" i="6"/>
  <c r="G215" i="6"/>
  <c r="G216" i="6"/>
  <c r="G217" i="6"/>
  <c r="G218" i="6"/>
  <c r="G219" i="6"/>
  <c r="G220" i="6"/>
  <c r="G221" i="6"/>
  <c r="G222" i="6"/>
  <c r="G223" i="6"/>
  <c r="G224" i="6"/>
  <c r="G225" i="6"/>
  <c r="G226" i="6"/>
  <c r="G227" i="6"/>
  <c r="G228" i="6"/>
  <c r="G229" i="6"/>
  <c r="G230" i="6"/>
  <c r="G231" i="6"/>
  <c r="G232" i="6"/>
  <c r="G233" i="6"/>
  <c r="G234" i="6"/>
  <c r="G235" i="6"/>
  <c r="G236" i="6"/>
  <c r="G237" i="6"/>
  <c r="G238" i="6"/>
  <c r="G239" i="6"/>
  <c r="G240" i="6"/>
  <c r="G241" i="6"/>
  <c r="G242" i="6"/>
  <c r="G243" i="6"/>
  <c r="G244" i="6"/>
  <c r="G245" i="6"/>
  <c r="G246" i="6"/>
  <c r="G247" i="6"/>
  <c r="G248" i="6"/>
  <c r="G249" i="6"/>
  <c r="G250" i="6"/>
  <c r="G251" i="6"/>
  <c r="G252" i="6"/>
  <c r="G253" i="6"/>
  <c r="G254" i="6"/>
  <c r="G255" i="6"/>
  <c r="G256" i="6"/>
  <c r="G257" i="6"/>
  <c r="G258" i="6"/>
  <c r="G259" i="6"/>
  <c r="G260" i="6"/>
  <c r="G261" i="6"/>
  <c r="G262" i="6"/>
  <c r="G263" i="6"/>
  <c r="G264" i="6"/>
  <c r="G265" i="6"/>
  <c r="G266" i="6"/>
  <c r="G267" i="6"/>
  <c r="G268" i="6"/>
  <c r="G269" i="6"/>
  <c r="G270" i="6"/>
  <c r="G271" i="6"/>
  <c r="G272" i="6"/>
  <c r="G273" i="6"/>
  <c r="G274" i="6"/>
  <c r="G275" i="6"/>
  <c r="G276" i="6"/>
  <c r="G277" i="6"/>
  <c r="G278" i="6"/>
  <c r="G279" i="6"/>
  <c r="G280" i="6"/>
  <c r="G281" i="6"/>
  <c r="G282" i="6"/>
  <c r="G283" i="6"/>
  <c r="G284" i="6"/>
  <c r="G285" i="6"/>
  <c r="G286" i="6"/>
  <c r="G287" i="6"/>
  <c r="G288" i="6"/>
  <c r="H2" i="6"/>
  <c r="H3" i="6"/>
  <c r="H4" i="6"/>
  <c r="H5" i="6"/>
  <c r="H6" i="6"/>
  <c r="H7" i="6"/>
  <c r="H8" i="6"/>
  <c r="H9" i="6"/>
  <c r="H10" i="6"/>
  <c r="H11" i="6"/>
  <c r="H12" i="6"/>
  <c r="H13" i="6"/>
  <c r="H14" i="6"/>
  <c r="H15" i="6"/>
  <c r="H16" i="6"/>
  <c r="H17" i="6"/>
  <c r="H18" i="6"/>
  <c r="H19" i="6"/>
  <c r="H20" i="6"/>
  <c r="H21" i="6"/>
  <c r="H22" i="6"/>
  <c r="H23" i="6"/>
  <c r="H24" i="6"/>
  <c r="H25" i="6"/>
  <c r="H26" i="6"/>
  <c r="H27" i="6"/>
  <c r="H28" i="6"/>
  <c r="H29" i="6"/>
  <c r="H30" i="6"/>
  <c r="H31" i="6"/>
  <c r="H32" i="6"/>
  <c r="H33" i="6"/>
  <c r="H34" i="6"/>
  <c r="H35" i="6"/>
  <c r="H36" i="6"/>
  <c r="H37" i="6"/>
  <c r="H38" i="6"/>
  <c r="H39" i="6"/>
  <c r="H40" i="6"/>
  <c r="H41" i="6"/>
  <c r="H42" i="6"/>
  <c r="H43" i="6"/>
  <c r="H44" i="6"/>
  <c r="H45" i="6"/>
  <c r="H46" i="6"/>
  <c r="H47" i="6"/>
  <c r="H48" i="6"/>
  <c r="H49" i="6"/>
  <c r="H50" i="6"/>
  <c r="H51" i="6"/>
  <c r="H52" i="6"/>
  <c r="H53" i="6"/>
  <c r="H54" i="6"/>
  <c r="H55" i="6"/>
  <c r="H56" i="6"/>
  <c r="H57" i="6"/>
  <c r="H58" i="6"/>
  <c r="H59" i="6"/>
  <c r="H60" i="6"/>
  <c r="H61" i="6"/>
  <c r="H62" i="6"/>
  <c r="H63" i="6"/>
  <c r="H64" i="6"/>
  <c r="H65" i="6"/>
  <c r="H66" i="6"/>
  <c r="H67" i="6"/>
  <c r="H68" i="6"/>
  <c r="H69" i="6"/>
  <c r="H70" i="6"/>
  <c r="H71" i="6"/>
  <c r="H72" i="6"/>
  <c r="H73" i="6"/>
  <c r="H74" i="6"/>
  <c r="H75" i="6"/>
  <c r="H76" i="6"/>
  <c r="H77" i="6"/>
  <c r="H78" i="6"/>
  <c r="H79" i="6"/>
  <c r="H80" i="6"/>
  <c r="H81" i="6"/>
  <c r="H82" i="6"/>
  <c r="H83" i="6"/>
  <c r="H84" i="6"/>
  <c r="H85" i="6"/>
  <c r="H86" i="6"/>
  <c r="H87" i="6"/>
  <c r="H88" i="6"/>
  <c r="H89" i="6"/>
  <c r="H90" i="6"/>
  <c r="H91" i="6"/>
  <c r="H92" i="6"/>
  <c r="H93" i="6"/>
  <c r="H94" i="6"/>
  <c r="H95" i="6"/>
  <c r="H96" i="6"/>
  <c r="H97" i="6"/>
  <c r="H98" i="6"/>
  <c r="H99" i="6"/>
  <c r="H100" i="6"/>
  <c r="H101" i="6"/>
  <c r="H102" i="6"/>
  <c r="H103" i="6"/>
  <c r="H104" i="6"/>
  <c r="H105" i="6"/>
  <c r="H106" i="6"/>
  <c r="H107" i="6"/>
  <c r="H108" i="6"/>
  <c r="H109" i="6"/>
  <c r="H110" i="6"/>
  <c r="H111" i="6"/>
  <c r="H112" i="6"/>
  <c r="H113" i="6"/>
  <c r="H114" i="6"/>
  <c r="H115" i="6"/>
  <c r="H116" i="6"/>
  <c r="H117" i="6"/>
  <c r="H118" i="6"/>
  <c r="H119" i="6"/>
  <c r="H120" i="6"/>
  <c r="H121" i="6"/>
  <c r="H122" i="6"/>
  <c r="H123" i="6"/>
  <c r="H124" i="6"/>
  <c r="H125" i="6"/>
  <c r="H126" i="6"/>
  <c r="H127" i="6"/>
  <c r="H128" i="6"/>
  <c r="H129" i="6"/>
  <c r="H130" i="6"/>
  <c r="H131" i="6"/>
  <c r="H132" i="6"/>
  <c r="H133" i="6"/>
  <c r="H134" i="6"/>
  <c r="H135" i="6"/>
  <c r="H136" i="6"/>
  <c r="H137" i="6"/>
  <c r="H138" i="6"/>
  <c r="H139" i="6"/>
  <c r="H140" i="6"/>
  <c r="H141" i="6"/>
  <c r="H142" i="6"/>
  <c r="H143" i="6"/>
  <c r="H144" i="6"/>
  <c r="H145" i="6"/>
  <c r="H146" i="6"/>
  <c r="H147" i="6"/>
  <c r="H148" i="6"/>
  <c r="H149" i="6"/>
  <c r="H150" i="6"/>
  <c r="H151" i="6"/>
  <c r="H152" i="6"/>
  <c r="H153" i="6"/>
  <c r="H154" i="6"/>
  <c r="H155" i="6"/>
  <c r="H156" i="6"/>
  <c r="H157" i="6"/>
  <c r="H158" i="6"/>
  <c r="H159" i="6"/>
  <c r="H160" i="6"/>
  <c r="H161" i="6"/>
  <c r="H162" i="6"/>
  <c r="H163" i="6"/>
  <c r="H164" i="6"/>
  <c r="H165" i="6"/>
  <c r="H166" i="6"/>
  <c r="H167" i="6"/>
  <c r="H168" i="6"/>
  <c r="H169" i="6"/>
  <c r="H170" i="6"/>
  <c r="H171" i="6"/>
  <c r="H172" i="6"/>
  <c r="H173" i="6"/>
  <c r="H174" i="6"/>
  <c r="H175" i="6"/>
  <c r="H176" i="6"/>
  <c r="H177" i="6"/>
  <c r="H178" i="6"/>
  <c r="H179" i="6"/>
  <c r="H180" i="6"/>
  <c r="H181" i="6"/>
  <c r="H182" i="6"/>
  <c r="H183" i="6"/>
  <c r="H184" i="6"/>
  <c r="H185" i="6"/>
  <c r="H186" i="6"/>
  <c r="H187" i="6"/>
  <c r="H188" i="6"/>
  <c r="H189" i="6"/>
  <c r="H190" i="6"/>
  <c r="H191" i="6"/>
  <c r="H192" i="6"/>
  <c r="H193" i="6"/>
  <c r="H194" i="6"/>
  <c r="H195" i="6"/>
  <c r="H196" i="6"/>
  <c r="H197" i="6"/>
  <c r="H198" i="6"/>
  <c r="H199" i="6"/>
  <c r="H200" i="6"/>
  <c r="H201" i="6"/>
  <c r="H202" i="6"/>
  <c r="H203" i="6"/>
  <c r="H204" i="6"/>
  <c r="H205" i="6"/>
  <c r="H206" i="6"/>
  <c r="H207" i="6"/>
  <c r="H208" i="6"/>
  <c r="H209" i="6"/>
  <c r="H210" i="6"/>
  <c r="H211" i="6"/>
  <c r="H212" i="6"/>
  <c r="H213" i="6"/>
  <c r="H214" i="6"/>
  <c r="H215" i="6"/>
  <c r="H216" i="6"/>
  <c r="H217" i="6"/>
  <c r="H218" i="6"/>
  <c r="H219" i="6"/>
  <c r="H220" i="6"/>
  <c r="H221" i="6"/>
  <c r="H222" i="6"/>
  <c r="H223" i="6"/>
  <c r="H224" i="6"/>
  <c r="H225" i="6"/>
  <c r="H226" i="6"/>
  <c r="H227" i="6"/>
  <c r="H228" i="6"/>
  <c r="H229" i="6"/>
  <c r="H230" i="6"/>
  <c r="H231" i="6"/>
  <c r="H232" i="6"/>
  <c r="H233" i="6"/>
  <c r="H234" i="6"/>
  <c r="H235" i="6"/>
  <c r="H236" i="6"/>
  <c r="H237" i="6"/>
  <c r="H238" i="6"/>
  <c r="H239" i="6"/>
  <c r="H240" i="6"/>
  <c r="H241" i="6"/>
  <c r="H242" i="6"/>
  <c r="H243" i="6"/>
  <c r="H244" i="6"/>
  <c r="H245" i="6"/>
  <c r="H246" i="6"/>
  <c r="H247" i="6"/>
  <c r="H248" i="6"/>
  <c r="H249" i="6"/>
  <c r="H250" i="6"/>
  <c r="H251" i="6"/>
  <c r="H252" i="6"/>
  <c r="H253" i="6"/>
  <c r="H254" i="6"/>
  <c r="H255" i="6"/>
  <c r="H256" i="6"/>
  <c r="H257" i="6"/>
  <c r="H258" i="6"/>
  <c r="H259" i="6"/>
  <c r="H260" i="6"/>
  <c r="H261" i="6"/>
  <c r="H262" i="6"/>
  <c r="H263" i="6"/>
  <c r="H264" i="6"/>
  <c r="H265" i="6"/>
  <c r="H266" i="6"/>
  <c r="H267" i="6"/>
  <c r="H268" i="6"/>
  <c r="H269" i="6"/>
  <c r="H270" i="6"/>
  <c r="H271" i="6"/>
  <c r="H272" i="6"/>
  <c r="H273" i="6"/>
  <c r="H274" i="6"/>
  <c r="H275" i="6"/>
  <c r="H276" i="6"/>
  <c r="H277" i="6"/>
  <c r="H278" i="6"/>
  <c r="H279" i="6"/>
  <c r="H280" i="6"/>
  <c r="H281" i="6"/>
  <c r="H282" i="6"/>
  <c r="H283" i="6"/>
  <c r="H284" i="6"/>
  <c r="H285" i="6"/>
  <c r="H286" i="6"/>
  <c r="H287" i="6"/>
  <c r="H288" i="6"/>
  <c r="I2" i="6" l="1"/>
  <c r="I288" i="6"/>
  <c r="I287" i="6"/>
  <c r="I286" i="6"/>
  <c r="I285" i="6"/>
  <c r="I284" i="6"/>
  <c r="I283" i="6"/>
  <c r="I282" i="6"/>
  <c r="I281" i="6"/>
  <c r="I280" i="6"/>
  <c r="I279" i="6"/>
  <c r="I278" i="6"/>
  <c r="I277" i="6"/>
  <c r="I276" i="6"/>
  <c r="I275" i="6"/>
  <c r="I274" i="6"/>
  <c r="I273" i="6"/>
  <c r="I272" i="6"/>
  <c r="I271" i="6"/>
  <c r="I270" i="6"/>
  <c r="I269" i="6"/>
  <c r="I268" i="6"/>
  <c r="I267" i="6"/>
  <c r="I266" i="6"/>
  <c r="I265" i="6"/>
  <c r="I264" i="6"/>
  <c r="I263" i="6"/>
  <c r="I262" i="6"/>
  <c r="I261" i="6"/>
  <c r="I260" i="6"/>
  <c r="I259" i="6"/>
  <c r="I258" i="6"/>
  <c r="I257" i="6"/>
  <c r="I256" i="6"/>
  <c r="I255" i="6"/>
  <c r="I254" i="6"/>
  <c r="I253" i="6"/>
  <c r="I252" i="6"/>
  <c r="I251" i="6"/>
  <c r="I250" i="6"/>
  <c r="I249" i="6"/>
  <c r="I248" i="6"/>
  <c r="I247" i="6"/>
  <c r="I246" i="6"/>
  <c r="I245" i="6"/>
  <c r="I244" i="6"/>
  <c r="I243" i="6"/>
  <c r="I242" i="6"/>
  <c r="I241" i="6"/>
  <c r="I240" i="6"/>
  <c r="I239" i="6"/>
  <c r="I238" i="6"/>
  <c r="I237" i="6"/>
  <c r="I236" i="6"/>
  <c r="I235" i="6"/>
  <c r="I234" i="6"/>
  <c r="I233" i="6"/>
  <c r="I232" i="6"/>
  <c r="I231" i="6"/>
  <c r="I230" i="6"/>
  <c r="I229" i="6"/>
  <c r="I228" i="6"/>
  <c r="I227" i="6"/>
  <c r="I226" i="6"/>
  <c r="I225" i="6"/>
  <c r="I224" i="6"/>
  <c r="I223" i="6"/>
  <c r="I222" i="6"/>
  <c r="I221" i="6"/>
  <c r="I220" i="6"/>
  <c r="I219" i="6"/>
  <c r="I218" i="6"/>
  <c r="I217" i="6"/>
  <c r="I216" i="6"/>
  <c r="I215" i="6"/>
  <c r="I214" i="6"/>
  <c r="I213" i="6"/>
  <c r="I212" i="6"/>
  <c r="I211" i="6"/>
  <c r="I210" i="6"/>
  <c r="I209" i="6"/>
  <c r="I208" i="6"/>
  <c r="I207" i="6"/>
  <c r="I206" i="6"/>
  <c r="I205" i="6"/>
  <c r="I204" i="6"/>
  <c r="I203" i="6"/>
  <c r="I202" i="6"/>
  <c r="I201" i="6"/>
  <c r="I200" i="6"/>
  <c r="I199" i="6"/>
  <c r="I198" i="6"/>
  <c r="I197" i="6"/>
  <c r="I196" i="6"/>
  <c r="I195" i="6"/>
  <c r="I194" i="6"/>
  <c r="I193" i="6"/>
  <c r="I192" i="6"/>
  <c r="I191" i="6"/>
  <c r="I190" i="6"/>
  <c r="I189" i="6"/>
  <c r="I188" i="6"/>
  <c r="I187" i="6"/>
  <c r="I186" i="6"/>
  <c r="I185" i="6"/>
  <c r="I184" i="6"/>
  <c r="I183" i="6"/>
  <c r="I182" i="6"/>
  <c r="I181" i="6"/>
  <c r="I180" i="6"/>
  <c r="I179" i="6"/>
  <c r="I178" i="6"/>
  <c r="I177" i="6"/>
  <c r="I176" i="6"/>
  <c r="I175" i="6"/>
  <c r="I174" i="6"/>
  <c r="I173" i="6"/>
  <c r="I172" i="6"/>
  <c r="I171" i="6"/>
  <c r="I170" i="6"/>
  <c r="I169" i="6"/>
  <c r="I168" i="6"/>
  <c r="I167" i="6"/>
  <c r="I166" i="6"/>
  <c r="I165" i="6"/>
  <c r="I164" i="6"/>
  <c r="I163" i="6"/>
  <c r="I162" i="6"/>
  <c r="I161" i="6"/>
  <c r="I160" i="6"/>
  <c r="I159" i="6"/>
  <c r="I158" i="6"/>
  <c r="I157" i="6"/>
  <c r="I156" i="6"/>
  <c r="I155" i="6"/>
  <c r="I154" i="6"/>
  <c r="I153" i="6"/>
  <c r="I152" i="6"/>
  <c r="I151" i="6"/>
  <c r="I150" i="6"/>
  <c r="I149" i="6"/>
  <c r="I148" i="6"/>
  <c r="I147" i="6"/>
  <c r="I146" i="6"/>
  <c r="I145" i="6"/>
  <c r="I144" i="6"/>
  <c r="I143" i="6"/>
  <c r="I142" i="6"/>
  <c r="I141" i="6"/>
  <c r="I140" i="6"/>
  <c r="I139" i="6"/>
  <c r="I138" i="6"/>
  <c r="I137" i="6"/>
  <c r="I136" i="6"/>
  <c r="I135" i="6"/>
  <c r="I134" i="6"/>
  <c r="I133" i="6"/>
  <c r="I132" i="6"/>
  <c r="I131" i="6"/>
  <c r="I130" i="6"/>
  <c r="I129" i="6"/>
  <c r="I128" i="6"/>
  <c r="I127" i="6"/>
  <c r="I126" i="6"/>
  <c r="I125" i="6"/>
  <c r="I124" i="6"/>
  <c r="I123" i="6"/>
  <c r="I122" i="6"/>
  <c r="I121" i="6"/>
  <c r="I120" i="6"/>
  <c r="I119" i="6"/>
  <c r="I118" i="6"/>
  <c r="I117" i="6"/>
  <c r="I116" i="6"/>
  <c r="I115" i="6"/>
  <c r="I114" i="6"/>
  <c r="I113" i="6"/>
  <c r="I112" i="6"/>
  <c r="I111" i="6"/>
  <c r="I110" i="6"/>
  <c r="I109" i="6"/>
  <c r="I108" i="6"/>
  <c r="I107" i="6"/>
  <c r="I106" i="6"/>
  <c r="I105" i="6"/>
  <c r="I104" i="6"/>
  <c r="I103" i="6"/>
  <c r="I102" i="6"/>
  <c r="I101" i="6"/>
  <c r="I100" i="6"/>
  <c r="I99" i="6"/>
  <c r="I98" i="6"/>
  <c r="I97" i="6"/>
  <c r="I96" i="6"/>
  <c r="I95" i="6"/>
  <c r="I94" i="6"/>
  <c r="I93" i="6"/>
  <c r="I92" i="6"/>
  <c r="I91" i="6"/>
  <c r="I90" i="6"/>
  <c r="I89" i="6"/>
  <c r="I88" i="6"/>
  <c r="I87" i="6"/>
  <c r="I86" i="6"/>
  <c r="I85" i="6"/>
  <c r="I84" i="6"/>
  <c r="I83" i="6"/>
  <c r="I82" i="6"/>
  <c r="I81" i="6"/>
  <c r="I80" i="6"/>
  <c r="I79" i="6"/>
  <c r="I78" i="6"/>
  <c r="I77" i="6"/>
  <c r="I76" i="6"/>
  <c r="I75" i="6"/>
  <c r="I74" i="6"/>
  <c r="I73" i="6"/>
  <c r="I72" i="6"/>
  <c r="I71" i="6"/>
  <c r="I70" i="6"/>
  <c r="I69" i="6"/>
  <c r="I68" i="6"/>
  <c r="I67" i="6"/>
  <c r="I66" i="6"/>
  <c r="I65" i="6"/>
  <c r="I64" i="6"/>
  <c r="I63" i="6"/>
  <c r="I62" i="6"/>
  <c r="I61" i="6"/>
  <c r="I60" i="6"/>
  <c r="I59" i="6"/>
  <c r="I58" i="6"/>
  <c r="I57" i="6"/>
  <c r="I56" i="6"/>
  <c r="I55" i="6"/>
  <c r="I54" i="6"/>
  <c r="I53" i="6"/>
  <c r="I52" i="6"/>
  <c r="I51" i="6"/>
  <c r="I50" i="6"/>
  <c r="I49" i="6"/>
  <c r="I48" i="6"/>
  <c r="I47" i="6"/>
  <c r="I46" i="6"/>
  <c r="I45" i="6"/>
  <c r="I44" i="6"/>
  <c r="I43" i="6"/>
  <c r="I42" i="6"/>
  <c r="I41" i="6"/>
  <c r="I40" i="6"/>
  <c r="I39" i="6"/>
  <c r="I38" i="6"/>
  <c r="I37" i="6"/>
  <c r="I36" i="6"/>
  <c r="I35" i="6"/>
  <c r="I34" i="6"/>
  <c r="I33" i="6"/>
  <c r="I32" i="6"/>
  <c r="I31" i="6"/>
  <c r="I30" i="6"/>
  <c r="I29" i="6"/>
  <c r="I28" i="6"/>
  <c r="I27" i="6"/>
  <c r="I26" i="6"/>
  <c r="I25" i="6"/>
  <c r="I24" i="6"/>
  <c r="I23" i="6"/>
  <c r="I22" i="6"/>
  <c r="I21" i="6"/>
  <c r="I20" i="6"/>
  <c r="I19" i="6"/>
  <c r="I18" i="6"/>
  <c r="I17" i="6"/>
  <c r="I16" i="6"/>
  <c r="I15" i="6"/>
  <c r="I14" i="6"/>
  <c r="I13" i="6"/>
  <c r="I12" i="6"/>
  <c r="I11" i="6"/>
  <c r="I10" i="6"/>
  <c r="I9" i="6"/>
  <c r="I8" i="6"/>
  <c r="I7" i="6"/>
  <c r="I6" i="6"/>
  <c r="I5" i="6"/>
  <c r="I4" i="6"/>
  <c r="I3" i="6"/>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<sst xmlns="http://schemas.openxmlformats.org/spreadsheetml/2006/main" count="20693" uniqueCount="2348">
  <si>
    <t>Customer ID</t>
  </si>
  <si>
    <t>Gender</t>
  </si>
  <si>
    <t>Region</t>
  </si>
  <si>
    <t>Age</t>
  </si>
  <si>
    <t>Product Name</t>
  </si>
  <si>
    <t>Category</t>
  </si>
  <si>
    <t>Unit Price</t>
  </si>
  <si>
    <t>Quantity</t>
  </si>
  <si>
    <t>Total Price</t>
  </si>
  <si>
    <t>Order Date</t>
  </si>
  <si>
    <t>CUST0268</t>
  </si>
  <si>
    <t>Male</t>
  </si>
  <si>
    <t>North</t>
  </si>
  <si>
    <t>Monitor</t>
  </si>
  <si>
    <t>Electronics</t>
  </si>
  <si>
    <t>CUST0046</t>
  </si>
  <si>
    <t>West</t>
  </si>
  <si>
    <t>Headphones</t>
  </si>
  <si>
    <t>Accessories</t>
  </si>
  <si>
    <t>CUST0169</t>
  </si>
  <si>
    <t>Female</t>
  </si>
  <si>
    <t>South</t>
  </si>
  <si>
    <t>CUST0002</t>
  </si>
  <si>
    <t>CUST0173</t>
  </si>
  <si>
    <t>Laptop</t>
  </si>
  <si>
    <t>CUST0147</t>
  </si>
  <si>
    <t>Smartwatch</t>
  </si>
  <si>
    <t>Wearables</t>
  </si>
  <si>
    <t>CUST0262</t>
  </si>
  <si>
    <t>East</t>
  </si>
  <si>
    <t>CUST0159</t>
  </si>
  <si>
    <t>Keyboard</t>
  </si>
  <si>
    <t>Mouse</t>
  </si>
  <si>
    <t>CUST0023</t>
  </si>
  <si>
    <t>CUST0201</t>
  </si>
  <si>
    <t>CUST0283</t>
  </si>
  <si>
    <t>CUST0199</t>
  </si>
  <si>
    <t>CUST0039</t>
  </si>
  <si>
    <t>CUST0276</t>
  </si>
  <si>
    <t>CUST0143</t>
  </si>
  <si>
    <t>CUST0139</t>
  </si>
  <si>
    <t>CUST0210</t>
  </si>
  <si>
    <t>Smartphone</t>
  </si>
  <si>
    <t>CUST0293</t>
  </si>
  <si>
    <t>CUST0049</t>
  </si>
  <si>
    <t>CUST0196</t>
  </si>
  <si>
    <t>CUST0050</t>
  </si>
  <si>
    <t>CUST0007</t>
  </si>
  <si>
    <t>CUST0242</t>
  </si>
  <si>
    <t>CUST0042</t>
  </si>
  <si>
    <t>CUST0264</t>
  </si>
  <si>
    <t>CUST0053</t>
  </si>
  <si>
    <t>CUST0154</t>
  </si>
  <si>
    <t>CUST0190</t>
  </si>
  <si>
    <t>CUST0038</t>
  </si>
  <si>
    <t>CUST0288</t>
  </si>
  <si>
    <t>CUST0124</t>
  </si>
  <si>
    <t>CUST0298</t>
  </si>
  <si>
    <t>CUST0211</t>
  </si>
  <si>
    <t>CUST0060</t>
  </si>
  <si>
    <t>CUST0284</t>
  </si>
  <si>
    <t>CUST0282</t>
  </si>
  <si>
    <t>CUST0205</t>
  </si>
  <si>
    <t>CUST0222</t>
  </si>
  <si>
    <t>CUST0299</t>
  </si>
  <si>
    <t>CUST0064</t>
  </si>
  <si>
    <t>CUST0073</t>
  </si>
  <si>
    <t>CUST0081</t>
  </si>
  <si>
    <t>CUST0247</t>
  </si>
  <si>
    <t>CUST0130</t>
  </si>
  <si>
    <t>CUST0178</t>
  </si>
  <si>
    <t>CUST0131</t>
  </si>
  <si>
    <t>CUST0070</t>
  </si>
  <si>
    <t>CUST0122</t>
  </si>
  <si>
    <t>CUST0168</t>
  </si>
  <si>
    <t>CUST0176</t>
  </si>
  <si>
    <t>CUST0125</t>
  </si>
  <si>
    <t>CUST0165</t>
  </si>
  <si>
    <t>CUST0057</t>
  </si>
  <si>
    <t>CUST0207</t>
  </si>
  <si>
    <t>CUST0167</t>
  </si>
  <si>
    <t>CUST0006</t>
  </si>
  <si>
    <t>CUST0041</t>
  </si>
  <si>
    <t>CUST0112</t>
  </si>
  <si>
    <t>CUST0244</t>
  </si>
  <si>
    <t>CUST0218</t>
  </si>
  <si>
    <t>CUST0083</t>
  </si>
  <si>
    <t>CUST0065</t>
  </si>
  <si>
    <t>CUST0096</t>
  </si>
  <si>
    <t>CUST0045</t>
  </si>
  <si>
    <t>CUST0296</t>
  </si>
  <si>
    <t>CUST0261</t>
  </si>
  <si>
    <t>CUST0077</t>
  </si>
  <si>
    <t>CUST0227</t>
  </si>
  <si>
    <t>CUST0245</t>
  </si>
  <si>
    <t>CUST0133</t>
  </si>
  <si>
    <t>CUST0179</t>
  </si>
  <si>
    <t>CUST0022</t>
  </si>
  <si>
    <t>CUST0269</t>
  </si>
  <si>
    <t>CUST0181</t>
  </si>
  <si>
    <t>CUST0170</t>
  </si>
  <si>
    <t>CUST0182</t>
  </si>
  <si>
    <t>CUST0219</t>
  </si>
  <si>
    <t>CUST0037</t>
  </si>
  <si>
    <t>CUST0091</t>
  </si>
  <si>
    <t>CUST0286</t>
  </si>
  <si>
    <t>CUST0019</t>
  </si>
  <si>
    <t>CUST0236</t>
  </si>
  <si>
    <t>CUST0251</t>
  </si>
  <si>
    <t>CUST0099</t>
  </si>
  <si>
    <t>CUST0228</t>
  </si>
  <si>
    <t>CUST0024</t>
  </si>
  <si>
    <t>CUST0113</t>
  </si>
  <si>
    <t>CUST0192</t>
  </si>
  <si>
    <t>CUST0153</t>
  </si>
  <si>
    <t>CUST0150</t>
  </si>
  <si>
    <t>CUST0203</t>
  </si>
  <si>
    <t>CUST0163</t>
  </si>
  <si>
    <t>CUST0223</t>
  </si>
  <si>
    <t>CUST0266</t>
  </si>
  <si>
    <t>CUST0289</t>
  </si>
  <si>
    <t>CUST0008</t>
  </si>
  <si>
    <t>CUST0015</t>
  </si>
  <si>
    <t>CUST0189</t>
  </si>
  <si>
    <t>CUST0137</t>
  </si>
  <si>
    <t>CUST0033</t>
  </si>
  <si>
    <t>CUST0297</t>
  </si>
  <si>
    <t>CUST0267</t>
  </si>
  <si>
    <t>CUST0028</t>
  </si>
  <si>
    <t>CUST0078</t>
  </si>
  <si>
    <t>CUST0003</t>
  </si>
  <si>
    <t>CUST0212</t>
  </si>
  <si>
    <t>CUST0146</t>
  </si>
  <si>
    <t>CUST0082</t>
  </si>
  <si>
    <t>CUST0036</t>
  </si>
  <si>
    <t>CUST0155</t>
  </si>
  <si>
    <t>CUST0138</t>
  </si>
  <si>
    <t>CUST0197</t>
  </si>
  <si>
    <t>CUST0066</t>
  </si>
  <si>
    <t>CUST0026</t>
  </si>
  <si>
    <t>CUST0281</t>
  </si>
  <si>
    <t>CUST0239</t>
  </si>
  <si>
    <t>CUST0069</t>
  </si>
  <si>
    <t>CUST0258</t>
  </si>
  <si>
    <t>CUST0177</t>
  </si>
  <si>
    <t>CUST0140</t>
  </si>
  <si>
    <t>CUST0089</t>
  </si>
  <si>
    <t>CUST0044</t>
  </si>
  <si>
    <t>CUST0174</t>
  </si>
  <si>
    <t>CUST0141</t>
  </si>
  <si>
    <t>CUST0202</t>
  </si>
  <si>
    <t>CUST0259</t>
  </si>
  <si>
    <t>CUST0027</t>
  </si>
  <si>
    <t>CUST0093</t>
  </si>
  <si>
    <t>CUST0216</t>
  </si>
  <si>
    <t>CUST0062</t>
  </si>
  <si>
    <t>CUST0056</t>
  </si>
  <si>
    <t>CUST0114</t>
  </si>
  <si>
    <t>CUST0184</t>
  </si>
  <si>
    <t>CUST0075</t>
  </si>
  <si>
    <t>CUST0142</t>
  </si>
  <si>
    <t>CUST0076</t>
  </si>
  <si>
    <t>CUST0105</t>
  </si>
  <si>
    <t>CUST0004</t>
  </si>
  <si>
    <t>CUST0127</t>
  </si>
  <si>
    <t>CUST0072</t>
  </si>
  <si>
    <t>CUST0156</t>
  </si>
  <si>
    <t>CUST0052</t>
  </si>
  <si>
    <t>CUST0226</t>
  </si>
  <si>
    <t>CUST0270</t>
  </si>
  <si>
    <t>CUST0183</t>
  </si>
  <si>
    <t>CUST0080</t>
  </si>
  <si>
    <t>CUST0208</t>
  </si>
  <si>
    <t>CUST0186</t>
  </si>
  <si>
    <t>CUST0109</t>
  </si>
  <si>
    <t>CUST0095</t>
  </si>
  <si>
    <t>CUST0204</t>
  </si>
  <si>
    <t>CUST0134</t>
  </si>
  <si>
    <t>CUST0116</t>
  </si>
  <si>
    <t>CUST0100</t>
  </si>
  <si>
    <t>CUST0094</t>
  </si>
  <si>
    <t>CUST0194</t>
  </si>
  <si>
    <t>CUST0273</t>
  </si>
  <si>
    <t>CUST0188</t>
  </si>
  <si>
    <t>CUST0092</t>
  </si>
  <si>
    <t>CUST0254</t>
  </si>
  <si>
    <t>CUST0253</t>
  </si>
  <si>
    <t>CUST0180</t>
  </si>
  <si>
    <t>CUST0263</t>
  </si>
  <si>
    <t>CUST0195</t>
  </si>
  <si>
    <t>CUST0272</t>
  </si>
  <si>
    <t>CUST0256</t>
  </si>
  <si>
    <t>CUST0279</t>
  </si>
  <si>
    <t>CUST0250</t>
  </si>
  <si>
    <t>CUST0012</t>
  </si>
  <si>
    <t>CUST0128</t>
  </si>
  <si>
    <t>CUST0115</t>
  </si>
  <si>
    <t>CUST0158</t>
  </si>
  <si>
    <t>CUST0088</t>
  </si>
  <si>
    <t>CUST0055</t>
  </si>
  <si>
    <t>CUST0071</t>
  </si>
  <si>
    <t>CUST0106</t>
  </si>
  <si>
    <t>CUST0280</t>
  </si>
  <si>
    <t>CUST0074</t>
  </si>
  <si>
    <t>CUST0300</t>
  </si>
  <si>
    <t>CUST0016</t>
  </si>
  <si>
    <t>CUST0152</t>
  </si>
  <si>
    <t>CUST0278</t>
  </si>
  <si>
    <t>CUST0229</t>
  </si>
  <si>
    <t>CUST0032</t>
  </si>
  <si>
    <t>CUST0238</t>
  </si>
  <si>
    <t>CUST0051</t>
  </si>
  <si>
    <t>CUST0144</t>
  </si>
  <si>
    <t>CUST0129</t>
  </si>
  <si>
    <t>CUST0148</t>
  </si>
  <si>
    <t>CUST0291</t>
  </si>
  <si>
    <t>CUST0220</t>
  </si>
  <si>
    <t>CUST0161</t>
  </si>
  <si>
    <t>CUST0102</t>
  </si>
  <si>
    <t>CUST0162</t>
  </si>
  <si>
    <t>CUST0121</t>
  </si>
  <si>
    <t>CUST0047</t>
  </si>
  <si>
    <t>CUST0085</t>
  </si>
  <si>
    <t>CUST0010</t>
  </si>
  <si>
    <t>CUST0031</t>
  </si>
  <si>
    <t>CUST0063</t>
  </si>
  <si>
    <t>CUST0097</t>
  </si>
  <si>
    <t>CUST0067</t>
  </si>
  <si>
    <t>CUST0221</t>
  </si>
  <si>
    <t>CUST0126</t>
  </si>
  <si>
    <t>CUST0043</t>
  </si>
  <si>
    <t>CUST0237</t>
  </si>
  <si>
    <t>CUST0058</t>
  </si>
  <si>
    <t>CUST0054</t>
  </si>
  <si>
    <t>CUST0187</t>
  </si>
  <si>
    <t>CUST0018</t>
  </si>
  <si>
    <t>CUST0059</t>
  </si>
  <si>
    <t>CUST0103</t>
  </si>
  <si>
    <t>CUST0224</t>
  </si>
  <si>
    <t>CUST0230</t>
  </si>
  <si>
    <t>CUST0285</t>
  </si>
  <si>
    <t>CUST0198</t>
  </si>
  <si>
    <t>CUST0241</t>
  </si>
  <si>
    <t>CUST0123</t>
  </si>
  <si>
    <t>CUST0200</t>
  </si>
  <si>
    <t>CUST0108</t>
  </si>
  <si>
    <t>CUST0118</t>
  </si>
  <si>
    <t>CUST0098</t>
  </si>
  <si>
    <t>CUST0011</t>
  </si>
  <si>
    <t>CUST0290</t>
  </si>
  <si>
    <t>CUST0164</t>
  </si>
  <si>
    <t>CUST0193</t>
  </si>
  <si>
    <t>CUST0005</t>
  </si>
  <si>
    <t>CUST0274</t>
  </si>
  <si>
    <t>CUST0013</t>
  </si>
  <si>
    <t>CUST0025</t>
  </si>
  <si>
    <t>CUST0160</t>
  </si>
  <si>
    <t>CUST0240</t>
  </si>
  <si>
    <t>CUST0136</t>
  </si>
  <si>
    <t>CUST0243</t>
  </si>
  <si>
    <t>CUST0252</t>
  </si>
  <si>
    <t>CUST0294</t>
  </si>
  <si>
    <t>CUST0215</t>
  </si>
  <si>
    <t>CUST0295</t>
  </si>
  <si>
    <t>CUST0149</t>
  </si>
  <si>
    <t>CUST0068</t>
  </si>
  <si>
    <t>CUST0246</t>
  </si>
  <si>
    <t>CUST0248</t>
  </si>
  <si>
    <t>CUST0020</t>
  </si>
  <si>
    <t>CUST0235</t>
  </si>
  <si>
    <t>CUST0206</t>
  </si>
  <si>
    <t>CUST0157</t>
  </si>
  <si>
    <t>CUST0017</t>
  </si>
  <si>
    <t>CUST0225</t>
  </si>
  <si>
    <t>CUST0145</t>
  </si>
  <si>
    <t>CUST0249</t>
  </si>
  <si>
    <t>CUST0172</t>
  </si>
  <si>
    <t>CUST0048</t>
  </si>
  <si>
    <t>CUST0260</t>
  </si>
  <si>
    <t>CUST0185</t>
  </si>
  <si>
    <t>CUST0009</t>
  </si>
  <si>
    <t>CUST0001</t>
  </si>
  <si>
    <t>CUST0086</t>
  </si>
  <si>
    <t>CUST0021</t>
  </si>
  <si>
    <t>CUST0271</t>
  </si>
  <si>
    <t>CUST0171</t>
  </si>
  <si>
    <t>CUST0213</t>
  </si>
  <si>
    <t>CUST0030</t>
  </si>
  <si>
    <t>CUST0111</t>
  </si>
  <si>
    <t>CUST0035</t>
  </si>
  <si>
    <t>CUST0029</t>
  </si>
  <si>
    <t>CUST0107</t>
  </si>
  <si>
    <t>CUST0117</t>
  </si>
  <si>
    <t>CUST0101</t>
  </si>
  <si>
    <t>CUST0135</t>
  </si>
  <si>
    <t>CUST0231</t>
  </si>
  <si>
    <t>CUST0087</t>
  </si>
  <si>
    <t>CUST0255</t>
  </si>
  <si>
    <t>CUST0034</t>
  </si>
  <si>
    <t>CUST0232</t>
  </si>
  <si>
    <t>CUST0061</t>
  </si>
  <si>
    <t>CUST0104</t>
  </si>
  <si>
    <t>CUST0191</t>
  </si>
  <si>
    <t>CUST0287</t>
  </si>
  <si>
    <t>CUST0079</t>
  </si>
  <si>
    <t>CUST0090</t>
  </si>
  <si>
    <t>CUST0120</t>
  </si>
  <si>
    <t>CUST0233</t>
  </si>
  <si>
    <t>CUST0234</t>
  </si>
  <si>
    <t>CUST0265</t>
  </si>
  <si>
    <t>CUST0214</t>
  </si>
  <si>
    <t>CUST0292</t>
  </si>
  <si>
    <t>CUST0166</t>
  </si>
  <si>
    <t>CUST0040</t>
  </si>
  <si>
    <t>CUST0209</t>
  </si>
  <si>
    <t>CUST0014</t>
  </si>
  <si>
    <t>CUST0257</t>
  </si>
  <si>
    <t>CUST0217</t>
  </si>
  <si>
    <t>Day Type</t>
  </si>
  <si>
    <t>Division</t>
  </si>
  <si>
    <t>Sum of Total Price</t>
  </si>
  <si>
    <t>Jan</t>
  </si>
  <si>
    <t>Dhaka</t>
  </si>
  <si>
    <t>Chattogram</t>
  </si>
  <si>
    <t>Khulna</t>
  </si>
  <si>
    <t>Sylhet</t>
  </si>
  <si>
    <t>Rajshahi</t>
  </si>
  <si>
    <t>Barishal</t>
  </si>
  <si>
    <t>Mymensingh</t>
  </si>
  <si>
    <t>Rangpur</t>
  </si>
  <si>
    <t>Feb</t>
  </si>
  <si>
    <t>Mar</t>
  </si>
  <si>
    <t>Grand Total</t>
  </si>
  <si>
    <t>Total Revenue</t>
  </si>
  <si>
    <t>Apr</t>
  </si>
  <si>
    <t>May</t>
  </si>
  <si>
    <t>Jun</t>
  </si>
  <si>
    <t>Jul</t>
  </si>
  <si>
    <t>Aug</t>
  </si>
  <si>
    <t>Sep</t>
  </si>
  <si>
    <t>Oct</t>
  </si>
  <si>
    <t>Customer Segment</t>
  </si>
  <si>
    <t>At Risk</t>
  </si>
  <si>
    <t>Champions</t>
  </si>
  <si>
    <t>Loyal Customers</t>
  </si>
  <si>
    <t>Lost/Churned</t>
  </si>
  <si>
    <t>Potential Loyal</t>
  </si>
  <si>
    <t>New Customers</t>
  </si>
  <si>
    <t>Low Engagement</t>
  </si>
  <si>
    <t>Average of Frequency</t>
  </si>
  <si>
    <t>Average of Recency</t>
  </si>
  <si>
    <t>Recency</t>
  </si>
  <si>
    <t>Frequency</t>
  </si>
  <si>
    <t>Monetary</t>
  </si>
  <si>
    <t>R Score</t>
  </si>
  <si>
    <t>F Score</t>
  </si>
  <si>
    <t>M Score</t>
  </si>
  <si>
    <t>Column1</t>
  </si>
  <si>
    <t>Recency Percentile</t>
  </si>
  <si>
    <t>Frequency Percentile</t>
  </si>
  <si>
    <t>Monetary Percentile</t>
  </si>
  <si>
    <t>20th Percentile</t>
  </si>
  <si>
    <t>40th Percentile</t>
  </si>
  <si>
    <t>60th Percentile</t>
  </si>
  <si>
    <t>80th Percentile</t>
  </si>
  <si>
    <t>Month</t>
  </si>
  <si>
    <t>TIE - Review</t>
  </si>
  <si>
    <t>Order ID</t>
  </si>
  <si>
    <t>Sales Channel</t>
  </si>
  <si>
    <t>ORD-00001</t>
  </si>
  <si>
    <t>Online</t>
  </si>
  <si>
    <t>ORD-00002</t>
  </si>
  <si>
    <t>ORD-00003</t>
  </si>
  <si>
    <t>Marketplace</t>
  </si>
  <si>
    <t>ORD-00004</t>
  </si>
  <si>
    <t>Retail Store</t>
  </si>
  <si>
    <t>ORD-00005</t>
  </si>
  <si>
    <t>ORD-00006</t>
  </si>
  <si>
    <t>ORD-00007</t>
  </si>
  <si>
    <t>ORD-00008</t>
  </si>
  <si>
    <t>ORD-00009</t>
  </si>
  <si>
    <t>Corporate Sales</t>
  </si>
  <si>
    <t>ORD-00010</t>
  </si>
  <si>
    <t>ORD-00011</t>
  </si>
  <si>
    <t>ORD-00012</t>
  </si>
  <si>
    <t>ORD-00013</t>
  </si>
  <si>
    <t>ORD-00014</t>
  </si>
  <si>
    <t>ORD-00015</t>
  </si>
  <si>
    <t>ORD-00016</t>
  </si>
  <si>
    <t>ORD-00017</t>
  </si>
  <si>
    <t>ORD-00018</t>
  </si>
  <si>
    <t>ORD-00019</t>
  </si>
  <si>
    <t>ORD-00020</t>
  </si>
  <si>
    <t>ORD-00021</t>
  </si>
  <si>
    <t>ORD-00022</t>
  </si>
  <si>
    <t>ORD-00023</t>
  </si>
  <si>
    <t>ORD-00024</t>
  </si>
  <si>
    <t>ORD-00025</t>
  </si>
  <si>
    <t>ORD-00026</t>
  </si>
  <si>
    <t>ORD-00027</t>
  </si>
  <si>
    <t>ORD-00028</t>
  </si>
  <si>
    <t>ORD-00029</t>
  </si>
  <si>
    <t>ORD-00030</t>
  </si>
  <si>
    <t>ORD-00031</t>
  </si>
  <si>
    <t>ORD-00032</t>
  </si>
  <si>
    <t>ORD-00033</t>
  </si>
  <si>
    <t>ORD-00034</t>
  </si>
  <si>
    <t>ORD-00035</t>
  </si>
  <si>
    <t>ORD-00036</t>
  </si>
  <si>
    <t>ORD-00037</t>
  </si>
  <si>
    <t>ORD-00038</t>
  </si>
  <si>
    <t>ORD-00039</t>
  </si>
  <si>
    <t>ORD-00040</t>
  </si>
  <si>
    <t>ORD-00041</t>
  </si>
  <si>
    <t>ORD-00042</t>
  </si>
  <si>
    <t>ORD-00043</t>
  </si>
  <si>
    <t>ORD-00044</t>
  </si>
  <si>
    <t>ORD-00045</t>
  </si>
  <si>
    <t>ORD-00046</t>
  </si>
  <si>
    <t>ORD-00047</t>
  </si>
  <si>
    <t>ORD-00048</t>
  </si>
  <si>
    <t>ORD-00049</t>
  </si>
  <si>
    <t>ORD-00050</t>
  </si>
  <si>
    <t>ORD-00051</t>
  </si>
  <si>
    <t>ORD-00052</t>
  </si>
  <si>
    <t>ORD-00053</t>
  </si>
  <si>
    <t>ORD-00054</t>
  </si>
  <si>
    <t>ORD-00055</t>
  </si>
  <si>
    <t>ORD-00056</t>
  </si>
  <si>
    <t>ORD-00057</t>
  </si>
  <si>
    <t>ORD-00058</t>
  </si>
  <si>
    <t>ORD-00059</t>
  </si>
  <si>
    <t>ORD-00060</t>
  </si>
  <si>
    <t>ORD-00061</t>
  </si>
  <si>
    <t>ORD-00062</t>
  </si>
  <si>
    <t>ORD-00063</t>
  </si>
  <si>
    <t>ORD-00064</t>
  </si>
  <si>
    <t>ORD-00065</t>
  </si>
  <si>
    <t>ORD-00066</t>
  </si>
  <si>
    <t>ORD-00067</t>
  </si>
  <si>
    <t>ORD-00068</t>
  </si>
  <si>
    <t>ORD-00069</t>
  </si>
  <si>
    <t>ORD-00070</t>
  </si>
  <si>
    <t>ORD-00071</t>
  </si>
  <si>
    <t>ORD-00072</t>
  </si>
  <si>
    <t>ORD-00073</t>
  </si>
  <si>
    <t>ORD-00074</t>
  </si>
  <si>
    <t>ORD-00075</t>
  </si>
  <si>
    <t>ORD-00076</t>
  </si>
  <si>
    <t>ORD-00077</t>
  </si>
  <si>
    <t>ORD-00078</t>
  </si>
  <si>
    <t>ORD-00079</t>
  </si>
  <si>
    <t>ORD-00080</t>
  </si>
  <si>
    <t>ORD-00081</t>
  </si>
  <si>
    <t>ORD-00082</t>
  </si>
  <si>
    <t>ORD-00083</t>
  </si>
  <si>
    <t>ORD-00084</t>
  </si>
  <si>
    <t>ORD-00085</t>
  </si>
  <si>
    <t>ORD-00086</t>
  </si>
  <si>
    <t>ORD-00087</t>
  </si>
  <si>
    <t>ORD-00088</t>
  </si>
  <si>
    <t>ORD-00089</t>
  </si>
  <si>
    <t>ORD-00090</t>
  </si>
  <si>
    <t>ORD-00091</t>
  </si>
  <si>
    <t>ORD-00092</t>
  </si>
  <si>
    <t>ORD-00093</t>
  </si>
  <si>
    <t>ORD-00094</t>
  </si>
  <si>
    <t>ORD-00095</t>
  </si>
  <si>
    <t>ORD-00096</t>
  </si>
  <si>
    <t>ORD-00097</t>
  </si>
  <si>
    <t>ORD-00098</t>
  </si>
  <si>
    <t>ORD-00099</t>
  </si>
  <si>
    <t>ORD-00100</t>
  </si>
  <si>
    <t>ORD-00101</t>
  </si>
  <si>
    <t>ORD-00102</t>
  </si>
  <si>
    <t>ORD-00103</t>
  </si>
  <si>
    <t>ORD-00104</t>
  </si>
  <si>
    <t>ORD-00105</t>
  </si>
  <si>
    <t>ORD-00106</t>
  </si>
  <si>
    <t>ORD-00107</t>
  </si>
  <si>
    <t>ORD-00108</t>
  </si>
  <si>
    <t>ORD-00109</t>
  </si>
  <si>
    <t>ORD-00110</t>
  </si>
  <si>
    <t>ORD-00111</t>
  </si>
  <si>
    <t>ORD-00112</t>
  </si>
  <si>
    <t>ORD-00113</t>
  </si>
  <si>
    <t>ORD-00114</t>
  </si>
  <si>
    <t>ORD-00115</t>
  </si>
  <si>
    <t>ORD-00116</t>
  </si>
  <si>
    <t>ORD-00117</t>
  </si>
  <si>
    <t>ORD-00118</t>
  </si>
  <si>
    <t>ORD-00119</t>
  </si>
  <si>
    <t>ORD-00120</t>
  </si>
  <si>
    <t>ORD-00121</t>
  </si>
  <si>
    <t>ORD-00122</t>
  </si>
  <si>
    <t>ORD-00123</t>
  </si>
  <si>
    <t>ORD-00124</t>
  </si>
  <si>
    <t>ORD-00125</t>
  </si>
  <si>
    <t>ORD-00126</t>
  </si>
  <si>
    <t>ORD-00127</t>
  </si>
  <si>
    <t>ORD-00128</t>
  </si>
  <si>
    <t>ORD-00129</t>
  </si>
  <si>
    <t>ORD-00130</t>
  </si>
  <si>
    <t>ORD-00131</t>
  </si>
  <si>
    <t>ORD-00132</t>
  </si>
  <si>
    <t>ORD-00133</t>
  </si>
  <si>
    <t>ORD-00134</t>
  </si>
  <si>
    <t>ORD-00135</t>
  </si>
  <si>
    <t>ORD-00136</t>
  </si>
  <si>
    <t>ORD-00137</t>
  </si>
  <si>
    <t>ORD-00138</t>
  </si>
  <si>
    <t>ORD-00139</t>
  </si>
  <si>
    <t>ORD-00140</t>
  </si>
  <si>
    <t>ORD-00141</t>
  </si>
  <si>
    <t>ORD-00142</t>
  </si>
  <si>
    <t>ORD-00143</t>
  </si>
  <si>
    <t>ORD-00144</t>
  </si>
  <si>
    <t>ORD-00145</t>
  </si>
  <si>
    <t>ORD-00146</t>
  </si>
  <si>
    <t>ORD-00147</t>
  </si>
  <si>
    <t>ORD-00148</t>
  </si>
  <si>
    <t>ORD-00149</t>
  </si>
  <si>
    <t>ORD-00150</t>
  </si>
  <si>
    <t>ORD-00151</t>
  </si>
  <si>
    <t>ORD-00152</t>
  </si>
  <si>
    <t>ORD-00153</t>
  </si>
  <si>
    <t>ORD-00154</t>
  </si>
  <si>
    <t>ORD-00155</t>
  </si>
  <si>
    <t>ORD-00156</t>
  </si>
  <si>
    <t>ORD-00157</t>
  </si>
  <si>
    <t>ORD-00158</t>
  </si>
  <si>
    <t>ORD-00159</t>
  </si>
  <si>
    <t>ORD-00160</t>
  </si>
  <si>
    <t>ORD-00161</t>
  </si>
  <si>
    <t>ORD-00162</t>
  </si>
  <si>
    <t>ORD-00163</t>
  </si>
  <si>
    <t>ORD-00164</t>
  </si>
  <si>
    <t>ORD-00165</t>
  </si>
  <si>
    <t>ORD-00166</t>
  </si>
  <si>
    <t>ORD-00167</t>
  </si>
  <si>
    <t>ORD-00168</t>
  </si>
  <si>
    <t>ORD-00169</t>
  </si>
  <si>
    <t>ORD-00170</t>
  </si>
  <si>
    <t>ORD-00171</t>
  </si>
  <si>
    <t>ORD-00172</t>
  </si>
  <si>
    <t>ORD-00173</t>
  </si>
  <si>
    <t>ORD-00174</t>
  </si>
  <si>
    <t>ORD-00175</t>
  </si>
  <si>
    <t>ORD-00176</t>
  </si>
  <si>
    <t>ORD-00177</t>
  </si>
  <si>
    <t>ORD-00178</t>
  </si>
  <si>
    <t>ORD-00179</t>
  </si>
  <si>
    <t>ORD-00180</t>
  </si>
  <si>
    <t>ORD-00181</t>
  </si>
  <si>
    <t>ORD-00182</t>
  </si>
  <si>
    <t>ORD-00183</t>
  </si>
  <si>
    <t>ORD-00184</t>
  </si>
  <si>
    <t>ORD-00185</t>
  </si>
  <si>
    <t>ORD-00186</t>
  </si>
  <si>
    <t>ORD-00187</t>
  </si>
  <si>
    <t>ORD-00188</t>
  </si>
  <si>
    <t>ORD-00189</t>
  </si>
  <si>
    <t>ORD-00190</t>
  </si>
  <si>
    <t>ORD-00191</t>
  </si>
  <si>
    <t>ORD-00192</t>
  </si>
  <si>
    <t>ORD-00193</t>
  </si>
  <si>
    <t>ORD-00194</t>
  </si>
  <si>
    <t>ORD-00195</t>
  </si>
  <si>
    <t>ORD-00196</t>
  </si>
  <si>
    <t>ORD-00197</t>
  </si>
  <si>
    <t>ORD-00198</t>
  </si>
  <si>
    <t>ORD-00199</t>
  </si>
  <si>
    <t>ORD-00200</t>
  </si>
  <si>
    <t>ORD-00201</t>
  </si>
  <si>
    <t>ORD-00202</t>
  </si>
  <si>
    <t>ORD-00203</t>
  </si>
  <si>
    <t>ORD-00204</t>
  </si>
  <si>
    <t>ORD-00205</t>
  </si>
  <si>
    <t>ORD-00206</t>
  </si>
  <si>
    <t>ORD-00207</t>
  </si>
  <si>
    <t>ORD-00208</t>
  </si>
  <si>
    <t>ORD-00209</t>
  </si>
  <si>
    <t>ORD-00210</t>
  </si>
  <si>
    <t>ORD-00211</t>
  </si>
  <si>
    <t>ORD-00212</t>
  </si>
  <si>
    <t>ORD-00213</t>
  </si>
  <si>
    <t>ORD-00214</t>
  </si>
  <si>
    <t>ORD-00215</t>
  </si>
  <si>
    <t>ORD-00216</t>
  </si>
  <si>
    <t>ORD-00217</t>
  </si>
  <si>
    <t>ORD-00218</t>
  </si>
  <si>
    <t>ORD-00219</t>
  </si>
  <si>
    <t>ORD-00220</t>
  </si>
  <si>
    <t>ORD-00221</t>
  </si>
  <si>
    <t>ORD-00222</t>
  </si>
  <si>
    <t>ORD-00223</t>
  </si>
  <si>
    <t>ORD-00224</t>
  </si>
  <si>
    <t>ORD-00225</t>
  </si>
  <si>
    <t>ORD-00226</t>
  </si>
  <si>
    <t>ORD-00227</t>
  </si>
  <si>
    <t>ORD-00228</t>
  </si>
  <si>
    <t>ORD-00229</t>
  </si>
  <si>
    <t>ORD-00230</t>
  </si>
  <si>
    <t>ORD-00231</t>
  </si>
  <si>
    <t>ORD-00232</t>
  </si>
  <si>
    <t>ORD-00233</t>
  </si>
  <si>
    <t>ORD-00234</t>
  </si>
  <si>
    <t>ORD-00235</t>
  </si>
  <si>
    <t>ORD-00236</t>
  </si>
  <si>
    <t>ORD-00237</t>
  </si>
  <si>
    <t>ORD-00238</t>
  </si>
  <si>
    <t>ORD-00239</t>
  </si>
  <si>
    <t>ORD-00240</t>
  </si>
  <si>
    <t>ORD-00241</t>
  </si>
  <si>
    <t>ORD-00242</t>
  </si>
  <si>
    <t>ORD-00243</t>
  </si>
  <si>
    <t>ORD-00244</t>
  </si>
  <si>
    <t>ORD-00245</t>
  </si>
  <si>
    <t>ORD-00246</t>
  </si>
  <si>
    <t>ORD-00247</t>
  </si>
  <si>
    <t>ORD-00248</t>
  </si>
  <si>
    <t>ORD-00249</t>
  </si>
  <si>
    <t>ORD-00250</t>
  </si>
  <si>
    <t>ORD-00251</t>
  </si>
  <si>
    <t>ORD-00252</t>
  </si>
  <si>
    <t>ORD-00253</t>
  </si>
  <si>
    <t>ORD-00254</t>
  </si>
  <si>
    <t>ORD-00255</t>
  </si>
  <si>
    <t>ORD-00256</t>
  </si>
  <si>
    <t>ORD-00257</t>
  </si>
  <si>
    <t>ORD-00258</t>
  </si>
  <si>
    <t>ORD-00259</t>
  </si>
  <si>
    <t>ORD-00260</t>
  </si>
  <si>
    <t>ORD-00261</t>
  </si>
  <si>
    <t>ORD-00262</t>
  </si>
  <si>
    <t>ORD-00263</t>
  </si>
  <si>
    <t>ORD-00264</t>
  </si>
  <si>
    <t>ORD-00265</t>
  </si>
  <si>
    <t>ORD-00266</t>
  </si>
  <si>
    <t>ORD-00267</t>
  </si>
  <si>
    <t>ORD-00268</t>
  </si>
  <si>
    <t>ORD-00269</t>
  </si>
  <si>
    <t>ORD-00270</t>
  </si>
  <si>
    <t>ORD-00271</t>
  </si>
  <si>
    <t>ORD-00272</t>
  </si>
  <si>
    <t>ORD-00273</t>
  </si>
  <si>
    <t>ORD-00274</t>
  </si>
  <si>
    <t>ORD-00275</t>
  </si>
  <si>
    <t>ORD-00276</t>
  </si>
  <si>
    <t>ORD-00277</t>
  </si>
  <si>
    <t>ORD-00278</t>
  </si>
  <si>
    <t>ORD-00279</t>
  </si>
  <si>
    <t>ORD-00280</t>
  </si>
  <si>
    <t>ORD-00281</t>
  </si>
  <si>
    <t>ORD-00282</t>
  </si>
  <si>
    <t>ORD-00283</t>
  </si>
  <si>
    <t>ORD-00284</t>
  </si>
  <si>
    <t>ORD-00285</t>
  </si>
  <si>
    <t>ORD-00286</t>
  </si>
  <si>
    <t>ORD-00287</t>
  </si>
  <si>
    <t>ORD-00288</t>
  </si>
  <si>
    <t>ORD-00289</t>
  </si>
  <si>
    <t>ORD-00290</t>
  </si>
  <si>
    <t>ORD-00291</t>
  </si>
  <si>
    <t>ORD-00292</t>
  </si>
  <si>
    <t>ORD-00293</t>
  </si>
  <si>
    <t>ORD-00294</t>
  </si>
  <si>
    <t>ORD-00295</t>
  </si>
  <si>
    <t>ORD-00296</t>
  </si>
  <si>
    <t>ORD-00297</t>
  </si>
  <si>
    <t>ORD-00298</t>
  </si>
  <si>
    <t>ORD-00299</t>
  </si>
  <si>
    <t>ORD-00300</t>
  </si>
  <si>
    <t>ORD-00301</t>
  </si>
  <si>
    <t>ORD-00302</t>
  </si>
  <si>
    <t>ORD-00303</t>
  </si>
  <si>
    <t>ORD-00304</t>
  </si>
  <si>
    <t>ORD-00305</t>
  </si>
  <si>
    <t>ORD-00306</t>
  </si>
  <si>
    <t>ORD-00307</t>
  </si>
  <si>
    <t>ORD-00308</t>
  </si>
  <si>
    <t>ORD-00309</t>
  </si>
  <si>
    <t>ORD-00310</t>
  </si>
  <si>
    <t>ORD-00311</t>
  </si>
  <si>
    <t>ORD-00312</t>
  </si>
  <si>
    <t>ORD-00313</t>
  </si>
  <si>
    <t>ORD-00314</t>
  </si>
  <si>
    <t>ORD-00315</t>
  </si>
  <si>
    <t>ORD-00316</t>
  </si>
  <si>
    <t>ORD-00317</t>
  </si>
  <si>
    <t>ORD-00318</t>
  </si>
  <si>
    <t>ORD-00319</t>
  </si>
  <si>
    <t>ORD-00320</t>
  </si>
  <si>
    <t>ORD-00321</t>
  </si>
  <si>
    <t>ORD-00322</t>
  </si>
  <si>
    <t>ORD-00323</t>
  </si>
  <si>
    <t>ORD-00324</t>
  </si>
  <si>
    <t>ORD-00325</t>
  </si>
  <si>
    <t>ORD-00326</t>
  </si>
  <si>
    <t>ORD-00327</t>
  </si>
  <si>
    <t>ORD-00328</t>
  </si>
  <si>
    <t>ORD-00329</t>
  </si>
  <si>
    <t>ORD-00330</t>
  </si>
  <si>
    <t>ORD-00331</t>
  </si>
  <si>
    <t>ORD-00332</t>
  </si>
  <si>
    <t>ORD-00333</t>
  </si>
  <si>
    <t>ORD-00334</t>
  </si>
  <si>
    <t>ORD-00335</t>
  </si>
  <si>
    <t>ORD-00336</t>
  </si>
  <si>
    <t>ORD-00337</t>
  </si>
  <si>
    <t>ORD-00338</t>
  </si>
  <si>
    <t>ORD-00339</t>
  </si>
  <si>
    <t>ORD-00340</t>
  </si>
  <si>
    <t>ORD-00341</t>
  </si>
  <si>
    <t>ORD-00342</t>
  </si>
  <si>
    <t>ORD-00343</t>
  </si>
  <si>
    <t>ORD-00344</t>
  </si>
  <si>
    <t>ORD-00345</t>
  </si>
  <si>
    <t>ORD-00346</t>
  </si>
  <si>
    <t>ORD-00347</t>
  </si>
  <si>
    <t>ORD-00348</t>
  </si>
  <si>
    <t>ORD-00349</t>
  </si>
  <si>
    <t>ORD-00350</t>
  </si>
  <si>
    <t>ORD-00351</t>
  </si>
  <si>
    <t>ORD-00352</t>
  </si>
  <si>
    <t>ORD-00353</t>
  </si>
  <si>
    <t>ORD-00354</t>
  </si>
  <si>
    <t>ORD-00355</t>
  </si>
  <si>
    <t>ORD-00356</t>
  </si>
  <si>
    <t>ORD-00357</t>
  </si>
  <si>
    <t>ORD-00358</t>
  </si>
  <si>
    <t>ORD-00359</t>
  </si>
  <si>
    <t>ORD-00360</t>
  </si>
  <si>
    <t>ORD-00361</t>
  </si>
  <si>
    <t>ORD-00362</t>
  </si>
  <si>
    <t>ORD-00363</t>
  </si>
  <si>
    <t>ORD-00364</t>
  </si>
  <si>
    <t>ORD-00365</t>
  </si>
  <si>
    <t>ORD-00366</t>
  </si>
  <si>
    <t>ORD-00367</t>
  </si>
  <si>
    <t>ORD-00368</t>
  </si>
  <si>
    <t>ORD-00369</t>
  </si>
  <si>
    <t>ORD-00370</t>
  </si>
  <si>
    <t>ORD-00371</t>
  </si>
  <si>
    <t>ORD-00372</t>
  </si>
  <si>
    <t>ORD-00373</t>
  </si>
  <si>
    <t>ORD-00374</t>
  </si>
  <si>
    <t>ORD-00375</t>
  </si>
  <si>
    <t>ORD-00376</t>
  </si>
  <si>
    <t>ORD-00377</t>
  </si>
  <si>
    <t>ORD-00378</t>
  </si>
  <si>
    <t>ORD-00379</t>
  </si>
  <si>
    <t>ORD-00380</t>
  </si>
  <si>
    <t>ORD-00381</t>
  </si>
  <si>
    <t>ORD-00382</t>
  </si>
  <si>
    <t>ORD-00383</t>
  </si>
  <si>
    <t>ORD-00384</t>
  </si>
  <si>
    <t>ORD-00385</t>
  </si>
  <si>
    <t>ORD-00386</t>
  </si>
  <si>
    <t>ORD-00387</t>
  </si>
  <si>
    <t>ORD-00388</t>
  </si>
  <si>
    <t>ORD-00389</t>
  </si>
  <si>
    <t>ORD-00390</t>
  </si>
  <si>
    <t>ORD-00391</t>
  </si>
  <si>
    <t>ORD-00392</t>
  </si>
  <si>
    <t>ORD-00393</t>
  </si>
  <si>
    <t>ORD-00394</t>
  </si>
  <si>
    <t>ORD-00395</t>
  </si>
  <si>
    <t>ORD-00396</t>
  </si>
  <si>
    <t>ORD-00397</t>
  </si>
  <si>
    <t>ORD-00398</t>
  </si>
  <si>
    <t>ORD-00399</t>
  </si>
  <si>
    <t>ORD-00400</t>
  </si>
  <si>
    <t>ORD-00401</t>
  </si>
  <si>
    <t>ORD-00402</t>
  </si>
  <si>
    <t>ORD-00403</t>
  </si>
  <si>
    <t>ORD-00404</t>
  </si>
  <si>
    <t>ORD-00405</t>
  </si>
  <si>
    <t>ORD-00406</t>
  </si>
  <si>
    <t>ORD-00407</t>
  </si>
  <si>
    <t>ORD-00408</t>
  </si>
  <si>
    <t>ORD-00409</t>
  </si>
  <si>
    <t>ORD-00410</t>
  </si>
  <si>
    <t>ORD-00411</t>
  </si>
  <si>
    <t>ORD-00412</t>
  </si>
  <si>
    <t>ORD-00413</t>
  </si>
  <si>
    <t>ORD-00414</t>
  </si>
  <si>
    <t>ORD-00415</t>
  </si>
  <si>
    <t>ORD-00416</t>
  </si>
  <si>
    <t>ORD-00417</t>
  </si>
  <si>
    <t>ORD-00418</t>
  </si>
  <si>
    <t>ORD-00419</t>
  </si>
  <si>
    <t>ORD-00420</t>
  </si>
  <si>
    <t>ORD-00421</t>
  </si>
  <si>
    <t>ORD-00422</t>
  </si>
  <si>
    <t>ORD-00423</t>
  </si>
  <si>
    <t>ORD-00424</t>
  </si>
  <si>
    <t>ORD-00425</t>
  </si>
  <si>
    <t>ORD-00426</t>
  </si>
  <si>
    <t>ORD-00427</t>
  </si>
  <si>
    <t>ORD-00428</t>
  </si>
  <si>
    <t>ORD-00429</t>
  </si>
  <si>
    <t>ORD-00430</t>
  </si>
  <si>
    <t>ORD-00431</t>
  </si>
  <si>
    <t>ORD-00432</t>
  </si>
  <si>
    <t>ORD-00433</t>
  </si>
  <si>
    <t>ORD-00434</t>
  </si>
  <si>
    <t>ORD-00435</t>
  </si>
  <si>
    <t>ORD-00436</t>
  </si>
  <si>
    <t>ORD-00437</t>
  </si>
  <si>
    <t>ORD-00438</t>
  </si>
  <si>
    <t>ORD-00439</t>
  </si>
  <si>
    <t>ORD-00440</t>
  </si>
  <si>
    <t>ORD-00441</t>
  </si>
  <si>
    <t>ORD-00442</t>
  </si>
  <si>
    <t>ORD-00443</t>
  </si>
  <si>
    <t>ORD-00444</t>
  </si>
  <si>
    <t>ORD-00445</t>
  </si>
  <si>
    <t>ORD-00446</t>
  </si>
  <si>
    <t>ORD-00447</t>
  </si>
  <si>
    <t>ORD-00448</t>
  </si>
  <si>
    <t>ORD-00449</t>
  </si>
  <si>
    <t>ORD-00450</t>
  </si>
  <si>
    <t>ORD-00451</t>
  </si>
  <si>
    <t>ORD-00452</t>
  </si>
  <si>
    <t>ORD-00453</t>
  </si>
  <si>
    <t>ORD-00454</t>
  </si>
  <si>
    <t>ORD-00455</t>
  </si>
  <si>
    <t>ORD-00456</t>
  </si>
  <si>
    <t>ORD-00457</t>
  </si>
  <si>
    <t>ORD-00458</t>
  </si>
  <si>
    <t>ORD-00459</t>
  </si>
  <si>
    <t>ORD-00460</t>
  </si>
  <si>
    <t>ORD-00461</t>
  </si>
  <si>
    <t>ORD-00462</t>
  </si>
  <si>
    <t>ORD-00463</t>
  </si>
  <si>
    <t>ORD-00464</t>
  </si>
  <si>
    <t>ORD-00465</t>
  </si>
  <si>
    <t>ORD-00466</t>
  </si>
  <si>
    <t>ORD-00467</t>
  </si>
  <si>
    <t>ORD-00468</t>
  </si>
  <si>
    <t>ORD-00469</t>
  </si>
  <si>
    <t>ORD-00470</t>
  </si>
  <si>
    <t>ORD-00471</t>
  </si>
  <si>
    <t>ORD-00472</t>
  </si>
  <si>
    <t>ORD-00473</t>
  </si>
  <si>
    <t>ORD-00474</t>
  </si>
  <si>
    <t>ORD-00475</t>
  </si>
  <si>
    <t>ORD-00476</t>
  </si>
  <si>
    <t>ORD-00477</t>
  </si>
  <si>
    <t>ORD-00478</t>
  </si>
  <si>
    <t>ORD-00479</t>
  </si>
  <si>
    <t>ORD-00480</t>
  </si>
  <si>
    <t>ORD-00481</t>
  </si>
  <si>
    <t>ORD-00482</t>
  </si>
  <si>
    <t>ORD-00483</t>
  </si>
  <si>
    <t>ORD-00484</t>
  </si>
  <si>
    <t>ORD-00485</t>
  </si>
  <si>
    <t>ORD-00486</t>
  </si>
  <si>
    <t>ORD-00487</t>
  </si>
  <si>
    <t>ORD-00488</t>
  </si>
  <si>
    <t>ORD-00489</t>
  </si>
  <si>
    <t>ORD-00490</t>
  </si>
  <si>
    <t>ORD-00491</t>
  </si>
  <si>
    <t>ORD-00492</t>
  </si>
  <si>
    <t>ORD-00493</t>
  </si>
  <si>
    <t>ORD-00494</t>
  </si>
  <si>
    <t>ORD-00495</t>
  </si>
  <si>
    <t>ORD-00496</t>
  </si>
  <si>
    <t>ORD-00497</t>
  </si>
  <si>
    <t>ORD-00498</t>
  </si>
  <si>
    <t>ORD-00499</t>
  </si>
  <si>
    <t>ORD-00500</t>
  </si>
  <si>
    <t>ORD-00501</t>
  </si>
  <si>
    <t>ORD-00502</t>
  </si>
  <si>
    <t>ORD-00503</t>
  </si>
  <si>
    <t>ORD-00504</t>
  </si>
  <si>
    <t>ORD-00505</t>
  </si>
  <si>
    <t>ORD-00506</t>
  </si>
  <si>
    <t>ORD-00507</t>
  </si>
  <si>
    <t>ORD-00508</t>
  </si>
  <si>
    <t>ORD-00509</t>
  </si>
  <si>
    <t>ORD-00510</t>
  </si>
  <si>
    <t>ORD-00511</t>
  </si>
  <si>
    <t>ORD-00512</t>
  </si>
  <si>
    <t>ORD-00513</t>
  </si>
  <si>
    <t>ORD-00514</t>
  </si>
  <si>
    <t>ORD-00515</t>
  </si>
  <si>
    <t>ORD-00516</t>
  </si>
  <si>
    <t>ORD-00517</t>
  </si>
  <si>
    <t>ORD-00518</t>
  </si>
  <si>
    <t>ORD-00519</t>
  </si>
  <si>
    <t>ORD-00520</t>
  </si>
  <si>
    <t>ORD-00521</t>
  </si>
  <si>
    <t>ORD-00522</t>
  </si>
  <si>
    <t>ORD-00523</t>
  </si>
  <si>
    <t>ORD-00524</t>
  </si>
  <si>
    <t>ORD-00525</t>
  </si>
  <si>
    <t>ORD-00526</t>
  </si>
  <si>
    <t>ORD-00527</t>
  </si>
  <si>
    <t>ORD-00528</t>
  </si>
  <si>
    <t>ORD-00529</t>
  </si>
  <si>
    <t>ORD-00530</t>
  </si>
  <si>
    <t>ORD-00531</t>
  </si>
  <si>
    <t>ORD-00532</t>
  </si>
  <si>
    <t>ORD-00533</t>
  </si>
  <si>
    <t>ORD-00534</t>
  </si>
  <si>
    <t>ORD-00535</t>
  </si>
  <si>
    <t>ORD-00536</t>
  </si>
  <si>
    <t>ORD-00537</t>
  </si>
  <si>
    <t>ORD-00538</t>
  </si>
  <si>
    <t>ORD-00539</t>
  </si>
  <si>
    <t>ORD-00540</t>
  </si>
  <si>
    <t>ORD-00541</t>
  </si>
  <si>
    <t>ORD-00542</t>
  </si>
  <si>
    <t>ORD-00543</t>
  </si>
  <si>
    <t>ORD-00544</t>
  </si>
  <si>
    <t>ORD-00545</t>
  </si>
  <si>
    <t>ORD-00546</t>
  </si>
  <si>
    <t>ORD-00547</t>
  </si>
  <si>
    <t>ORD-00548</t>
  </si>
  <si>
    <t>ORD-00549</t>
  </si>
  <si>
    <t>ORD-00550</t>
  </si>
  <si>
    <t>ORD-00551</t>
  </si>
  <si>
    <t>ORD-00552</t>
  </si>
  <si>
    <t>ORD-00553</t>
  </si>
  <si>
    <t>ORD-00554</t>
  </si>
  <si>
    <t>ORD-00555</t>
  </si>
  <si>
    <t>ORD-00556</t>
  </si>
  <si>
    <t>ORD-00557</t>
  </si>
  <si>
    <t>ORD-00558</t>
  </si>
  <si>
    <t>ORD-00559</t>
  </si>
  <si>
    <t>ORD-00560</t>
  </si>
  <si>
    <t>ORD-00561</t>
  </si>
  <si>
    <t>ORD-00562</t>
  </si>
  <si>
    <t>ORD-00563</t>
  </si>
  <si>
    <t>ORD-00564</t>
  </si>
  <si>
    <t>ORD-00565</t>
  </si>
  <si>
    <t>ORD-00566</t>
  </si>
  <si>
    <t>ORD-00567</t>
  </si>
  <si>
    <t>ORD-00568</t>
  </si>
  <si>
    <t>ORD-00569</t>
  </si>
  <si>
    <t>ORD-00570</t>
  </si>
  <si>
    <t>ORD-00571</t>
  </si>
  <si>
    <t>ORD-00572</t>
  </si>
  <si>
    <t>ORD-00573</t>
  </si>
  <si>
    <t>ORD-00574</t>
  </si>
  <si>
    <t>ORD-00575</t>
  </si>
  <si>
    <t>ORD-00576</t>
  </si>
  <si>
    <t>ORD-00577</t>
  </si>
  <si>
    <t>ORD-00578</t>
  </si>
  <si>
    <t>ORD-00579</t>
  </si>
  <si>
    <t>ORD-00580</t>
  </si>
  <si>
    <t>ORD-00581</t>
  </si>
  <si>
    <t>ORD-00582</t>
  </si>
  <si>
    <t>ORD-00583</t>
  </si>
  <si>
    <t>ORD-00584</t>
  </si>
  <si>
    <t>ORD-00585</t>
  </si>
  <si>
    <t>ORD-00586</t>
  </si>
  <si>
    <t>ORD-00587</t>
  </si>
  <si>
    <t>ORD-00588</t>
  </si>
  <si>
    <t>ORD-00589</t>
  </si>
  <si>
    <t>ORD-00590</t>
  </si>
  <si>
    <t>ORD-00591</t>
  </si>
  <si>
    <t>ORD-00592</t>
  </si>
  <si>
    <t>ORD-00593</t>
  </si>
  <si>
    <t>ORD-00594</t>
  </si>
  <si>
    <t>ORD-00595</t>
  </si>
  <si>
    <t>ORD-00596</t>
  </si>
  <si>
    <t>ORD-00597</t>
  </si>
  <si>
    <t>ORD-00598</t>
  </si>
  <si>
    <t>ORD-00599</t>
  </si>
  <si>
    <t>ORD-00600</t>
  </si>
  <si>
    <t>ORD-00601</t>
  </si>
  <si>
    <t>ORD-00602</t>
  </si>
  <si>
    <t>ORD-00603</t>
  </si>
  <si>
    <t>ORD-00604</t>
  </si>
  <si>
    <t>ORD-00605</t>
  </si>
  <si>
    <t>ORD-00606</t>
  </si>
  <si>
    <t>ORD-00607</t>
  </si>
  <si>
    <t>ORD-00608</t>
  </si>
  <si>
    <t>ORD-00609</t>
  </si>
  <si>
    <t>ORD-00610</t>
  </si>
  <si>
    <t>ORD-00611</t>
  </si>
  <si>
    <t>ORD-00612</t>
  </si>
  <si>
    <t>ORD-00613</t>
  </si>
  <si>
    <t>ORD-00614</t>
  </si>
  <si>
    <t>ORD-00615</t>
  </si>
  <si>
    <t>ORD-00616</t>
  </si>
  <si>
    <t>ORD-00617</t>
  </si>
  <si>
    <t>ORD-00618</t>
  </si>
  <si>
    <t>ORD-00619</t>
  </si>
  <si>
    <t>ORD-00620</t>
  </si>
  <si>
    <t>ORD-00621</t>
  </si>
  <si>
    <t>ORD-00622</t>
  </si>
  <si>
    <t>ORD-00623</t>
  </si>
  <si>
    <t>ORD-00624</t>
  </si>
  <si>
    <t>ORD-00625</t>
  </si>
  <si>
    <t>ORD-00626</t>
  </si>
  <si>
    <t>ORD-00627</t>
  </si>
  <si>
    <t>ORD-00628</t>
  </si>
  <si>
    <t>ORD-00629</t>
  </si>
  <si>
    <t>ORD-00630</t>
  </si>
  <si>
    <t>ORD-00631</t>
  </si>
  <si>
    <t>ORD-00632</t>
  </si>
  <si>
    <t>ORD-00633</t>
  </si>
  <si>
    <t>ORD-00634</t>
  </si>
  <si>
    <t>ORD-00635</t>
  </si>
  <si>
    <t>ORD-00636</t>
  </si>
  <si>
    <t>ORD-00637</t>
  </si>
  <si>
    <t>ORD-00638</t>
  </si>
  <si>
    <t>ORD-00639</t>
  </si>
  <si>
    <t>ORD-00640</t>
  </si>
  <si>
    <t>ORD-00641</t>
  </si>
  <si>
    <t>ORD-00642</t>
  </si>
  <si>
    <t>ORD-00643</t>
  </si>
  <si>
    <t>ORD-00644</t>
  </si>
  <si>
    <t>ORD-00645</t>
  </si>
  <si>
    <t>ORD-00646</t>
  </si>
  <si>
    <t>ORD-00647</t>
  </si>
  <si>
    <t>ORD-00648</t>
  </si>
  <si>
    <t>ORD-00649</t>
  </si>
  <si>
    <t>ORD-00650</t>
  </si>
  <si>
    <t>ORD-00651</t>
  </si>
  <si>
    <t>ORD-00652</t>
  </si>
  <si>
    <t>ORD-00653</t>
  </si>
  <si>
    <t>ORD-00654</t>
  </si>
  <si>
    <t>ORD-00655</t>
  </si>
  <si>
    <t>ORD-00656</t>
  </si>
  <si>
    <t>ORD-00657</t>
  </si>
  <si>
    <t>ORD-00658</t>
  </si>
  <si>
    <t>ORD-00659</t>
  </si>
  <si>
    <t>ORD-00660</t>
  </si>
  <si>
    <t>ORD-00661</t>
  </si>
  <si>
    <t>ORD-00662</t>
  </si>
  <si>
    <t>ORD-00663</t>
  </si>
  <si>
    <t>ORD-00664</t>
  </si>
  <si>
    <t>ORD-00665</t>
  </si>
  <si>
    <t>ORD-00666</t>
  </si>
  <si>
    <t>ORD-00667</t>
  </si>
  <si>
    <t>ORD-00668</t>
  </si>
  <si>
    <t>ORD-00669</t>
  </si>
  <si>
    <t>ORD-00670</t>
  </si>
  <si>
    <t>ORD-00671</t>
  </si>
  <si>
    <t>ORD-00672</t>
  </si>
  <si>
    <t>ORD-00673</t>
  </si>
  <si>
    <t>ORD-00674</t>
  </si>
  <si>
    <t>ORD-00675</t>
  </si>
  <si>
    <t>ORD-00676</t>
  </si>
  <si>
    <t>ORD-00677</t>
  </si>
  <si>
    <t>ORD-00678</t>
  </si>
  <si>
    <t>ORD-00679</t>
  </si>
  <si>
    <t>ORD-00680</t>
  </si>
  <si>
    <t>ORD-00681</t>
  </si>
  <si>
    <t>ORD-00682</t>
  </si>
  <si>
    <t>ORD-00683</t>
  </si>
  <si>
    <t>ORD-00684</t>
  </si>
  <si>
    <t>ORD-00685</t>
  </si>
  <si>
    <t>ORD-00686</t>
  </si>
  <si>
    <t>ORD-00687</t>
  </si>
  <si>
    <t>ORD-00688</t>
  </si>
  <si>
    <t>ORD-00689</t>
  </si>
  <si>
    <t>ORD-00690</t>
  </si>
  <si>
    <t>ORD-00691</t>
  </si>
  <si>
    <t>ORD-00692</t>
  </si>
  <si>
    <t>ORD-00693</t>
  </si>
  <si>
    <t>ORD-00694</t>
  </si>
  <si>
    <t>ORD-00695</t>
  </si>
  <si>
    <t>ORD-00696</t>
  </si>
  <si>
    <t>ORD-00697</t>
  </si>
  <si>
    <t>ORD-00698</t>
  </si>
  <si>
    <t>ORD-00699</t>
  </si>
  <si>
    <t>ORD-00700</t>
  </si>
  <si>
    <t>ORD-00701</t>
  </si>
  <si>
    <t>ORD-00702</t>
  </si>
  <si>
    <t>ORD-00703</t>
  </si>
  <si>
    <t>ORD-00704</t>
  </si>
  <si>
    <t>ORD-00705</t>
  </si>
  <si>
    <t>ORD-00706</t>
  </si>
  <si>
    <t>ORD-00707</t>
  </si>
  <si>
    <t>ORD-00708</t>
  </si>
  <si>
    <t>ORD-00709</t>
  </si>
  <si>
    <t>ORD-00710</t>
  </si>
  <si>
    <t>ORD-00711</t>
  </si>
  <si>
    <t>ORD-00712</t>
  </si>
  <si>
    <t>ORD-00713</t>
  </si>
  <si>
    <t>ORD-00714</t>
  </si>
  <si>
    <t>ORD-00715</t>
  </si>
  <si>
    <t>ORD-00716</t>
  </si>
  <si>
    <t>ORD-00717</t>
  </si>
  <si>
    <t>ORD-00718</t>
  </si>
  <si>
    <t>ORD-00719</t>
  </si>
  <si>
    <t>ORD-00720</t>
  </si>
  <si>
    <t>ORD-00721</t>
  </si>
  <si>
    <t>ORD-00722</t>
  </si>
  <si>
    <t>ORD-00723</t>
  </si>
  <si>
    <t>ORD-00724</t>
  </si>
  <si>
    <t>ORD-00725</t>
  </si>
  <si>
    <t>ORD-00726</t>
  </si>
  <si>
    <t>ORD-00727</t>
  </si>
  <si>
    <t>ORD-00728</t>
  </si>
  <si>
    <t>ORD-00729</t>
  </si>
  <si>
    <t>ORD-00730</t>
  </si>
  <si>
    <t>ORD-00731</t>
  </si>
  <si>
    <t>ORD-00732</t>
  </si>
  <si>
    <t>ORD-00733</t>
  </si>
  <si>
    <t>ORD-00734</t>
  </si>
  <si>
    <t>ORD-00735</t>
  </si>
  <si>
    <t>ORD-00736</t>
  </si>
  <si>
    <t>ORD-00737</t>
  </si>
  <si>
    <t>ORD-00738</t>
  </si>
  <si>
    <t>ORD-00739</t>
  </si>
  <si>
    <t>ORD-00740</t>
  </si>
  <si>
    <t>ORD-00741</t>
  </si>
  <si>
    <t>ORD-00742</t>
  </si>
  <si>
    <t>ORD-00743</t>
  </si>
  <si>
    <t>ORD-00744</t>
  </si>
  <si>
    <t>ORD-00745</t>
  </si>
  <si>
    <t>ORD-00746</t>
  </si>
  <si>
    <t>ORD-00747</t>
  </si>
  <si>
    <t>ORD-00748</t>
  </si>
  <si>
    <t>ORD-00749</t>
  </si>
  <si>
    <t>ORD-00750</t>
  </si>
  <si>
    <t>ORD-00751</t>
  </si>
  <si>
    <t>ORD-00752</t>
  </si>
  <si>
    <t>ORD-00753</t>
  </si>
  <si>
    <t>ORD-00754</t>
  </si>
  <si>
    <t>ORD-00755</t>
  </si>
  <si>
    <t>ORD-00756</t>
  </si>
  <si>
    <t>ORD-00757</t>
  </si>
  <si>
    <t>ORD-00758</t>
  </si>
  <si>
    <t>ORD-00759</t>
  </si>
  <si>
    <t>ORD-00760</t>
  </si>
  <si>
    <t>ORD-00761</t>
  </si>
  <si>
    <t>ORD-00762</t>
  </si>
  <si>
    <t>ORD-00763</t>
  </si>
  <si>
    <t>ORD-00764</t>
  </si>
  <si>
    <t>ORD-00765</t>
  </si>
  <si>
    <t>ORD-00766</t>
  </si>
  <si>
    <t>ORD-00767</t>
  </si>
  <si>
    <t>ORD-00768</t>
  </si>
  <si>
    <t>ORD-00769</t>
  </si>
  <si>
    <t>ORD-00770</t>
  </si>
  <si>
    <t>ORD-00771</t>
  </si>
  <si>
    <t>ORD-00772</t>
  </si>
  <si>
    <t>ORD-00773</t>
  </si>
  <si>
    <t>ORD-00774</t>
  </si>
  <si>
    <t>ORD-00775</t>
  </si>
  <si>
    <t>ORD-00776</t>
  </si>
  <si>
    <t>ORD-00777</t>
  </si>
  <si>
    <t>ORD-00778</t>
  </si>
  <si>
    <t>ORD-00779</t>
  </si>
  <si>
    <t>ORD-00780</t>
  </si>
  <si>
    <t>ORD-00781</t>
  </si>
  <si>
    <t>ORD-00782</t>
  </si>
  <si>
    <t>ORD-00783</t>
  </si>
  <si>
    <t>ORD-00784</t>
  </si>
  <si>
    <t>ORD-00785</t>
  </si>
  <si>
    <t>ORD-00786</t>
  </si>
  <si>
    <t>ORD-00787</t>
  </si>
  <si>
    <t>ORD-00788</t>
  </si>
  <si>
    <t>ORD-00789</t>
  </si>
  <si>
    <t>ORD-00790</t>
  </si>
  <si>
    <t>ORD-00791</t>
  </si>
  <si>
    <t>ORD-00792</t>
  </si>
  <si>
    <t>ORD-00793</t>
  </si>
  <si>
    <t>ORD-00794</t>
  </si>
  <si>
    <t>ORD-00795</t>
  </si>
  <si>
    <t>ORD-00796</t>
  </si>
  <si>
    <t>ORD-00797</t>
  </si>
  <si>
    <t>ORD-00798</t>
  </si>
  <si>
    <t>ORD-00799</t>
  </si>
  <si>
    <t>ORD-00800</t>
  </si>
  <si>
    <t>ORD-00801</t>
  </si>
  <si>
    <t>ORD-00802</t>
  </si>
  <si>
    <t>ORD-00803</t>
  </si>
  <si>
    <t>ORD-00804</t>
  </si>
  <si>
    <t>ORD-00805</t>
  </si>
  <si>
    <t>ORD-00806</t>
  </si>
  <si>
    <t>ORD-00807</t>
  </si>
  <si>
    <t>ORD-00808</t>
  </si>
  <si>
    <t>ORD-00809</t>
  </si>
  <si>
    <t>ORD-00810</t>
  </si>
  <si>
    <t>ORD-00811</t>
  </si>
  <si>
    <t>ORD-00812</t>
  </si>
  <si>
    <t>ORD-00813</t>
  </si>
  <si>
    <t>ORD-00814</t>
  </si>
  <si>
    <t>ORD-00815</t>
  </si>
  <si>
    <t>ORD-00816</t>
  </si>
  <si>
    <t>ORD-00817</t>
  </si>
  <si>
    <t>ORD-00818</t>
  </si>
  <si>
    <t>ORD-00819</t>
  </si>
  <si>
    <t>ORD-00820</t>
  </si>
  <si>
    <t>ORD-00821</t>
  </si>
  <si>
    <t>ORD-00822</t>
  </si>
  <si>
    <t>ORD-00823</t>
  </si>
  <si>
    <t>ORD-00824</t>
  </si>
  <si>
    <t>ORD-00825</t>
  </si>
  <si>
    <t>ORD-00826</t>
  </si>
  <si>
    <t>ORD-00827</t>
  </si>
  <si>
    <t>ORD-00828</t>
  </si>
  <si>
    <t>ORD-00829</t>
  </si>
  <si>
    <t>ORD-00830</t>
  </si>
  <si>
    <t>ORD-00831</t>
  </si>
  <si>
    <t>ORD-00832</t>
  </si>
  <si>
    <t>ORD-00833</t>
  </si>
  <si>
    <t>ORD-00834</t>
  </si>
  <si>
    <t>ORD-00835</t>
  </si>
  <si>
    <t>ORD-00836</t>
  </si>
  <si>
    <t>ORD-00837</t>
  </si>
  <si>
    <t>ORD-00838</t>
  </si>
  <si>
    <t>ORD-00839</t>
  </si>
  <si>
    <t>ORD-00840</t>
  </si>
  <si>
    <t>ORD-00841</t>
  </si>
  <si>
    <t>ORD-00842</t>
  </si>
  <si>
    <t>ORD-00843</t>
  </si>
  <si>
    <t>ORD-00844</t>
  </si>
  <si>
    <t>ORD-00845</t>
  </si>
  <si>
    <t>ORD-00846</t>
  </si>
  <si>
    <t>ORD-00847</t>
  </si>
  <si>
    <t>ORD-00848</t>
  </si>
  <si>
    <t>ORD-00849</t>
  </si>
  <si>
    <t>ORD-00850</t>
  </si>
  <si>
    <t>ORD-00851</t>
  </si>
  <si>
    <t>ORD-00852</t>
  </si>
  <si>
    <t>ORD-00853</t>
  </si>
  <si>
    <t>ORD-00854</t>
  </si>
  <si>
    <t>ORD-00855</t>
  </si>
  <si>
    <t>ORD-00856</t>
  </si>
  <si>
    <t>ORD-00857</t>
  </si>
  <si>
    <t>ORD-00858</t>
  </si>
  <si>
    <t>ORD-00859</t>
  </si>
  <si>
    <t>ORD-00860</t>
  </si>
  <si>
    <t>ORD-00861</t>
  </si>
  <si>
    <t>ORD-00862</t>
  </si>
  <si>
    <t>ORD-00863</t>
  </si>
  <si>
    <t>ORD-00864</t>
  </si>
  <si>
    <t>ORD-00865</t>
  </si>
  <si>
    <t>ORD-00866</t>
  </si>
  <si>
    <t>ORD-00867</t>
  </si>
  <si>
    <t>ORD-00868</t>
  </si>
  <si>
    <t>ORD-00869</t>
  </si>
  <si>
    <t>ORD-00870</t>
  </si>
  <si>
    <t>ORD-00871</t>
  </si>
  <si>
    <t>ORD-00872</t>
  </si>
  <si>
    <t>ORD-00873</t>
  </si>
  <si>
    <t>ORD-00874</t>
  </si>
  <si>
    <t>ORD-00875</t>
  </si>
  <si>
    <t>ORD-00876</t>
  </si>
  <si>
    <t>ORD-00877</t>
  </si>
  <si>
    <t>ORD-00878</t>
  </si>
  <si>
    <t>ORD-00879</t>
  </si>
  <si>
    <t>ORD-00880</t>
  </si>
  <si>
    <t>ORD-00881</t>
  </si>
  <si>
    <t>ORD-00882</t>
  </si>
  <si>
    <t>ORD-00883</t>
  </si>
  <si>
    <t>ORD-00884</t>
  </si>
  <si>
    <t>ORD-00885</t>
  </si>
  <si>
    <t>ORD-00886</t>
  </si>
  <si>
    <t>ORD-00887</t>
  </si>
  <si>
    <t>ORD-00888</t>
  </si>
  <si>
    <t>ORD-00889</t>
  </si>
  <si>
    <t>ORD-00890</t>
  </si>
  <si>
    <t>ORD-00891</t>
  </si>
  <si>
    <t>ORD-00892</t>
  </si>
  <si>
    <t>ORD-00893</t>
  </si>
  <si>
    <t>ORD-00894</t>
  </si>
  <si>
    <t>ORD-00895</t>
  </si>
  <si>
    <t>ORD-00896</t>
  </si>
  <si>
    <t>ORD-00897</t>
  </si>
  <si>
    <t>ORD-00898</t>
  </si>
  <si>
    <t>ORD-00899</t>
  </si>
  <si>
    <t>ORD-00900</t>
  </si>
  <si>
    <t>ORD-00901</t>
  </si>
  <si>
    <t>ORD-00902</t>
  </si>
  <si>
    <t>ORD-00903</t>
  </si>
  <si>
    <t>ORD-00904</t>
  </si>
  <si>
    <t>ORD-00905</t>
  </si>
  <si>
    <t>ORD-00906</t>
  </si>
  <si>
    <t>ORD-00907</t>
  </si>
  <si>
    <t>ORD-00908</t>
  </si>
  <si>
    <t>ORD-00909</t>
  </si>
  <si>
    <t>ORD-00910</t>
  </si>
  <si>
    <t>ORD-00911</t>
  </si>
  <si>
    <t>ORD-00912</t>
  </si>
  <si>
    <t>ORD-00913</t>
  </si>
  <si>
    <t>ORD-00914</t>
  </si>
  <si>
    <t>ORD-00915</t>
  </si>
  <si>
    <t>ORD-00916</t>
  </si>
  <si>
    <t>ORD-00917</t>
  </si>
  <si>
    <t>ORD-00918</t>
  </si>
  <si>
    <t>ORD-00919</t>
  </si>
  <si>
    <t>ORD-00920</t>
  </si>
  <si>
    <t>ORD-00921</t>
  </si>
  <si>
    <t>ORD-00922</t>
  </si>
  <si>
    <t>ORD-00923</t>
  </si>
  <si>
    <t>ORD-00924</t>
  </si>
  <si>
    <t>ORD-00925</t>
  </si>
  <si>
    <t>ORD-00926</t>
  </si>
  <si>
    <t>ORD-00927</t>
  </si>
  <si>
    <t>ORD-00928</t>
  </si>
  <si>
    <t>ORD-00929</t>
  </si>
  <si>
    <t>ORD-00930</t>
  </si>
  <si>
    <t>ORD-00931</t>
  </si>
  <si>
    <t>ORD-00932</t>
  </si>
  <si>
    <t>ORD-00933</t>
  </si>
  <si>
    <t>ORD-00934</t>
  </si>
  <si>
    <t>ORD-00935</t>
  </si>
  <si>
    <t>ORD-00936</t>
  </si>
  <si>
    <t>ORD-00937</t>
  </si>
  <si>
    <t>ORD-00938</t>
  </si>
  <si>
    <t>ORD-00939</t>
  </si>
  <si>
    <t>ORD-00940</t>
  </si>
  <si>
    <t>ORD-00941</t>
  </si>
  <si>
    <t>ORD-00942</t>
  </si>
  <si>
    <t>ORD-00943</t>
  </si>
  <si>
    <t>ORD-00944</t>
  </si>
  <si>
    <t>ORD-00945</t>
  </si>
  <si>
    <t>ORD-00946</t>
  </si>
  <si>
    <t>ORD-00947</t>
  </si>
  <si>
    <t>ORD-00948</t>
  </si>
  <si>
    <t>ORD-00949</t>
  </si>
  <si>
    <t>ORD-00950</t>
  </si>
  <si>
    <t>ORD-00951</t>
  </si>
  <si>
    <t>ORD-00952</t>
  </si>
  <si>
    <t>ORD-00953</t>
  </si>
  <si>
    <t>ORD-00954</t>
  </si>
  <si>
    <t>ORD-00955</t>
  </si>
  <si>
    <t>ORD-00956</t>
  </si>
  <si>
    <t>ORD-00957</t>
  </si>
  <si>
    <t>ORD-00958</t>
  </si>
  <si>
    <t>ORD-00959</t>
  </si>
  <si>
    <t>ORD-00960</t>
  </si>
  <si>
    <t>ORD-00961</t>
  </si>
  <si>
    <t>ORD-00962</t>
  </si>
  <si>
    <t>ORD-00963</t>
  </si>
  <si>
    <t>ORD-00964</t>
  </si>
  <si>
    <t>ORD-00965</t>
  </si>
  <si>
    <t>ORD-00966</t>
  </si>
  <si>
    <t>ORD-00967</t>
  </si>
  <si>
    <t>ORD-00968</t>
  </si>
  <si>
    <t>ORD-00969</t>
  </si>
  <si>
    <t>ORD-00970</t>
  </si>
  <si>
    <t>ORD-00971</t>
  </si>
  <si>
    <t>ORD-00972</t>
  </si>
  <si>
    <t>ORD-00973</t>
  </si>
  <si>
    <t>ORD-00974</t>
  </si>
  <si>
    <t>ORD-00975</t>
  </si>
  <si>
    <t>ORD-00976</t>
  </si>
  <si>
    <t>ORD-00977</t>
  </si>
  <si>
    <t>ORD-00978</t>
  </si>
  <si>
    <t>ORD-00979</t>
  </si>
  <si>
    <t>ORD-00980</t>
  </si>
  <si>
    <t>ORD-00981</t>
  </si>
  <si>
    <t>ORD-00982</t>
  </si>
  <si>
    <t>ORD-00983</t>
  </si>
  <si>
    <t>ORD-00984</t>
  </si>
  <si>
    <t>ORD-00985</t>
  </si>
  <si>
    <t>ORD-00986</t>
  </si>
  <si>
    <t>ORD-00987</t>
  </si>
  <si>
    <t>ORD-00988</t>
  </si>
  <si>
    <t>ORD-00989</t>
  </si>
  <si>
    <t>ORD-00990</t>
  </si>
  <si>
    <t>ORD-00991</t>
  </si>
  <si>
    <t>ORD-00992</t>
  </si>
  <si>
    <t>ORD-00993</t>
  </si>
  <si>
    <t>ORD-00994</t>
  </si>
  <si>
    <t>ORD-00995</t>
  </si>
  <si>
    <t>ORD-00996</t>
  </si>
  <si>
    <t>ORD-00997</t>
  </si>
  <si>
    <t>ORD-00998</t>
  </si>
  <si>
    <t>ORD-00999</t>
  </si>
  <si>
    <t>ORD-01000</t>
  </si>
  <si>
    <t>ORD-01001</t>
  </si>
  <si>
    <t>ORD-01002</t>
  </si>
  <si>
    <t>ORD-01003</t>
  </si>
  <si>
    <t>ORD-01004</t>
  </si>
  <si>
    <t>ORD-01005</t>
  </si>
  <si>
    <t>ORD-01006</t>
  </si>
  <si>
    <t>ORD-01007</t>
  </si>
  <si>
    <t>ORD-01008</t>
  </si>
  <si>
    <t>ORD-01009</t>
  </si>
  <si>
    <t>ORD-01010</t>
  </si>
  <si>
    <t>ORD-01011</t>
  </si>
  <si>
    <t>ORD-01012</t>
  </si>
  <si>
    <t>ORD-01013</t>
  </si>
  <si>
    <t>ORD-01014</t>
  </si>
  <si>
    <t>ORD-01015</t>
  </si>
  <si>
    <t>ORD-01016</t>
  </si>
  <si>
    <t>ORD-01017</t>
  </si>
  <si>
    <t>ORD-01018</t>
  </si>
  <si>
    <t>ORD-01019</t>
  </si>
  <si>
    <t>ORD-01020</t>
  </si>
  <si>
    <t>ORD-01021</t>
  </si>
  <si>
    <t>ORD-01022</t>
  </si>
  <si>
    <t>ORD-01023</t>
  </si>
  <si>
    <t>ORD-01024</t>
  </si>
  <si>
    <t>ORD-01025</t>
  </si>
  <si>
    <t>ORD-01026</t>
  </si>
  <si>
    <t>ORD-01027</t>
  </si>
  <si>
    <t>ORD-01028</t>
  </si>
  <si>
    <t>ORD-01029</t>
  </si>
  <si>
    <t>ORD-01030</t>
  </si>
  <si>
    <t>ORD-01031</t>
  </si>
  <si>
    <t>ORD-01032</t>
  </si>
  <si>
    <t>ORD-01033</t>
  </si>
  <si>
    <t>ORD-01034</t>
  </si>
  <si>
    <t>ORD-01035</t>
  </si>
  <si>
    <t>ORD-01036</t>
  </si>
  <si>
    <t>ORD-01037</t>
  </si>
  <si>
    <t>ORD-01038</t>
  </si>
  <si>
    <t>ORD-01039</t>
  </si>
  <si>
    <t>ORD-01040</t>
  </si>
  <si>
    <t>ORD-01041</t>
  </si>
  <si>
    <t>ORD-01042</t>
  </si>
  <si>
    <t>ORD-01043</t>
  </si>
  <si>
    <t>ORD-01044</t>
  </si>
  <si>
    <t>ORD-01045</t>
  </si>
  <si>
    <t>ORD-01046</t>
  </si>
  <si>
    <t>ORD-01047</t>
  </si>
  <si>
    <t>ORD-01048</t>
  </si>
  <si>
    <t>ORD-01049</t>
  </si>
  <si>
    <t>ORD-01050</t>
  </si>
  <si>
    <t>ORD-01051</t>
  </si>
  <si>
    <t>ORD-01052</t>
  </si>
  <si>
    <t>ORD-01053</t>
  </si>
  <si>
    <t>ORD-01054</t>
  </si>
  <si>
    <t>ORD-01055</t>
  </si>
  <si>
    <t>ORD-01056</t>
  </si>
  <si>
    <t>ORD-01057</t>
  </si>
  <si>
    <t>ORD-01058</t>
  </si>
  <si>
    <t>ORD-01059</t>
  </si>
  <si>
    <t>ORD-01060</t>
  </si>
  <si>
    <t>ORD-01061</t>
  </si>
  <si>
    <t>ORD-01062</t>
  </si>
  <si>
    <t>ORD-01063</t>
  </si>
  <si>
    <t>ORD-01064</t>
  </si>
  <si>
    <t>ORD-01065</t>
  </si>
  <si>
    <t>ORD-01066</t>
  </si>
  <si>
    <t>ORD-01067</t>
  </si>
  <si>
    <t>ORD-01068</t>
  </si>
  <si>
    <t>ORD-01069</t>
  </si>
  <si>
    <t>ORD-01070</t>
  </si>
  <si>
    <t>ORD-01071</t>
  </si>
  <si>
    <t>ORD-01072</t>
  </si>
  <si>
    <t>ORD-01073</t>
  </si>
  <si>
    <t>ORD-01074</t>
  </si>
  <si>
    <t>ORD-01075</t>
  </si>
  <si>
    <t>ORD-01076</t>
  </si>
  <si>
    <t>ORD-01077</t>
  </si>
  <si>
    <t>ORD-01078</t>
  </si>
  <si>
    <t>ORD-01079</t>
  </si>
  <si>
    <t>ORD-01080</t>
  </si>
  <si>
    <t>ORD-01081</t>
  </si>
  <si>
    <t>ORD-01082</t>
  </si>
  <si>
    <t>ORD-01083</t>
  </si>
  <si>
    <t>ORD-01084</t>
  </si>
  <si>
    <t>ORD-01085</t>
  </si>
  <si>
    <t>ORD-01086</t>
  </si>
  <si>
    <t>ORD-01087</t>
  </si>
  <si>
    <t>ORD-01088</t>
  </si>
  <si>
    <t>ORD-01089</t>
  </si>
  <si>
    <t>ORD-01090</t>
  </si>
  <si>
    <t>ORD-01091</t>
  </si>
  <si>
    <t>ORD-01092</t>
  </si>
  <si>
    <t>ORD-01093</t>
  </si>
  <si>
    <t>ORD-01094</t>
  </si>
  <si>
    <t>ORD-01095</t>
  </si>
  <si>
    <t>ORD-01096</t>
  </si>
  <si>
    <t>ORD-01097</t>
  </si>
  <si>
    <t>ORD-01098</t>
  </si>
  <si>
    <t>ORD-01099</t>
  </si>
  <si>
    <t>ORD-01100</t>
  </si>
  <si>
    <t>ORD-01101</t>
  </si>
  <si>
    <t>ORD-01102</t>
  </si>
  <si>
    <t>ORD-01103</t>
  </si>
  <si>
    <t>ORD-01104</t>
  </si>
  <si>
    <t>ORD-01105</t>
  </si>
  <si>
    <t>ORD-01106</t>
  </si>
  <si>
    <t>ORD-01107</t>
  </si>
  <si>
    <t>ORD-01108</t>
  </si>
  <si>
    <t>ORD-01109</t>
  </si>
  <si>
    <t>ORD-01110</t>
  </si>
  <si>
    <t>ORD-01111</t>
  </si>
  <si>
    <t>ORD-01112</t>
  </si>
  <si>
    <t>ORD-01113</t>
  </si>
  <si>
    <t>ORD-01114</t>
  </si>
  <si>
    <t>ORD-01115</t>
  </si>
  <si>
    <t>ORD-01116</t>
  </si>
  <si>
    <t>ORD-01117</t>
  </si>
  <si>
    <t>ORD-01118</t>
  </si>
  <si>
    <t>ORD-01119</t>
  </si>
  <si>
    <t>ORD-01120</t>
  </si>
  <si>
    <t>ORD-01121</t>
  </si>
  <si>
    <t>ORD-01122</t>
  </si>
  <si>
    <t>ORD-01123</t>
  </si>
  <si>
    <t>ORD-01124</t>
  </si>
  <si>
    <t>ORD-01125</t>
  </si>
  <si>
    <t>ORD-01126</t>
  </si>
  <si>
    <t>ORD-01127</t>
  </si>
  <si>
    <t>ORD-01128</t>
  </si>
  <si>
    <t>ORD-01129</t>
  </si>
  <si>
    <t>ORD-01130</t>
  </si>
  <si>
    <t>ORD-01131</t>
  </si>
  <si>
    <t>ORD-01132</t>
  </si>
  <si>
    <t>ORD-01133</t>
  </si>
  <si>
    <t>ORD-01134</t>
  </si>
  <si>
    <t>ORD-01135</t>
  </si>
  <si>
    <t>ORD-01136</t>
  </si>
  <si>
    <t>ORD-01137</t>
  </si>
  <si>
    <t>ORD-01138</t>
  </si>
  <si>
    <t>ORD-01139</t>
  </si>
  <si>
    <t>ORD-01140</t>
  </si>
  <si>
    <t>ORD-01141</t>
  </si>
  <si>
    <t>ORD-01142</t>
  </si>
  <si>
    <t>ORD-01143</t>
  </si>
  <si>
    <t>ORD-01144</t>
  </si>
  <si>
    <t>ORD-01145</t>
  </si>
  <si>
    <t>ORD-01146</t>
  </si>
  <si>
    <t>ORD-01147</t>
  </si>
  <si>
    <t>ORD-01148</t>
  </si>
  <si>
    <t>ORD-01149</t>
  </si>
  <si>
    <t>ORD-01150</t>
  </si>
  <si>
    <t>ORD-01151</t>
  </si>
  <si>
    <t>ORD-01152</t>
  </si>
  <si>
    <t>ORD-01153</t>
  </si>
  <si>
    <t>ORD-01154</t>
  </si>
  <si>
    <t>ORD-01155</t>
  </si>
  <si>
    <t>ORD-01156</t>
  </si>
  <si>
    <t>ORD-01157</t>
  </si>
  <si>
    <t>ORD-01158</t>
  </si>
  <si>
    <t>ORD-01159</t>
  </si>
  <si>
    <t>ORD-01160</t>
  </si>
  <si>
    <t>ORD-01161</t>
  </si>
  <si>
    <t>ORD-01162</t>
  </si>
  <si>
    <t>ORD-01163</t>
  </si>
  <si>
    <t>ORD-01164</t>
  </si>
  <si>
    <t>ORD-01165</t>
  </si>
  <si>
    <t>ORD-01166</t>
  </si>
  <si>
    <t>ORD-01167</t>
  </si>
  <si>
    <t>ORD-01168</t>
  </si>
  <si>
    <t>ORD-01169</t>
  </si>
  <si>
    <t>ORD-01170</t>
  </si>
  <si>
    <t>ORD-01171</t>
  </si>
  <si>
    <t>ORD-01172</t>
  </si>
  <si>
    <t>ORD-01173</t>
  </si>
  <si>
    <t>ORD-01174</t>
  </si>
  <si>
    <t>ORD-01175</t>
  </si>
  <si>
    <t>ORD-01176</t>
  </si>
  <si>
    <t>ORD-01177</t>
  </si>
  <si>
    <t>ORD-01178</t>
  </si>
  <si>
    <t>ORD-01179</t>
  </si>
  <si>
    <t>ORD-01180</t>
  </si>
  <si>
    <t>ORD-01181</t>
  </si>
  <si>
    <t>ORD-01182</t>
  </si>
  <si>
    <t>ORD-01183</t>
  </si>
  <si>
    <t>ORD-01184</t>
  </si>
  <si>
    <t>ORD-01185</t>
  </si>
  <si>
    <t>ORD-01186</t>
  </si>
  <si>
    <t>ORD-01187</t>
  </si>
  <si>
    <t>ORD-01188</t>
  </si>
  <si>
    <t>ORD-01189</t>
  </si>
  <si>
    <t>ORD-01190</t>
  </si>
  <si>
    <t>ORD-01191</t>
  </si>
  <si>
    <t>ORD-01192</t>
  </si>
  <si>
    <t>ORD-01193</t>
  </si>
  <si>
    <t>ORD-01194</t>
  </si>
  <si>
    <t>ORD-01195</t>
  </si>
  <si>
    <t>ORD-01196</t>
  </si>
  <si>
    <t>ORD-01197</t>
  </si>
  <si>
    <t>ORD-01198</t>
  </si>
  <si>
    <t>ORD-01199</t>
  </si>
  <si>
    <t>ORD-01200</t>
  </si>
  <si>
    <t>ORD-01201</t>
  </si>
  <si>
    <t>ORD-01202</t>
  </si>
  <si>
    <t>ORD-01203</t>
  </si>
  <si>
    <t>ORD-01204</t>
  </si>
  <si>
    <t>ORD-01205</t>
  </si>
  <si>
    <t>ORD-01206</t>
  </si>
  <si>
    <t>ORD-01207</t>
  </si>
  <si>
    <t>ORD-01208</t>
  </si>
  <si>
    <t>ORD-01209</t>
  </si>
  <si>
    <t>ORD-01210</t>
  </si>
  <si>
    <t>ORD-01211</t>
  </si>
  <si>
    <t>ORD-01212</t>
  </si>
  <si>
    <t>ORD-01213</t>
  </si>
  <si>
    <t>ORD-01214</t>
  </si>
  <si>
    <t>ORD-01215</t>
  </si>
  <si>
    <t>ORD-01216</t>
  </si>
  <si>
    <t>ORD-01217</t>
  </si>
  <si>
    <t>ORD-01218</t>
  </si>
  <si>
    <t>ORD-01219</t>
  </si>
  <si>
    <t>ORD-01220</t>
  </si>
  <si>
    <t>ORD-01221</t>
  </si>
  <si>
    <t>ORD-01222</t>
  </si>
  <si>
    <t>ORD-01223</t>
  </si>
  <si>
    <t>ORD-01224</t>
  </si>
  <si>
    <t>ORD-01225</t>
  </si>
  <si>
    <t>ORD-01226</t>
  </si>
  <si>
    <t>ORD-01227</t>
  </si>
  <si>
    <t>ORD-01228</t>
  </si>
  <si>
    <t>ORD-01229</t>
  </si>
  <si>
    <t>ORD-01230</t>
  </si>
  <si>
    <t>ORD-01231</t>
  </si>
  <si>
    <t>ORD-01232</t>
  </si>
  <si>
    <t>ORD-01233</t>
  </si>
  <si>
    <t>ORD-01234</t>
  </si>
  <si>
    <t>ORD-01235</t>
  </si>
  <si>
    <t>ORD-01236</t>
  </si>
  <si>
    <t>ORD-01237</t>
  </si>
  <si>
    <t>ORD-01238</t>
  </si>
  <si>
    <t>ORD-01239</t>
  </si>
  <si>
    <t>ORD-01240</t>
  </si>
  <si>
    <t>ORD-01241</t>
  </si>
  <si>
    <t>ORD-01242</t>
  </si>
  <si>
    <t>ORD-01243</t>
  </si>
  <si>
    <t>ORD-01244</t>
  </si>
  <si>
    <t>ORD-01245</t>
  </si>
  <si>
    <t>ORD-01246</t>
  </si>
  <si>
    <t>ORD-01247</t>
  </si>
  <si>
    <t>ORD-01248</t>
  </si>
  <si>
    <t>ORD-01249</t>
  </si>
  <si>
    <t>ORD-01250</t>
  </si>
  <si>
    <t>ORD-01251</t>
  </si>
  <si>
    <t>ORD-01252</t>
  </si>
  <si>
    <t>ORD-01253</t>
  </si>
  <si>
    <t>ORD-01254</t>
  </si>
  <si>
    <t>ORD-01255</t>
  </si>
  <si>
    <t>ORD-01256</t>
  </si>
  <si>
    <t>ORD-01257</t>
  </si>
  <si>
    <t>ORD-01258</t>
  </si>
  <si>
    <t>ORD-01259</t>
  </si>
  <si>
    <t>ORD-01260</t>
  </si>
  <si>
    <t>ORD-01261</t>
  </si>
  <si>
    <t>ORD-01262</t>
  </si>
  <si>
    <t>ORD-01263</t>
  </si>
  <si>
    <t>ORD-01264</t>
  </si>
  <si>
    <t>ORD-01265</t>
  </si>
  <si>
    <t>ORD-01266</t>
  </si>
  <si>
    <t>ORD-01267</t>
  </si>
  <si>
    <t>ORD-01268</t>
  </si>
  <si>
    <t>ORD-01269</t>
  </si>
  <si>
    <t>ORD-01270</t>
  </si>
  <si>
    <t>ORD-01271</t>
  </si>
  <si>
    <t>ORD-01272</t>
  </si>
  <si>
    <t>ORD-01273</t>
  </si>
  <si>
    <t>ORD-01274</t>
  </si>
  <si>
    <t>ORD-01275</t>
  </si>
  <si>
    <t>ORD-01276</t>
  </si>
  <si>
    <t>ORD-01277</t>
  </si>
  <si>
    <t>ORD-01278</t>
  </si>
  <si>
    <t>ORD-01279</t>
  </si>
  <si>
    <t>ORD-01280</t>
  </si>
  <si>
    <t>ORD-01281</t>
  </si>
  <si>
    <t>ORD-01282</t>
  </si>
  <si>
    <t>ORD-01283</t>
  </si>
  <si>
    <t>ORD-01284</t>
  </si>
  <si>
    <t>ORD-01285</t>
  </si>
  <si>
    <t>ORD-01286</t>
  </si>
  <si>
    <t>ORD-01287</t>
  </si>
  <si>
    <t>ORD-01288</t>
  </si>
  <si>
    <t>ORD-01289</t>
  </si>
  <si>
    <t>ORD-01290</t>
  </si>
  <si>
    <t>ORD-01291</t>
  </si>
  <si>
    <t>ORD-01292</t>
  </si>
  <si>
    <t>ORD-01293</t>
  </si>
  <si>
    <t>ORD-01294</t>
  </si>
  <si>
    <t>ORD-01295</t>
  </si>
  <si>
    <t>ORD-01296</t>
  </si>
  <si>
    <t>ORD-01297</t>
  </si>
  <si>
    <t>ORD-01298</t>
  </si>
  <si>
    <t>ORD-01299</t>
  </si>
  <si>
    <t>ORD-01300</t>
  </si>
  <si>
    <t>ORD-01301</t>
  </si>
  <si>
    <t>ORD-01302</t>
  </si>
  <si>
    <t>ORD-01303</t>
  </si>
  <si>
    <t>ORD-01304</t>
  </si>
  <si>
    <t>ORD-01305</t>
  </si>
  <si>
    <t>ORD-01306</t>
  </si>
  <si>
    <t>ORD-01307</t>
  </si>
  <si>
    <t>ORD-01308</t>
  </si>
  <si>
    <t>ORD-01309</t>
  </si>
  <si>
    <t>ORD-01310</t>
  </si>
  <si>
    <t>ORD-01311</t>
  </si>
  <si>
    <t>ORD-01312</t>
  </si>
  <si>
    <t>ORD-01313</t>
  </si>
  <si>
    <t>ORD-01314</t>
  </si>
  <si>
    <t>ORD-01315</t>
  </si>
  <si>
    <t>ORD-01316</t>
  </si>
  <si>
    <t>ORD-01317</t>
  </si>
  <si>
    <t>ORD-01318</t>
  </si>
  <si>
    <t>ORD-01319</t>
  </si>
  <si>
    <t>ORD-01320</t>
  </si>
  <si>
    <t>ORD-01321</t>
  </si>
  <si>
    <t>ORD-01322</t>
  </si>
  <si>
    <t>ORD-01323</t>
  </si>
  <si>
    <t>ORD-01324</t>
  </si>
  <si>
    <t>ORD-01325</t>
  </si>
  <si>
    <t>ORD-01326</t>
  </si>
  <si>
    <t>ORD-01327</t>
  </si>
  <si>
    <t>ORD-01328</t>
  </si>
  <si>
    <t>ORD-01329</t>
  </si>
  <si>
    <t>ORD-01330</t>
  </si>
  <si>
    <t>ORD-01331</t>
  </si>
  <si>
    <t>ORD-01332</t>
  </si>
  <si>
    <t>ORD-01333</t>
  </si>
  <si>
    <t>ORD-01334</t>
  </si>
  <si>
    <t>ORD-01335</t>
  </si>
  <si>
    <t>ORD-01336</t>
  </si>
  <si>
    <t>ORD-01337</t>
  </si>
  <si>
    <t>ORD-01338</t>
  </si>
  <si>
    <t>ORD-01339</t>
  </si>
  <si>
    <t>ORD-01340</t>
  </si>
  <si>
    <t>ORD-01341</t>
  </si>
  <si>
    <t>ORD-01342</t>
  </si>
  <si>
    <t>ORD-01343</t>
  </si>
  <si>
    <t>ORD-01344</t>
  </si>
  <si>
    <t>ORD-01345</t>
  </si>
  <si>
    <t>ORD-01346</t>
  </si>
  <si>
    <t>ORD-01347</t>
  </si>
  <si>
    <t>ORD-01348</t>
  </si>
  <si>
    <t>ORD-01349</t>
  </si>
  <si>
    <t>ORD-01350</t>
  </si>
  <si>
    <t>ORD-01351</t>
  </si>
  <si>
    <t>ORD-01352</t>
  </si>
  <si>
    <t>ORD-01353</t>
  </si>
  <si>
    <t>ORD-01354</t>
  </si>
  <si>
    <t>ORD-01355</t>
  </si>
  <si>
    <t>ORD-01356</t>
  </si>
  <si>
    <t>ORD-01357</t>
  </si>
  <si>
    <t>ORD-01358</t>
  </si>
  <si>
    <t>ORD-01359</t>
  </si>
  <si>
    <t>ORD-01360</t>
  </si>
  <si>
    <t>ORD-01361</t>
  </si>
  <si>
    <t>ORD-01362</t>
  </si>
  <si>
    <t>ORD-01363</t>
  </si>
  <si>
    <t>ORD-01364</t>
  </si>
  <si>
    <t>ORD-01365</t>
  </si>
  <si>
    <t>ORD-01366</t>
  </si>
  <si>
    <t>ORD-01367</t>
  </si>
  <si>
    <t>ORD-01368</t>
  </si>
  <si>
    <t>ORD-01369</t>
  </si>
  <si>
    <t>ORD-01370</t>
  </si>
  <si>
    <t>ORD-01371</t>
  </si>
  <si>
    <t>ORD-01372</t>
  </si>
  <si>
    <t>ORD-01373</t>
  </si>
  <si>
    <t>ORD-01374</t>
  </si>
  <si>
    <t>ORD-01375</t>
  </si>
  <si>
    <t>ORD-01376</t>
  </si>
  <si>
    <t>ORD-01377</t>
  </si>
  <si>
    <t>ORD-01378</t>
  </si>
  <si>
    <t>ORD-01379</t>
  </si>
  <si>
    <t>ORD-01380</t>
  </si>
  <si>
    <t>ORD-01381</t>
  </si>
  <si>
    <t>ORD-01382</t>
  </si>
  <si>
    <t>ORD-01383</t>
  </si>
  <si>
    <t>ORD-01384</t>
  </si>
  <si>
    <t>ORD-01385</t>
  </si>
  <si>
    <t>ORD-01386</t>
  </si>
  <si>
    <t>ORD-01387</t>
  </si>
  <si>
    <t>ORD-01388</t>
  </si>
  <si>
    <t>ORD-01389</t>
  </si>
  <si>
    <t>ORD-01390</t>
  </si>
  <si>
    <t>ORD-01391</t>
  </si>
  <si>
    <t>ORD-01392</t>
  </si>
  <si>
    <t>ORD-01393</t>
  </si>
  <si>
    <t>ORD-01394</t>
  </si>
  <si>
    <t>ORD-01395</t>
  </si>
  <si>
    <t>ORD-01396</t>
  </si>
  <si>
    <t>ORD-01397</t>
  </si>
  <si>
    <t>ORD-01398</t>
  </si>
  <si>
    <t>ORD-01399</t>
  </si>
  <si>
    <t>ORD-01400</t>
  </si>
  <si>
    <t>ORD-01401</t>
  </si>
  <si>
    <t>ORD-01402</t>
  </si>
  <si>
    <t>ORD-01403</t>
  </si>
  <si>
    <t>ORD-01404</t>
  </si>
  <si>
    <t>ORD-01405</t>
  </si>
  <si>
    <t>ORD-01406</t>
  </si>
  <si>
    <t>ORD-01407</t>
  </si>
  <si>
    <t>ORD-01408</t>
  </si>
  <si>
    <t>ORD-01409</t>
  </si>
  <si>
    <t>ORD-01410</t>
  </si>
  <si>
    <t>ORD-01411</t>
  </si>
  <si>
    <t>ORD-01412</t>
  </si>
  <si>
    <t>ORD-01413</t>
  </si>
  <si>
    <t>ORD-01414</t>
  </si>
  <si>
    <t>ORD-01415</t>
  </si>
  <si>
    <t>ORD-01416</t>
  </si>
  <si>
    <t>ORD-01417</t>
  </si>
  <si>
    <t>ORD-01418</t>
  </si>
  <si>
    <t>ORD-01419</t>
  </si>
  <si>
    <t>ORD-01420</t>
  </si>
  <si>
    <t>ORD-01421</t>
  </si>
  <si>
    <t>ORD-01422</t>
  </si>
  <si>
    <t>ORD-01423</t>
  </si>
  <si>
    <t>ORD-01424</t>
  </si>
  <si>
    <t>ORD-01425</t>
  </si>
  <si>
    <t>ORD-01426</t>
  </si>
  <si>
    <t>ORD-01427</t>
  </si>
  <si>
    <t>ORD-01428</t>
  </si>
  <si>
    <t>ORD-01429</t>
  </si>
  <si>
    <t>ORD-01430</t>
  </si>
  <si>
    <t>ORD-01431</t>
  </si>
  <si>
    <t>ORD-01432</t>
  </si>
  <si>
    <t>ORD-01433</t>
  </si>
  <si>
    <t>ORD-01434</t>
  </si>
  <si>
    <t>ORD-01435</t>
  </si>
  <si>
    <t>ORD-01436</t>
  </si>
  <si>
    <t>ORD-01437</t>
  </si>
  <si>
    <t>ORD-01438</t>
  </si>
  <si>
    <t>ORD-01439</t>
  </si>
  <si>
    <t>ORD-01440</t>
  </si>
  <si>
    <t>ORD-01441</t>
  </si>
  <si>
    <t>ORD-01442</t>
  </si>
  <si>
    <t>ORD-01443</t>
  </si>
  <si>
    <t>ORD-01444</t>
  </si>
  <si>
    <t>ORD-01445</t>
  </si>
  <si>
    <t>ORD-01446</t>
  </si>
  <si>
    <t>ORD-01447</t>
  </si>
  <si>
    <t>ORD-01448</t>
  </si>
  <si>
    <t>ORD-01449</t>
  </si>
  <si>
    <t>ORD-01450</t>
  </si>
  <si>
    <t>ORD-01451</t>
  </si>
  <si>
    <t>ORD-01452</t>
  </si>
  <si>
    <t>ORD-01453</t>
  </si>
  <si>
    <t>ORD-01454</t>
  </si>
  <si>
    <t>ORD-01455</t>
  </si>
  <si>
    <t>ORD-01456</t>
  </si>
  <si>
    <t>ORD-01457</t>
  </si>
  <si>
    <t>ORD-01458</t>
  </si>
  <si>
    <t>ORD-01459</t>
  </si>
  <si>
    <t>ORD-01460</t>
  </si>
  <si>
    <t>ORD-01461</t>
  </si>
  <si>
    <t>ORD-01462</t>
  </si>
  <si>
    <t>ORD-01463</t>
  </si>
  <si>
    <t>ORD-01464</t>
  </si>
  <si>
    <t>ORD-01465</t>
  </si>
  <si>
    <t>ORD-01466</t>
  </si>
  <si>
    <t>ORD-01467</t>
  </si>
  <si>
    <t>ORD-01468</t>
  </si>
  <si>
    <t>ORD-01469</t>
  </si>
  <si>
    <t>ORD-01470</t>
  </si>
  <si>
    <t>ORD-01471</t>
  </si>
  <si>
    <t>ORD-01472</t>
  </si>
  <si>
    <t>ORD-01473</t>
  </si>
  <si>
    <t>ORD-01474</t>
  </si>
  <si>
    <t>ORD-01475</t>
  </si>
  <si>
    <t>ORD-01476</t>
  </si>
  <si>
    <t>ORD-01477</t>
  </si>
  <si>
    <t>ORD-01478</t>
  </si>
  <si>
    <t>ORD-01479</t>
  </si>
  <si>
    <t>ORD-01480</t>
  </si>
  <si>
    <t>ORD-01481</t>
  </si>
  <si>
    <t>ORD-01482</t>
  </si>
  <si>
    <t>ORD-01483</t>
  </si>
  <si>
    <t>ORD-01484</t>
  </si>
  <si>
    <t>ORD-01485</t>
  </si>
  <si>
    <t>ORD-01486</t>
  </si>
  <si>
    <t>ORD-01487</t>
  </si>
  <si>
    <t>ORD-01488</t>
  </si>
  <si>
    <t>ORD-01489</t>
  </si>
  <si>
    <t>ORD-01490</t>
  </si>
  <si>
    <t>ORD-01491</t>
  </si>
  <si>
    <t>ORD-01492</t>
  </si>
  <si>
    <t>ORD-01493</t>
  </si>
  <si>
    <t>ORD-01494</t>
  </si>
  <si>
    <t>ORD-01495</t>
  </si>
  <si>
    <t>ORD-01496</t>
  </si>
  <si>
    <t>ORD-01497</t>
  </si>
  <si>
    <t>ORD-01498</t>
  </si>
  <si>
    <t>ORD-01499</t>
  </si>
  <si>
    <t>ORD-01500</t>
  </si>
  <si>
    <t>ORD-01501</t>
  </si>
  <si>
    <t>ORD-01502</t>
  </si>
  <si>
    <t>ORD-01503</t>
  </si>
  <si>
    <t>ORD-01504</t>
  </si>
  <si>
    <t>ORD-01505</t>
  </si>
  <si>
    <t>ORD-01506</t>
  </si>
  <si>
    <t>ORD-01507</t>
  </si>
  <si>
    <t>ORD-01508</t>
  </si>
  <si>
    <t>ORD-01509</t>
  </si>
  <si>
    <t>ORD-01510</t>
  </si>
  <si>
    <t>ORD-01511</t>
  </si>
  <si>
    <t>ORD-01512</t>
  </si>
  <si>
    <t>ORD-01513</t>
  </si>
  <si>
    <t>ORD-01514</t>
  </si>
  <si>
    <t>ORD-01515</t>
  </si>
  <si>
    <t>ORD-01516</t>
  </si>
  <si>
    <t>ORD-01517</t>
  </si>
  <si>
    <t>ORD-01518</t>
  </si>
  <si>
    <t>ORD-01519</t>
  </si>
  <si>
    <t>ORD-01520</t>
  </si>
  <si>
    <t>ORD-01521</t>
  </si>
  <si>
    <t>ORD-01522</t>
  </si>
  <si>
    <t>ORD-01523</t>
  </si>
  <si>
    <t>ORD-01524</t>
  </si>
  <si>
    <t>ORD-01525</t>
  </si>
  <si>
    <t>ORD-01526</t>
  </si>
  <si>
    <t>ORD-01527</t>
  </si>
  <si>
    <t>ORD-01528</t>
  </si>
  <si>
    <t>ORD-01529</t>
  </si>
  <si>
    <t>ORD-01530</t>
  </si>
  <si>
    <t>ORD-01531</t>
  </si>
  <si>
    <t>ORD-01532</t>
  </si>
  <si>
    <t>ORD-01533</t>
  </si>
  <si>
    <t>ORD-01534</t>
  </si>
  <si>
    <t>ORD-01535</t>
  </si>
  <si>
    <t>ORD-01536</t>
  </si>
  <si>
    <t>ORD-01537</t>
  </si>
  <si>
    <t>ORD-01538</t>
  </si>
  <si>
    <t>ORD-01539</t>
  </si>
  <si>
    <t>ORD-01540</t>
  </si>
  <si>
    <t>ORD-01541</t>
  </si>
  <si>
    <t>ORD-01542</t>
  </si>
  <si>
    <t>ORD-01543</t>
  </si>
  <si>
    <t>ORD-01544</t>
  </si>
  <si>
    <t>ORD-01545</t>
  </si>
  <si>
    <t>ORD-01546</t>
  </si>
  <si>
    <t>ORD-01547</t>
  </si>
  <si>
    <t>ORD-01548</t>
  </si>
  <si>
    <t>ORD-01549</t>
  </si>
  <si>
    <t>ORD-01550</t>
  </si>
  <si>
    <t>ORD-01551</t>
  </si>
  <si>
    <t>ORD-01552</t>
  </si>
  <si>
    <t>ORD-01553</t>
  </si>
  <si>
    <t>ORD-01554</t>
  </si>
  <si>
    <t>ORD-01555</t>
  </si>
  <si>
    <t>ORD-01556</t>
  </si>
  <si>
    <t>ORD-01557</t>
  </si>
  <si>
    <t>ORD-01558</t>
  </si>
  <si>
    <t>ORD-01559</t>
  </si>
  <si>
    <t>ORD-01560</t>
  </si>
  <si>
    <t>ORD-01561</t>
  </si>
  <si>
    <t>ORD-01562</t>
  </si>
  <si>
    <t>ORD-01563</t>
  </si>
  <si>
    <t>ORD-01564</t>
  </si>
  <si>
    <t>ORD-01565</t>
  </si>
  <si>
    <t>ORD-01566</t>
  </si>
  <si>
    <t>ORD-01567</t>
  </si>
  <si>
    <t>ORD-01568</t>
  </si>
  <si>
    <t>ORD-01569</t>
  </si>
  <si>
    <t>ORD-01570</t>
  </si>
  <si>
    <t>ORD-01571</t>
  </si>
  <si>
    <t>ORD-01572</t>
  </si>
  <si>
    <t>ORD-01573</t>
  </si>
  <si>
    <t>ORD-01574</t>
  </si>
  <si>
    <t>ORD-01575</t>
  </si>
  <si>
    <t>ORD-01576</t>
  </si>
  <si>
    <t>ORD-01577</t>
  </si>
  <si>
    <t>ORD-01578</t>
  </si>
  <si>
    <t>ORD-01579</t>
  </si>
  <si>
    <t>ORD-01580</t>
  </si>
  <si>
    <t>ORD-01581</t>
  </si>
  <si>
    <t>ORD-01582</t>
  </si>
  <si>
    <t>ORD-01583</t>
  </si>
  <si>
    <t>ORD-01584</t>
  </si>
  <si>
    <t>ORD-01585</t>
  </si>
  <si>
    <t>ORD-01586</t>
  </si>
  <si>
    <t>ORD-01587</t>
  </si>
  <si>
    <t>ORD-01588</t>
  </si>
  <si>
    <t>ORD-01589</t>
  </si>
  <si>
    <t>ORD-01590</t>
  </si>
  <si>
    <t>ORD-01591</t>
  </si>
  <si>
    <t>ORD-01592</t>
  </si>
  <si>
    <t>ORD-01593</t>
  </si>
  <si>
    <t>ORD-01594</t>
  </si>
  <si>
    <t>ORD-01595</t>
  </si>
  <si>
    <t>ORD-01596</t>
  </si>
  <si>
    <t>ORD-01597</t>
  </si>
  <si>
    <t>ORD-01598</t>
  </si>
  <si>
    <t>ORD-01599</t>
  </si>
  <si>
    <t>ORD-01600</t>
  </si>
  <si>
    <t>ORD-01601</t>
  </si>
  <si>
    <t>ORD-01602</t>
  </si>
  <si>
    <t>ORD-01603</t>
  </si>
  <si>
    <t>ORD-01604</t>
  </si>
  <si>
    <t>ORD-01605</t>
  </si>
  <si>
    <t>ORD-01606</t>
  </si>
  <si>
    <t>ORD-01607</t>
  </si>
  <si>
    <t>ORD-01608</t>
  </si>
  <si>
    <t>ORD-01609</t>
  </si>
  <si>
    <t>ORD-01610</t>
  </si>
  <si>
    <t>ORD-01611</t>
  </si>
  <si>
    <t>ORD-01612</t>
  </si>
  <si>
    <t>ORD-01613</t>
  </si>
  <si>
    <t>ORD-01614</t>
  </si>
  <si>
    <t>ORD-01615</t>
  </si>
  <si>
    <t>ORD-01616</t>
  </si>
  <si>
    <t>ORD-01617</t>
  </si>
  <si>
    <t>ORD-01618</t>
  </si>
  <si>
    <t>ORD-01619</t>
  </si>
  <si>
    <t>ORD-01620</t>
  </si>
  <si>
    <t>ORD-01621</t>
  </si>
  <si>
    <t>ORD-01622</t>
  </si>
  <si>
    <t>ORD-01623</t>
  </si>
  <si>
    <t>ORD-01624</t>
  </si>
  <si>
    <t>ORD-01625</t>
  </si>
  <si>
    <t>ORD-01626</t>
  </si>
  <si>
    <t>ORD-01627</t>
  </si>
  <si>
    <t>ORD-01628</t>
  </si>
  <si>
    <t>ORD-01629</t>
  </si>
  <si>
    <t>ORD-01630</t>
  </si>
  <si>
    <t>ORD-01631</t>
  </si>
  <si>
    <t>ORD-01632</t>
  </si>
  <si>
    <t>ORD-01633</t>
  </si>
  <si>
    <t>ORD-01634</t>
  </si>
  <si>
    <t>ORD-01635</t>
  </si>
  <si>
    <t>ORD-01636</t>
  </si>
  <si>
    <t>ORD-01637</t>
  </si>
  <si>
    <t>ORD-01638</t>
  </si>
  <si>
    <t>ORD-01639</t>
  </si>
  <si>
    <t>ORD-01640</t>
  </si>
  <si>
    <t>ORD-01641</t>
  </si>
  <si>
    <t>ORD-01642</t>
  </si>
  <si>
    <t>ORD-01643</t>
  </si>
  <si>
    <t>ORD-01644</t>
  </si>
  <si>
    <t>ORD-01645</t>
  </si>
  <si>
    <t>ORD-01646</t>
  </si>
  <si>
    <t>ORD-01647</t>
  </si>
  <si>
    <t>ORD-01648</t>
  </si>
  <si>
    <t>ORD-01649</t>
  </si>
  <si>
    <t>ORD-01650</t>
  </si>
  <si>
    <t>ORD-01651</t>
  </si>
  <si>
    <t>ORD-01652</t>
  </si>
  <si>
    <t>ORD-01653</t>
  </si>
  <si>
    <t>ORD-01654</t>
  </si>
  <si>
    <t>ORD-01655</t>
  </si>
  <si>
    <t>ORD-01656</t>
  </si>
  <si>
    <t>ORD-01657</t>
  </si>
  <si>
    <t>ORD-01658</t>
  </si>
  <si>
    <t>ORD-01659</t>
  </si>
  <si>
    <t>ORD-01660</t>
  </si>
  <si>
    <t>ORD-01661</t>
  </si>
  <si>
    <t>ORD-01662</t>
  </si>
  <si>
    <t>ORD-01663</t>
  </si>
  <si>
    <t>ORD-01664</t>
  </si>
  <si>
    <t>ORD-01665</t>
  </si>
  <si>
    <t>ORD-01666</t>
  </si>
  <si>
    <t>ORD-01667</t>
  </si>
  <si>
    <t>ORD-01668</t>
  </si>
  <si>
    <t>ORD-01669</t>
  </si>
  <si>
    <t>ORD-01670</t>
  </si>
  <si>
    <t>ORD-01671</t>
  </si>
  <si>
    <t>ORD-01672</t>
  </si>
  <si>
    <t>ORD-01673</t>
  </si>
  <si>
    <t>ORD-01674</t>
  </si>
  <si>
    <t>ORD-01675</t>
  </si>
  <si>
    <t>ORD-01676</t>
  </si>
  <si>
    <t>ORD-01677</t>
  </si>
  <si>
    <t>ORD-01678</t>
  </si>
  <si>
    <t>ORD-01679</t>
  </si>
  <si>
    <t>ORD-01680</t>
  </si>
  <si>
    <t>ORD-01681</t>
  </si>
  <si>
    <t>ORD-01682</t>
  </si>
  <si>
    <t>ORD-01683</t>
  </si>
  <si>
    <t>ORD-01684</t>
  </si>
  <si>
    <t>ORD-01685</t>
  </si>
  <si>
    <t>ORD-01686</t>
  </si>
  <si>
    <t>ORD-01687</t>
  </si>
  <si>
    <t>ORD-01688</t>
  </si>
  <si>
    <t>ORD-01689</t>
  </si>
  <si>
    <t>ORD-01690</t>
  </si>
  <si>
    <t>ORD-01691</t>
  </si>
  <si>
    <t>ORD-01692</t>
  </si>
  <si>
    <t>ORD-01693</t>
  </si>
  <si>
    <t>ORD-01694</t>
  </si>
  <si>
    <t>ORD-01695</t>
  </si>
  <si>
    <t>ORD-01696</t>
  </si>
  <si>
    <t>ORD-01697</t>
  </si>
  <si>
    <t>ORD-01698</t>
  </si>
  <si>
    <t>ORD-01699</t>
  </si>
  <si>
    <t>ORD-01700</t>
  </si>
  <si>
    <t>ORD-01701</t>
  </si>
  <si>
    <t>ORD-01702</t>
  </si>
  <si>
    <t>ORD-01703</t>
  </si>
  <si>
    <t>ORD-01704</t>
  </si>
  <si>
    <t>ORD-01705</t>
  </si>
  <si>
    <t>ORD-01706</t>
  </si>
  <si>
    <t>ORD-01707</t>
  </si>
  <si>
    <t>ORD-01708</t>
  </si>
  <si>
    <t>ORD-01709</t>
  </si>
  <si>
    <t>ORD-01710</t>
  </si>
  <si>
    <t>ORD-01711</t>
  </si>
  <si>
    <t>ORD-01712</t>
  </si>
  <si>
    <t>ORD-01713</t>
  </si>
  <si>
    <t>ORD-01714</t>
  </si>
  <si>
    <t>ORD-01715</t>
  </si>
  <si>
    <t>ORD-01716</t>
  </si>
  <si>
    <t>ORD-01717</t>
  </si>
  <si>
    <t>ORD-01718</t>
  </si>
  <si>
    <t>ORD-01719</t>
  </si>
  <si>
    <t>ORD-01720</t>
  </si>
  <si>
    <t>ORD-01721</t>
  </si>
  <si>
    <t>ORD-01722</t>
  </si>
  <si>
    <t>ORD-01723</t>
  </si>
  <si>
    <t>ORD-01724</t>
  </si>
  <si>
    <t>ORD-01725</t>
  </si>
  <si>
    <t>ORD-01726</t>
  </si>
  <si>
    <t>ORD-01727</t>
  </si>
  <si>
    <t>ORD-01728</t>
  </si>
  <si>
    <t>ORD-01729</t>
  </si>
  <si>
    <t>ORD-01730</t>
  </si>
  <si>
    <t>ORD-01731</t>
  </si>
  <si>
    <t>ORD-01732</t>
  </si>
  <si>
    <t>ORD-01733</t>
  </si>
  <si>
    <t>ORD-01734</t>
  </si>
  <si>
    <t>ORD-01735</t>
  </si>
  <si>
    <t>ORD-01736</t>
  </si>
  <si>
    <t>ORD-01737</t>
  </si>
  <si>
    <t>ORD-01738</t>
  </si>
  <si>
    <t>ORD-01739</t>
  </si>
  <si>
    <t>ORD-01740</t>
  </si>
  <si>
    <t>ORD-01741</t>
  </si>
  <si>
    <t>ORD-01742</t>
  </si>
  <si>
    <t>ORD-01743</t>
  </si>
  <si>
    <t>ORD-01744</t>
  </si>
  <si>
    <t>ORD-01745</t>
  </si>
  <si>
    <t>ORD-01746</t>
  </si>
  <si>
    <t>ORD-01747</t>
  </si>
  <si>
    <t>ORD-01748</t>
  </si>
  <si>
    <t>ORD-01749</t>
  </si>
  <si>
    <t>ORD-01750</t>
  </si>
  <si>
    <t>ORD-01751</t>
  </si>
  <si>
    <t>ORD-01752</t>
  </si>
  <si>
    <t>ORD-01753</t>
  </si>
  <si>
    <t>ORD-01754</t>
  </si>
  <si>
    <t>ORD-01755</t>
  </si>
  <si>
    <t>ORD-01756</t>
  </si>
  <si>
    <t>ORD-01757</t>
  </si>
  <si>
    <t>ORD-01758</t>
  </si>
  <si>
    <t>ORD-01759</t>
  </si>
  <si>
    <t>ORD-01760</t>
  </si>
  <si>
    <t>ORD-01761</t>
  </si>
  <si>
    <t>ORD-01762</t>
  </si>
  <si>
    <t>ORD-01763</t>
  </si>
  <si>
    <t>ORD-01764</t>
  </si>
  <si>
    <t>ORD-01765</t>
  </si>
  <si>
    <t>ORD-01766</t>
  </si>
  <si>
    <t>ORD-01767</t>
  </si>
  <si>
    <t>ORD-01768</t>
  </si>
  <si>
    <t>ORD-01769</t>
  </si>
  <si>
    <t>ORD-01770</t>
  </si>
  <si>
    <t>ORD-01771</t>
  </si>
  <si>
    <t>ORD-01772</t>
  </si>
  <si>
    <t>ORD-01773</t>
  </si>
  <si>
    <t>ORD-01774</t>
  </si>
  <si>
    <t>ORD-01775</t>
  </si>
  <si>
    <t>ORD-01776</t>
  </si>
  <si>
    <t>ORD-01777</t>
  </si>
  <si>
    <t>ORD-01778</t>
  </si>
  <si>
    <t>ORD-01779</t>
  </si>
  <si>
    <t>ORD-01780</t>
  </si>
  <si>
    <t>ORD-01781</t>
  </si>
  <si>
    <t>ORD-01782</t>
  </si>
  <si>
    <t>ORD-01783</t>
  </si>
  <si>
    <t>ORD-01784</t>
  </si>
  <si>
    <t>ORD-01785</t>
  </si>
  <si>
    <t>ORD-01786</t>
  </si>
  <si>
    <t>ORD-01787</t>
  </si>
  <si>
    <t>ORD-01788</t>
  </si>
  <si>
    <t>ORD-01789</t>
  </si>
  <si>
    <t>ORD-01790</t>
  </si>
  <si>
    <t>ORD-01791</t>
  </si>
  <si>
    <t>ORD-01792</t>
  </si>
  <si>
    <t>ORD-01793</t>
  </si>
  <si>
    <t>ORD-01794</t>
  </si>
  <si>
    <t>ORD-01795</t>
  </si>
  <si>
    <t>ORD-01796</t>
  </si>
  <si>
    <t>ORD-01797</t>
  </si>
  <si>
    <t>ORD-01798</t>
  </si>
  <si>
    <t>ORD-01799</t>
  </si>
  <si>
    <t>ORD-01800</t>
  </si>
  <si>
    <t>ORD-01801</t>
  </si>
  <si>
    <t>ORD-01802</t>
  </si>
  <si>
    <t>ORD-01803</t>
  </si>
  <si>
    <t>ORD-01804</t>
  </si>
  <si>
    <t>ORD-01805</t>
  </si>
  <si>
    <t>ORD-01806</t>
  </si>
  <si>
    <t>ORD-01807</t>
  </si>
  <si>
    <t>ORD-01808</t>
  </si>
  <si>
    <t>ORD-01809</t>
  </si>
  <si>
    <t>ORD-01810</t>
  </si>
  <si>
    <t>ORD-01811</t>
  </si>
  <si>
    <t>ORD-01812</t>
  </si>
  <si>
    <t>ORD-01813</t>
  </si>
  <si>
    <t>ORD-01814</t>
  </si>
  <si>
    <t>ORD-01815</t>
  </si>
  <si>
    <t>ORD-01816</t>
  </si>
  <si>
    <t>ORD-01817</t>
  </si>
  <si>
    <t>ORD-01818</t>
  </si>
  <si>
    <t>ORD-01819</t>
  </si>
  <si>
    <t>ORD-01820</t>
  </si>
  <si>
    <t>ORD-01821</t>
  </si>
  <si>
    <t>ORD-01822</t>
  </si>
  <si>
    <t>ORD-01823</t>
  </si>
  <si>
    <t>ORD-01824</t>
  </si>
  <si>
    <t>ORD-01825</t>
  </si>
  <si>
    <t>ORD-01826</t>
  </si>
  <si>
    <t>ORD-01827</t>
  </si>
  <si>
    <t>ORD-01828</t>
  </si>
  <si>
    <t>ORD-01829</t>
  </si>
  <si>
    <t>ORD-01830</t>
  </si>
  <si>
    <t>ORD-01831</t>
  </si>
  <si>
    <t>ORD-01832</t>
  </si>
  <si>
    <t>ORD-01833</t>
  </si>
  <si>
    <t>ORD-01834</t>
  </si>
  <si>
    <t>ORD-01835</t>
  </si>
  <si>
    <t>ORD-01836</t>
  </si>
  <si>
    <t>ORD-01837</t>
  </si>
  <si>
    <t>ORD-01838</t>
  </si>
  <si>
    <t>ORD-01839</t>
  </si>
  <si>
    <t>ORD-01840</t>
  </si>
  <si>
    <t>ORD-01841</t>
  </si>
  <si>
    <t>ORD-01842</t>
  </si>
  <si>
    <t>ORD-01843</t>
  </si>
  <si>
    <t>ORD-01844</t>
  </si>
  <si>
    <t>ORD-01845</t>
  </si>
  <si>
    <t>ORD-01846</t>
  </si>
  <si>
    <t>ORD-01847</t>
  </si>
  <si>
    <t>ORD-01848</t>
  </si>
  <si>
    <t>ORD-01849</t>
  </si>
  <si>
    <t>ORD-01850</t>
  </si>
  <si>
    <t>ORD-01851</t>
  </si>
  <si>
    <t>ORD-01852</t>
  </si>
  <si>
    <t>ORD-01853</t>
  </si>
  <si>
    <t>ORD-01854</t>
  </si>
  <si>
    <t>ORD-01855</t>
  </si>
  <si>
    <t>ORD-01856</t>
  </si>
  <si>
    <t>ORD-01857</t>
  </si>
  <si>
    <t>ORD-01858</t>
  </si>
  <si>
    <t>ORD-01859</t>
  </si>
  <si>
    <t>ORD-01860</t>
  </si>
  <si>
    <t>ORD-01861</t>
  </si>
  <si>
    <t>ORD-01862</t>
  </si>
  <si>
    <t>ORD-01863</t>
  </si>
  <si>
    <t>ORD-01864</t>
  </si>
  <si>
    <t>ORD-01865</t>
  </si>
  <si>
    <t>ORD-01866</t>
  </si>
  <si>
    <t>ORD-01867</t>
  </si>
  <si>
    <t>ORD-01868</t>
  </si>
  <si>
    <t>ORD-01869</t>
  </si>
  <si>
    <t>ORD-01870</t>
  </si>
  <si>
    <t>ORD-01871</t>
  </si>
  <si>
    <t>ORD-01872</t>
  </si>
  <si>
    <t>ORD-01873</t>
  </si>
  <si>
    <t>ORD-01874</t>
  </si>
  <si>
    <t>ORD-01875</t>
  </si>
  <si>
    <t>ORD-01876</t>
  </si>
  <si>
    <t>ORD-01877</t>
  </si>
  <si>
    <t>ORD-01878</t>
  </si>
  <si>
    <t>ORD-01879</t>
  </si>
  <si>
    <t>ORD-01880</t>
  </si>
  <si>
    <t>ORD-01881</t>
  </si>
  <si>
    <t>ORD-01882</t>
  </si>
  <si>
    <t>ORD-01883</t>
  </si>
  <si>
    <t>ORD-01884</t>
  </si>
  <si>
    <t>ORD-01885</t>
  </si>
  <si>
    <t>ORD-01886</t>
  </si>
  <si>
    <t>ORD-01887</t>
  </si>
  <si>
    <t>ORD-01888</t>
  </si>
  <si>
    <t>ORD-01889</t>
  </si>
  <si>
    <t>ORD-01890</t>
  </si>
  <si>
    <t>ORD-01891</t>
  </si>
  <si>
    <t>ORD-01892</t>
  </si>
  <si>
    <t>ORD-01893</t>
  </si>
  <si>
    <t>ORD-01894</t>
  </si>
  <si>
    <t>ORD-01895</t>
  </si>
  <si>
    <t>ORD-01896</t>
  </si>
  <si>
    <t>ORD-01897</t>
  </si>
  <si>
    <t>ORD-01898</t>
  </si>
  <si>
    <t>ORD-01899</t>
  </si>
  <si>
    <t>ORD-01900</t>
  </si>
  <si>
    <t>ORD-01901</t>
  </si>
  <si>
    <t>ORD-01902</t>
  </si>
  <si>
    <t>ORD-01903</t>
  </si>
  <si>
    <t>ORD-01904</t>
  </si>
  <si>
    <t>ORD-01905</t>
  </si>
  <si>
    <t>ORD-01906</t>
  </si>
  <si>
    <t>ORD-01907</t>
  </si>
  <si>
    <t>ORD-01908</t>
  </si>
  <si>
    <t>ORD-01909</t>
  </si>
  <si>
    <t>ORD-01910</t>
  </si>
  <si>
    <t>ORD-01911</t>
  </si>
  <si>
    <t>ORD-01912</t>
  </si>
  <si>
    <t>ORD-01913</t>
  </si>
  <si>
    <t>ORD-01914</t>
  </si>
  <si>
    <t>ORD-01915</t>
  </si>
  <si>
    <t>ORD-01916</t>
  </si>
  <si>
    <t>ORD-01917</t>
  </si>
  <si>
    <t>ORD-01918</t>
  </si>
  <si>
    <t>ORD-01919</t>
  </si>
  <si>
    <t>ORD-01920</t>
  </si>
  <si>
    <t>ORD-01921</t>
  </si>
  <si>
    <t>ORD-01922</t>
  </si>
  <si>
    <t>ORD-01923</t>
  </si>
  <si>
    <t>ORD-01924</t>
  </si>
  <si>
    <t>ORD-01925</t>
  </si>
  <si>
    <t>ORD-01926</t>
  </si>
  <si>
    <t>ORD-01927</t>
  </si>
  <si>
    <t>ORD-01928</t>
  </si>
  <si>
    <t>ORD-01929</t>
  </si>
  <si>
    <t>ORD-01930</t>
  </si>
  <si>
    <t>ORD-01931</t>
  </si>
  <si>
    <t>ORD-01932</t>
  </si>
  <si>
    <t>ORD-01933</t>
  </si>
  <si>
    <t>ORD-01934</t>
  </si>
  <si>
    <t>ORD-01935</t>
  </si>
  <si>
    <t>ORD-01936</t>
  </si>
  <si>
    <t>ORD-01937</t>
  </si>
  <si>
    <t>ORD-01938</t>
  </si>
  <si>
    <t>ORD-01939</t>
  </si>
  <si>
    <t>ORD-01940</t>
  </si>
  <si>
    <t>ORD-01941</t>
  </si>
  <si>
    <t>ORD-01942</t>
  </si>
  <si>
    <t>ORD-01943</t>
  </si>
  <si>
    <t>ORD-01944</t>
  </si>
  <si>
    <t>ORD-01945</t>
  </si>
  <si>
    <t>ORD-01946</t>
  </si>
  <si>
    <t>ORD-01947</t>
  </si>
  <si>
    <t>ORD-01948</t>
  </si>
  <si>
    <t>ORD-01949</t>
  </si>
  <si>
    <t>ORD-01950</t>
  </si>
  <si>
    <t>ORD-01951</t>
  </si>
  <si>
    <t>ORD-01952</t>
  </si>
  <si>
    <t>ORD-01953</t>
  </si>
  <si>
    <t>ORD-01954</t>
  </si>
  <si>
    <t>ORD-01955</t>
  </si>
  <si>
    <t>ORD-01956</t>
  </si>
  <si>
    <t>Count of Order ID</t>
  </si>
  <si>
    <t>Average of Total Price</t>
  </si>
  <si>
    <t>Product Categories</t>
  </si>
  <si>
    <t>Products</t>
  </si>
  <si>
    <t>Sum of Quantity</t>
  </si>
  <si>
    <t>Sum of Monetary</t>
  </si>
  <si>
    <t>Total Customers</t>
  </si>
  <si>
    <t>Average Customer Value</t>
  </si>
  <si>
    <t>Sum of Frequency</t>
  </si>
  <si>
    <t>Total Transactions</t>
  </si>
  <si>
    <t>Average of Spending</t>
  </si>
  <si>
    <t>Customers</t>
  </si>
  <si>
    <t>Customer</t>
  </si>
  <si>
    <t>Dynamic Range for Frequency vs Monetary Chart</t>
  </si>
  <si>
    <t>Nov</t>
  </si>
  <si>
    <t>Dec</t>
  </si>
  <si>
    <t>Sum of Recency</t>
  </si>
  <si>
    <t>Dynamic Range for Frequency vs Recency Chart</t>
  </si>
  <si>
    <t>Week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</si>
</sst>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gt;=1000000]\ &quot;BDT &quot;#,##0.00,,&quot;M&quot;;[&gt;=1000]\ &quot;BDT &quot;#,##0.00,&quot;K&quot;;\ &quot;BDT &quot;#,##0.00"/>
  </numFmts>
  <fonts count="8" x14ac:knownFonts="1">
    <font>
      <sz val="11"/>
      <color theme="1"/>
      <name val="Calibri"/>
      <family val="2"/>
      <charset val="1"/>
    </font>
    <font>
      <b/>
      <sz val="11"/>
      <color theme="1"/>
      <name val="Calibri"/>
      <family val="2"/>
      <charset val="1"/>
    </font>
    <font>
      <sz val="11"/>
      <color theme="1"/>
      <name val="Calibri"/>
      <family val="2"/>
      <charset val="1"/>
    </font>
    <font>
      <b/>
      <sz val="11"/>
      <color rgb="FF000000"/>
      <name val="Calibri"/>
      <family val="2"/>
      <charset val="1"/>
    </font>
    <font>
      <b/>
      <sz val="11"/>
      <color theme="0"/>
      <name val="Calibri"/>
      <family val="2"/>
      <charset val="1"/>
    </font>
    <font>
      <b/>
      <sz val="14"/>
      <color rgb="FF0070C0"/>
      <name val="Calibri"/>
      <family val="2"/>
    </font>
    <font>
      <sz val="11"/>
      <color rgb="FF0070C0"/>
      <name val="Calibri"/>
      <family val="2"/>
    </font>
    <font>
      <sz val="8"/>
      <name val="Calibri"/>
      <family val="2"/>
      <charset val="1"/>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s>
  <borders count="8">
    <border>
      <left/>
      <right/>
      <top/>
      <bottom/>
      <diagonal/>
    </border>
    <border>
      <left/>
      <right/>
      <top style="thin">
        <color theme="4" tint="0.39997558519241921"/>
      </top>
      <bottom style="thin">
        <color theme="4" tint="0.39997558519241921"/>
      </bottom>
      <diagonal/>
    </border>
    <border>
      <left/>
      <right/>
      <top/>
      <bottom style="thin">
        <color theme="4" tint="0.39997558519241921"/>
      </bottom>
      <diagonal/>
    </border>
    <border>
      <left/>
      <right/>
      <top style="thin">
        <color theme="4" tint="0.39997558519241921"/>
      </top>
      <bottom/>
      <diagonal/>
    </border>
    <border>
      <left style="thin">
        <color theme="4" tint="0.39997558519241921"/>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top style="thin">
        <color theme="4" tint="0.39997558519241921"/>
      </top>
      <bottom/>
      <diagonal/>
    </border>
    <border>
      <left/>
      <right style="thin">
        <color theme="4" tint="0.39997558519241921"/>
      </right>
      <top style="thin">
        <color theme="4" tint="0.39997558519241921"/>
      </top>
      <bottom/>
      <diagonal/>
    </border>
  </borders>
  <cellStyleXfs count="7">
    <xf numFmtId="0" fontId="0" fillId="0" borderId="0"/>
    <xf numFmtId="0" fontId="2" fillId="0" borderId="0" applyBorder="0" applyProtection="0"/>
    <xf numFmtId="0" fontId="2" fillId="0" borderId="0" applyBorder="0" applyProtection="0"/>
    <xf numFmtId="0" fontId="2" fillId="0" borderId="0" applyBorder="0" applyProtection="0"/>
    <xf numFmtId="0" fontId="2" fillId="0" borderId="0" applyBorder="0" applyProtection="0">
      <alignment horizontal="left"/>
    </xf>
    <xf numFmtId="0" fontId="1" fillId="0" borderId="0" applyBorder="0" applyProtection="0">
      <alignment horizontal="left"/>
    </xf>
    <xf numFmtId="0" fontId="1" fillId="0" borderId="0" applyBorder="0" applyProtection="0"/>
  </cellStyleXfs>
  <cellXfs count="38">
    <xf numFmtId="0" fontId="0" fillId="0" borderId="0" xfId="0"/>
    <xf numFmtId="0" fontId="0" fillId="0" borderId="0" xfId="0" applyFont="1"/>
    <xf numFmtId="14" fontId="0" fillId="0" borderId="0" xfId="0" applyNumberFormat="1" applyFont="1"/>
    <xf numFmtId="0" fontId="0" fillId="0" borderId="0" xfId="0" pivotButton="1"/>
    <xf numFmtId="0" fontId="0" fillId="0" borderId="0" xfId="0" applyNumberFormat="1"/>
    <xf numFmtId="2" fontId="0" fillId="0" borderId="0" xfId="0" applyNumberFormat="1"/>
    <xf numFmtId="1" fontId="0" fillId="0" borderId="0" xfId="0" applyNumberFormat="1"/>
    <xf numFmtId="1" fontId="0" fillId="2" borderId="1" xfId="0" applyNumberFormat="1" applyFont="1" applyFill="1" applyBorder="1"/>
    <xf numFmtId="164" fontId="0" fillId="0" borderId="0" xfId="0" applyNumberFormat="1"/>
    <xf numFmtId="0" fontId="3" fillId="2" borderId="2" xfId="0" applyFont="1" applyFill="1" applyBorder="1"/>
    <xf numFmtId="0" fontId="0" fillId="0" borderId="0" xfId="0" applyNumberFormat="1" applyAlignment="1">
      <alignment wrapText="1"/>
    </xf>
    <xf numFmtId="0" fontId="0" fillId="0" borderId="1" xfId="0" applyFont="1" applyBorder="1"/>
    <xf numFmtId="0" fontId="0" fillId="0" borderId="5" xfId="0" applyFont="1" applyBorder="1"/>
    <xf numFmtId="0" fontId="4" fillId="3" borderId="6" xfId="0" applyFont="1" applyFill="1" applyBorder="1"/>
    <xf numFmtId="0" fontId="4" fillId="3" borderId="3" xfId="0" applyFont="1" applyFill="1" applyBorder="1"/>
    <xf numFmtId="0" fontId="4" fillId="3" borderId="7" xfId="0" applyFont="1" applyFill="1" applyBorder="1"/>
    <xf numFmtId="0" fontId="0" fillId="2" borderId="6" xfId="0" applyFont="1" applyFill="1" applyBorder="1"/>
    <xf numFmtId="2" fontId="0" fillId="2" borderId="3" xfId="0" applyNumberFormat="1" applyFont="1" applyFill="1" applyBorder="1"/>
    <xf numFmtId="0" fontId="0" fillId="2" borderId="3" xfId="0" applyFont="1" applyFill="1" applyBorder="1"/>
    <xf numFmtId="1" fontId="0" fillId="2" borderId="3" xfId="0" applyNumberFormat="1" applyFont="1" applyFill="1" applyBorder="1"/>
    <xf numFmtId="14" fontId="0" fillId="2" borderId="3" xfId="0" applyNumberFormat="1" applyFont="1" applyFill="1" applyBorder="1"/>
    <xf numFmtId="0" fontId="0" fillId="2" borderId="7" xfId="0" applyFont="1" applyFill="1" applyBorder="1"/>
    <xf numFmtId="0" fontId="0" fillId="0" borderId="6" xfId="0" applyFont="1" applyBorder="1"/>
    <xf numFmtId="2" fontId="0" fillId="0" borderId="3" xfId="0" applyNumberFormat="1" applyFont="1" applyBorder="1"/>
    <xf numFmtId="0" fontId="0" fillId="0" borderId="3" xfId="0" applyFont="1" applyBorder="1"/>
    <xf numFmtId="1" fontId="0" fillId="0" borderId="3" xfId="0" applyNumberFormat="1" applyFont="1" applyBorder="1"/>
    <xf numFmtId="14" fontId="0" fillId="0" borderId="3" xfId="0" applyNumberFormat="1" applyFont="1" applyBorder="1"/>
    <xf numFmtId="0" fontId="0" fillId="0" borderId="7" xfId="0" applyFont="1" applyBorder="1"/>
    <xf numFmtId="0" fontId="0" fillId="0" borderId="4" xfId="0" applyFont="1" applyBorder="1"/>
    <xf numFmtId="1" fontId="0" fillId="0" borderId="1" xfId="0" applyNumberFormat="1" applyFont="1" applyBorder="1"/>
    <xf numFmtId="14" fontId="0" fillId="0" borderId="1" xfId="0" applyNumberFormat="1" applyFont="1" applyBorder="1"/>
    <xf numFmtId="165" fontId="0" fillId="0" borderId="0" xfId="0" applyNumberFormat="1"/>
    <xf numFmtId="0" fontId="0" fillId="0" borderId="0" xfId="0" applyAlignment="1">
      <alignment horizontal="left"/>
    </xf>
    <xf numFmtId="0" fontId="5" fillId="0" borderId="0" xfId="0" applyFont="1" applyAlignment="1"/>
    <xf numFmtId="0" fontId="6" fillId="0" borderId="0" xfId="0" applyFont="1" applyAlignment="1"/>
    <xf numFmtId="0" fontId="6" fillId="0" borderId="0" xfId="0" applyFont="1"/>
    <xf numFmtId="0" fontId="0" fillId="0" borderId="0" xfId="0" applyAlignment="1">
      <alignment vertical="center"/>
    </xf>
    <xf numFmtId="0" fontId="5" fillId="0" borderId="0" xfId="0" applyFont="1" applyAlignment="1">
      <alignment horizontal="center" vertical="center"/>
    </xf>
  </cellXfs>
  <cellStyles count="7">
    <cellStyle name="Normal" xfId="0" builtinId="0"/>
    <cellStyle name="Pivot Table Category" xfId="4" xr:uid="{00000000-0005-0000-0000-000009000000}"/>
    <cellStyle name="Pivot Table Corner" xfId="1" xr:uid="{00000000-0005-0000-0000-000006000000}"/>
    <cellStyle name="Pivot Table Field" xfId="3" xr:uid="{00000000-0005-0000-0000-000008000000}"/>
    <cellStyle name="Pivot Table Result" xfId="6" xr:uid="{00000000-0005-0000-0000-00000B000000}"/>
    <cellStyle name="Pivot Table Title" xfId="5" xr:uid="{00000000-0005-0000-0000-00000A000000}"/>
    <cellStyle name="Pivot Table Value" xfId="2" xr:uid="{00000000-0005-0000-0000-000007000000}"/>
  </cellStyles>
  <dxfs count="34">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val="0"/>
        <i val="0"/>
        <strike val="0"/>
        <condense val="0"/>
        <extend val="0"/>
        <outline val="0"/>
        <shadow val="0"/>
        <u val="none"/>
        <vertAlign val="baseline"/>
        <sz val="11"/>
        <color theme="1"/>
        <name val="Calibri"/>
        <family val="2"/>
        <charset val="1"/>
        <scheme val="none"/>
      </font>
    </dxf>
    <dxf>
      <font>
        <b/>
        <i val="0"/>
        <strike val="0"/>
        <condense val="0"/>
        <extend val="0"/>
        <outline val="0"/>
        <shadow val="0"/>
        <u val="none"/>
        <vertAlign val="baseline"/>
        <sz val="11"/>
        <color theme="0"/>
        <name val="Calibri"/>
        <family val="2"/>
        <charset val="1"/>
        <scheme val="none"/>
      </font>
      <fill>
        <patternFill patternType="solid">
          <fgColor theme="4"/>
          <bgColor theme="4"/>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 formatCode="0"/>
    </dxf>
    <dxf>
      <numFmt numFmtId="1" formatCode="0"/>
    </dxf>
    <dxf>
      <numFmt numFmtId="0" formatCode="General"/>
    </dxf>
    <dxf>
      <numFmt numFmtId="0" formatCode="General"/>
    </dxf>
    <dxf>
      <numFmt numFmtId="0" formatCode="General"/>
    </dxf>
    <dxf>
      <numFmt numFmtId="0" formatCode="General"/>
    </dxf>
    <dxf>
      <border outline="0">
        <bottom style="thin">
          <color theme="4" tint="0.39997558519241921"/>
        </bottom>
      </border>
    </dxf>
    <dxf>
      <font>
        <b/>
        <i val="0"/>
        <strike val="0"/>
        <condense val="0"/>
        <extend val="0"/>
        <outline val="0"/>
        <shadow val="0"/>
        <u val="none"/>
        <vertAlign val="baseline"/>
        <sz val="11"/>
        <color rgb="FF000000"/>
        <name val="Calibri"/>
        <family val="2"/>
        <charset val="1"/>
        <scheme val="none"/>
      </font>
      <fill>
        <patternFill patternType="solid">
          <fgColor theme="4" tint="0.79998168889431442"/>
          <bgColor theme="4" tint="0.79998168889431442"/>
        </patternFill>
      </fill>
    </dxf>
    <dxf>
      <numFmt numFmtId="1" formatCode="0"/>
    </dxf>
    <dxf>
      <numFmt numFmtId="1" formatCode="0"/>
    </dxf>
    <dxf>
      <numFmt numFmtId="164" formatCode="0.0"/>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microsoft.com/office/2007/relationships/slicerCache" Target="slicerCaches/slicerCache4.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microsoft.com/office/2007/relationships/slicerCache" Target="slicerCaches/slicerCache3.xml"/><Relationship Id="rId17" Type="http://schemas.microsoft.com/office/2011/relationships/timelineCache" Target="timelineCaches/timelineCache1.xml"/><Relationship Id="rId2" Type="http://schemas.openxmlformats.org/officeDocument/2006/relationships/worksheet" Target="worksheets/sheet2.xml"/><Relationship Id="rId16" Type="http://schemas.microsoft.com/office/2007/relationships/slicerCache" Target="slicerCaches/slicerCache7.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microsoft.com/office/2007/relationships/slicerCache" Target="slicerCaches/slicerCache6.xml"/><Relationship Id="rId10" Type="http://schemas.microsoft.com/office/2007/relationships/slicerCache" Target="slicerCaches/slicerCache1.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microsoft.com/office/2007/relationships/slicerCache" Target="slicerCaches/slicerCache5.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[sales_data.xlsx]Customer Segment Pivot Table!PT7_Customer_Count_by_Segment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Customer</a:t>
            </a:r>
            <a:r>
              <a:rPr lang="en-US" b="1" baseline="0">
                <a:solidFill>
                  <a:srgbClr val="0070C0"/>
                </a:solidFill>
              </a:rPr>
              <a:t> </a:t>
            </a:r>
            <a:r>
              <a:rPr lang="en-US" b="1">
                <a:solidFill>
                  <a:srgbClr val="0070C0"/>
                </a:solidFill>
              </a:rPr>
              <a:t>Count</a:t>
            </a:r>
            <a:r>
              <a:rPr lang="en-US" b="1" baseline="0">
                <a:solidFill>
                  <a:srgbClr val="0070C0"/>
                </a:solidFill>
              </a:rPr>
              <a:t> </a:t>
            </a:r>
            <a:r>
              <a:rPr lang="en-US" b="1">
                <a:solidFill>
                  <a:srgbClr val="0070C0"/>
                </a:solidFill>
              </a:rPr>
              <a:t>by</a:t>
            </a:r>
            <a:r>
              <a:rPr lang="en-US" b="1" baseline="0">
                <a:solidFill>
                  <a:srgbClr val="0070C0"/>
                </a:solidFill>
              </a:rPr>
              <a:t> </a:t>
            </a:r>
            <a:r>
              <a:rPr lang="en-US" b="1">
                <a:solidFill>
                  <a:srgbClr val="0070C0"/>
                </a:solidFill>
              </a:rPr>
              <a:t>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Pivot Table'!$B$19</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 Pivot Table'!$A$20:$A$27</c:f>
              <c:strCache>
                <c:ptCount val="7"/>
                <c:pt idx="0">
                  <c:v>At Risk</c:v>
                </c:pt>
                <c:pt idx="1">
                  <c:v>Loyal Customers</c:v>
                </c:pt>
                <c:pt idx="2">
                  <c:v>Champions</c:v>
                </c:pt>
                <c:pt idx="3">
                  <c:v>Lost/Churned</c:v>
                </c:pt>
                <c:pt idx="4">
                  <c:v>Potential Loyal</c:v>
                </c:pt>
                <c:pt idx="5">
                  <c:v>New Customers</c:v>
                </c:pt>
                <c:pt idx="6">
                  <c:v>Low Engagement</c:v>
                </c:pt>
              </c:strCache>
            </c:strRef>
          </c:cat>
          <c:val>
            <c:numRef>
              <c:f>'Customer Segment Pivot Table'!$B$20:$B$27</c:f>
              <c:numCache>
                <c:formatCode>General</c:formatCode>
                <c:ptCount val="7"/>
                <c:pt idx="0">
                  <c:v>78</c:v>
                </c:pt>
                <c:pt idx="1">
                  <c:v>58</c:v>
                </c:pt>
                <c:pt idx="2">
                  <c:v>50</c:v>
                </c:pt>
                <c:pt idx="3">
                  <c:v>37</c:v>
                </c:pt>
                <c:pt idx="4">
                  <c:v>34</c:v>
                </c:pt>
                <c:pt idx="5">
                  <c:v>21</c:v>
                </c:pt>
                <c:pt idx="6">
                  <c:v>9</c:v>
                </c:pt>
              </c:numCache>
            </c:numRef>
          </c:val>
          <c:extLst>
            <c:ext xmlns:c16="http://schemas.microsoft.com/office/drawing/2014/chart" uri="{C3380CC4-5D6E-409C-BE32-E72D297353CC}">
              <c16:uniqueId val="{00000000-B8C9-4DD6-856E-47F3543A4143}"/>
            </c:ext>
          </c:extLst>
        </c:ser>
        <c:dLbls>
          <c:dLblPos val="outEnd"/>
          <c:showLegendKey val="0"/>
          <c:showVal val="1"/>
          <c:showCatName val="0"/>
          <c:showSerName val="0"/>
          <c:showPercent val="0"/>
          <c:showBubbleSize val="0"/>
        </c:dLbls>
        <c:gapWidth val="219"/>
        <c:overlap val="-27"/>
        <c:axId val="574137200"/>
        <c:axId val="574133360"/>
      </c:barChart>
      <c:catAx>
        <c:axId val="57413720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a:t>
                </a:r>
                <a:r>
                  <a:rPr lang="en-US" b="1" baseline="0"/>
                  <a:t> Segments</a:t>
                </a:r>
                <a:endParaRPr lang="en-US"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133360"/>
        <c:crosses val="autoZero"/>
        <c:auto val="1"/>
        <c:lblAlgn val="ctr"/>
        <c:lblOffset val="100"/>
        <c:noMultiLvlLbl val="0"/>
      </c:catAx>
      <c:valAx>
        <c:axId val="574133360"/>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137200"/>
        <c:crosses val="autoZero"/>
        <c:crossBetween val="between"/>
      </c:valAx>
      <c:spPr>
        <a:noFill/>
        <a:ln>
          <a:no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Purchase Frequency vs Monetary Value</a:t>
            </a:r>
          </a:p>
        </c:rich>
      </c:tx>
      <c:overlay val="0"/>
      <c:spPr>
        <a:noFill/>
        <a:ln>
          <a:noFill/>
        </a:ln>
        <a:effectLst/>
      </c:spPr>
    </c:title>
    <c:autoTitleDeleted val="0"/>
    <c:plotArea>
      <c:layout/>
      <c:scatterChart>
        <c:scatterStyle val="lineMarker"/>
        <c:varyColors val="0"/>
        <c:ser>
          <c:idx val="0"/>
          <c:order val="0"/>
          <c:tx>
            <c:v>Customer Frequency vs Monetary</c:v>
          </c:tx>
          <c:spPr>
            <a:ln w="25400" cap="rnd">
              <a:noFill/>
              <a:round/>
            </a:ln>
            <a:effectLst/>
          </c:spPr>
          <c:marker>
            <c:symbol val="circle"/>
            <c:size val="5"/>
            <c:spPr>
              <a:solidFill>
                <a:schemeClr val="accent1"/>
              </a:solidFill>
              <a:ln w="9525">
                <a:solidFill>
                  <a:schemeClr val="accent1"/>
                </a:solidFill>
              </a:ln>
              <a:effectLst/>
            </c:spPr>
          </c:marker>
          <c:xVal>
            <c:numRef>
              <c:f>'Customer Segment Pivot Table'!$P$20:$P$306</c:f>
              <c:numCache>
                <c:formatCode>General</c:formatCode>
                <c:ptCount val="287"/>
                <c:pt idx="0">
                  <c:v>13</c:v>
                </c:pt>
                <c:pt idx="1">
                  <c:v>12</c:v>
                </c:pt>
                <c:pt idx="2">
                  <c:v>14</c:v>
                </c:pt>
                <c:pt idx="3">
                  <c:v>13</c:v>
                </c:pt>
                <c:pt idx="4">
                  <c:v>11</c:v>
                </c:pt>
                <c:pt idx="5">
                  <c:v>14</c:v>
                </c:pt>
                <c:pt idx="6">
                  <c:v>13</c:v>
                </c:pt>
                <c:pt idx="7">
                  <c:v>12</c:v>
                </c:pt>
                <c:pt idx="8">
                  <c:v>11</c:v>
                </c:pt>
                <c:pt idx="9">
                  <c:v>8</c:v>
                </c:pt>
                <c:pt idx="10">
                  <c:v>8</c:v>
                </c:pt>
                <c:pt idx="11">
                  <c:v>8</c:v>
                </c:pt>
                <c:pt idx="12">
                  <c:v>8</c:v>
                </c:pt>
                <c:pt idx="13">
                  <c:v>9</c:v>
                </c:pt>
                <c:pt idx="14">
                  <c:v>10</c:v>
                </c:pt>
                <c:pt idx="15">
                  <c:v>10</c:v>
                </c:pt>
                <c:pt idx="16">
                  <c:v>10</c:v>
                </c:pt>
                <c:pt idx="17">
                  <c:v>7</c:v>
                </c:pt>
                <c:pt idx="18">
                  <c:v>8</c:v>
                </c:pt>
                <c:pt idx="19">
                  <c:v>11</c:v>
                </c:pt>
                <c:pt idx="20">
                  <c:v>5</c:v>
                </c:pt>
                <c:pt idx="21">
                  <c:v>5</c:v>
                </c:pt>
                <c:pt idx="22">
                  <c:v>13</c:v>
                </c:pt>
                <c:pt idx="23">
                  <c:v>8</c:v>
                </c:pt>
                <c:pt idx="24">
                  <c:v>8</c:v>
                </c:pt>
                <c:pt idx="25">
                  <c:v>8</c:v>
                </c:pt>
                <c:pt idx="26">
                  <c:v>8</c:v>
                </c:pt>
                <c:pt idx="27">
                  <c:v>11</c:v>
                </c:pt>
                <c:pt idx="28">
                  <c:v>7</c:v>
                </c:pt>
                <c:pt idx="29">
                  <c:v>8</c:v>
                </c:pt>
                <c:pt idx="30">
                  <c:v>10</c:v>
                </c:pt>
                <c:pt idx="31">
                  <c:v>9</c:v>
                </c:pt>
                <c:pt idx="32">
                  <c:v>11</c:v>
                </c:pt>
                <c:pt idx="33">
                  <c:v>9</c:v>
                </c:pt>
                <c:pt idx="34">
                  <c:v>6</c:v>
                </c:pt>
                <c:pt idx="35">
                  <c:v>8</c:v>
                </c:pt>
                <c:pt idx="36">
                  <c:v>4</c:v>
                </c:pt>
                <c:pt idx="37">
                  <c:v>7</c:v>
                </c:pt>
                <c:pt idx="38">
                  <c:v>7</c:v>
                </c:pt>
                <c:pt idx="39">
                  <c:v>12</c:v>
                </c:pt>
                <c:pt idx="40">
                  <c:v>9</c:v>
                </c:pt>
                <c:pt idx="41">
                  <c:v>10</c:v>
                </c:pt>
                <c:pt idx="42">
                  <c:v>6</c:v>
                </c:pt>
                <c:pt idx="43">
                  <c:v>7</c:v>
                </c:pt>
                <c:pt idx="44">
                  <c:v>7</c:v>
                </c:pt>
                <c:pt idx="45">
                  <c:v>8</c:v>
                </c:pt>
                <c:pt idx="46">
                  <c:v>7</c:v>
                </c:pt>
                <c:pt idx="47">
                  <c:v>6</c:v>
                </c:pt>
                <c:pt idx="48">
                  <c:v>5</c:v>
                </c:pt>
                <c:pt idx="49">
                  <c:v>6</c:v>
                </c:pt>
                <c:pt idx="50">
                  <c:v>9</c:v>
                </c:pt>
                <c:pt idx="51">
                  <c:v>11</c:v>
                </c:pt>
                <c:pt idx="52">
                  <c:v>6</c:v>
                </c:pt>
                <c:pt idx="53">
                  <c:v>7</c:v>
                </c:pt>
                <c:pt idx="54">
                  <c:v>7</c:v>
                </c:pt>
                <c:pt idx="55">
                  <c:v>6</c:v>
                </c:pt>
                <c:pt idx="56">
                  <c:v>10</c:v>
                </c:pt>
                <c:pt idx="57">
                  <c:v>8</c:v>
                </c:pt>
                <c:pt idx="58">
                  <c:v>7</c:v>
                </c:pt>
                <c:pt idx="59">
                  <c:v>6</c:v>
                </c:pt>
                <c:pt idx="60">
                  <c:v>8</c:v>
                </c:pt>
                <c:pt idx="61">
                  <c:v>7</c:v>
                </c:pt>
                <c:pt idx="62">
                  <c:v>6</c:v>
                </c:pt>
                <c:pt idx="63">
                  <c:v>7</c:v>
                </c:pt>
                <c:pt idx="64">
                  <c:v>9</c:v>
                </c:pt>
                <c:pt idx="65">
                  <c:v>7</c:v>
                </c:pt>
                <c:pt idx="66">
                  <c:v>14</c:v>
                </c:pt>
                <c:pt idx="67">
                  <c:v>8</c:v>
                </c:pt>
                <c:pt idx="68">
                  <c:v>4</c:v>
                </c:pt>
                <c:pt idx="69">
                  <c:v>9</c:v>
                </c:pt>
                <c:pt idx="70">
                  <c:v>12</c:v>
                </c:pt>
                <c:pt idx="71">
                  <c:v>10</c:v>
                </c:pt>
                <c:pt idx="72">
                  <c:v>6</c:v>
                </c:pt>
                <c:pt idx="73">
                  <c:v>12</c:v>
                </c:pt>
                <c:pt idx="74">
                  <c:v>8</c:v>
                </c:pt>
                <c:pt idx="75">
                  <c:v>10</c:v>
                </c:pt>
                <c:pt idx="76">
                  <c:v>7</c:v>
                </c:pt>
                <c:pt idx="77">
                  <c:v>7</c:v>
                </c:pt>
                <c:pt idx="78">
                  <c:v>5</c:v>
                </c:pt>
                <c:pt idx="79">
                  <c:v>7</c:v>
                </c:pt>
                <c:pt idx="80">
                  <c:v>5</c:v>
                </c:pt>
                <c:pt idx="81">
                  <c:v>8</c:v>
                </c:pt>
                <c:pt idx="82">
                  <c:v>9</c:v>
                </c:pt>
                <c:pt idx="83">
                  <c:v>7</c:v>
                </c:pt>
                <c:pt idx="84">
                  <c:v>10</c:v>
                </c:pt>
                <c:pt idx="85">
                  <c:v>12</c:v>
                </c:pt>
                <c:pt idx="86">
                  <c:v>8</c:v>
                </c:pt>
                <c:pt idx="87">
                  <c:v>7</c:v>
                </c:pt>
                <c:pt idx="88">
                  <c:v>9</c:v>
                </c:pt>
                <c:pt idx="89">
                  <c:v>11</c:v>
                </c:pt>
                <c:pt idx="90">
                  <c:v>5</c:v>
                </c:pt>
                <c:pt idx="91">
                  <c:v>6</c:v>
                </c:pt>
                <c:pt idx="92">
                  <c:v>8</c:v>
                </c:pt>
                <c:pt idx="93">
                  <c:v>5</c:v>
                </c:pt>
                <c:pt idx="94">
                  <c:v>10</c:v>
                </c:pt>
                <c:pt idx="95">
                  <c:v>5</c:v>
                </c:pt>
                <c:pt idx="96">
                  <c:v>7</c:v>
                </c:pt>
                <c:pt idx="97">
                  <c:v>9</c:v>
                </c:pt>
                <c:pt idx="98">
                  <c:v>8</c:v>
                </c:pt>
                <c:pt idx="99">
                  <c:v>10</c:v>
                </c:pt>
                <c:pt idx="100">
                  <c:v>9</c:v>
                </c:pt>
                <c:pt idx="101">
                  <c:v>7</c:v>
                </c:pt>
                <c:pt idx="102">
                  <c:v>8</c:v>
                </c:pt>
                <c:pt idx="103">
                  <c:v>7</c:v>
                </c:pt>
                <c:pt idx="104">
                  <c:v>9</c:v>
                </c:pt>
                <c:pt idx="105">
                  <c:v>7</c:v>
                </c:pt>
                <c:pt idx="106">
                  <c:v>7</c:v>
                </c:pt>
                <c:pt idx="107">
                  <c:v>8</c:v>
                </c:pt>
                <c:pt idx="108">
                  <c:v>4</c:v>
                </c:pt>
                <c:pt idx="109">
                  <c:v>7</c:v>
                </c:pt>
                <c:pt idx="110">
                  <c:v>7</c:v>
                </c:pt>
                <c:pt idx="111">
                  <c:v>6</c:v>
                </c:pt>
                <c:pt idx="112">
                  <c:v>5</c:v>
                </c:pt>
                <c:pt idx="113">
                  <c:v>3</c:v>
                </c:pt>
                <c:pt idx="114">
                  <c:v>5</c:v>
                </c:pt>
                <c:pt idx="115">
                  <c:v>6</c:v>
                </c:pt>
                <c:pt idx="116">
                  <c:v>5</c:v>
                </c:pt>
                <c:pt idx="117">
                  <c:v>7</c:v>
                </c:pt>
                <c:pt idx="118">
                  <c:v>11</c:v>
                </c:pt>
                <c:pt idx="119">
                  <c:v>7</c:v>
                </c:pt>
                <c:pt idx="120">
                  <c:v>7</c:v>
                </c:pt>
                <c:pt idx="121">
                  <c:v>5</c:v>
                </c:pt>
                <c:pt idx="122">
                  <c:v>6</c:v>
                </c:pt>
                <c:pt idx="123">
                  <c:v>7</c:v>
                </c:pt>
                <c:pt idx="124">
                  <c:v>7</c:v>
                </c:pt>
                <c:pt idx="125">
                  <c:v>10</c:v>
                </c:pt>
                <c:pt idx="126">
                  <c:v>8</c:v>
                </c:pt>
                <c:pt idx="127">
                  <c:v>5</c:v>
                </c:pt>
                <c:pt idx="128">
                  <c:v>6</c:v>
                </c:pt>
                <c:pt idx="129">
                  <c:v>8</c:v>
                </c:pt>
                <c:pt idx="130">
                  <c:v>8</c:v>
                </c:pt>
                <c:pt idx="131">
                  <c:v>6</c:v>
                </c:pt>
                <c:pt idx="132">
                  <c:v>5</c:v>
                </c:pt>
                <c:pt idx="133">
                  <c:v>8</c:v>
                </c:pt>
                <c:pt idx="134">
                  <c:v>8</c:v>
                </c:pt>
                <c:pt idx="135">
                  <c:v>4</c:v>
                </c:pt>
                <c:pt idx="136">
                  <c:v>7</c:v>
                </c:pt>
                <c:pt idx="137">
                  <c:v>4</c:v>
                </c:pt>
                <c:pt idx="138">
                  <c:v>6</c:v>
                </c:pt>
                <c:pt idx="139">
                  <c:v>7</c:v>
                </c:pt>
                <c:pt idx="140">
                  <c:v>10</c:v>
                </c:pt>
                <c:pt idx="141">
                  <c:v>6</c:v>
                </c:pt>
                <c:pt idx="142">
                  <c:v>12</c:v>
                </c:pt>
                <c:pt idx="143">
                  <c:v>5</c:v>
                </c:pt>
                <c:pt idx="144">
                  <c:v>5</c:v>
                </c:pt>
                <c:pt idx="145">
                  <c:v>8</c:v>
                </c:pt>
                <c:pt idx="146">
                  <c:v>5</c:v>
                </c:pt>
                <c:pt idx="147">
                  <c:v>3</c:v>
                </c:pt>
                <c:pt idx="148">
                  <c:v>4</c:v>
                </c:pt>
                <c:pt idx="149">
                  <c:v>6</c:v>
                </c:pt>
                <c:pt idx="150">
                  <c:v>6</c:v>
                </c:pt>
                <c:pt idx="151">
                  <c:v>3</c:v>
                </c:pt>
                <c:pt idx="152">
                  <c:v>4</c:v>
                </c:pt>
                <c:pt idx="153">
                  <c:v>6</c:v>
                </c:pt>
                <c:pt idx="154">
                  <c:v>11</c:v>
                </c:pt>
                <c:pt idx="155">
                  <c:v>3</c:v>
                </c:pt>
                <c:pt idx="156">
                  <c:v>5</c:v>
                </c:pt>
                <c:pt idx="157">
                  <c:v>6</c:v>
                </c:pt>
                <c:pt idx="158">
                  <c:v>2</c:v>
                </c:pt>
                <c:pt idx="159">
                  <c:v>8</c:v>
                </c:pt>
                <c:pt idx="160">
                  <c:v>5</c:v>
                </c:pt>
                <c:pt idx="161">
                  <c:v>6</c:v>
                </c:pt>
                <c:pt idx="162">
                  <c:v>11</c:v>
                </c:pt>
                <c:pt idx="163">
                  <c:v>7</c:v>
                </c:pt>
                <c:pt idx="164">
                  <c:v>7</c:v>
                </c:pt>
                <c:pt idx="165">
                  <c:v>6</c:v>
                </c:pt>
                <c:pt idx="166">
                  <c:v>5</c:v>
                </c:pt>
                <c:pt idx="167">
                  <c:v>9</c:v>
                </c:pt>
                <c:pt idx="168">
                  <c:v>2</c:v>
                </c:pt>
                <c:pt idx="169">
                  <c:v>7</c:v>
                </c:pt>
                <c:pt idx="170">
                  <c:v>9</c:v>
                </c:pt>
                <c:pt idx="171">
                  <c:v>10</c:v>
                </c:pt>
                <c:pt idx="172">
                  <c:v>8</c:v>
                </c:pt>
                <c:pt idx="173">
                  <c:v>6</c:v>
                </c:pt>
                <c:pt idx="174">
                  <c:v>5</c:v>
                </c:pt>
                <c:pt idx="175">
                  <c:v>11</c:v>
                </c:pt>
                <c:pt idx="176">
                  <c:v>5</c:v>
                </c:pt>
                <c:pt idx="177">
                  <c:v>6</c:v>
                </c:pt>
                <c:pt idx="178">
                  <c:v>7</c:v>
                </c:pt>
                <c:pt idx="179">
                  <c:v>9</c:v>
                </c:pt>
                <c:pt idx="180">
                  <c:v>7</c:v>
                </c:pt>
                <c:pt idx="181">
                  <c:v>5</c:v>
                </c:pt>
                <c:pt idx="182">
                  <c:v>13</c:v>
                </c:pt>
                <c:pt idx="183">
                  <c:v>5</c:v>
                </c:pt>
                <c:pt idx="184">
                  <c:v>6</c:v>
                </c:pt>
                <c:pt idx="185">
                  <c:v>10</c:v>
                </c:pt>
                <c:pt idx="186">
                  <c:v>9</c:v>
                </c:pt>
                <c:pt idx="187">
                  <c:v>7</c:v>
                </c:pt>
                <c:pt idx="188">
                  <c:v>5</c:v>
                </c:pt>
                <c:pt idx="189">
                  <c:v>9</c:v>
                </c:pt>
                <c:pt idx="190">
                  <c:v>5</c:v>
                </c:pt>
                <c:pt idx="191">
                  <c:v>7</c:v>
                </c:pt>
                <c:pt idx="192">
                  <c:v>6</c:v>
                </c:pt>
                <c:pt idx="193">
                  <c:v>6</c:v>
                </c:pt>
                <c:pt idx="194">
                  <c:v>4</c:v>
                </c:pt>
                <c:pt idx="195">
                  <c:v>8</c:v>
                </c:pt>
                <c:pt idx="196">
                  <c:v>10</c:v>
                </c:pt>
                <c:pt idx="197">
                  <c:v>5</c:v>
                </c:pt>
                <c:pt idx="198">
                  <c:v>7</c:v>
                </c:pt>
                <c:pt idx="199">
                  <c:v>8</c:v>
                </c:pt>
                <c:pt idx="200">
                  <c:v>6</c:v>
                </c:pt>
                <c:pt idx="201">
                  <c:v>8</c:v>
                </c:pt>
                <c:pt idx="202">
                  <c:v>7</c:v>
                </c:pt>
                <c:pt idx="203">
                  <c:v>5</c:v>
                </c:pt>
                <c:pt idx="204">
                  <c:v>3</c:v>
                </c:pt>
                <c:pt idx="205">
                  <c:v>7</c:v>
                </c:pt>
                <c:pt idx="206">
                  <c:v>5</c:v>
                </c:pt>
                <c:pt idx="207">
                  <c:v>9</c:v>
                </c:pt>
                <c:pt idx="208">
                  <c:v>4</c:v>
                </c:pt>
                <c:pt idx="209">
                  <c:v>7</c:v>
                </c:pt>
                <c:pt idx="210">
                  <c:v>6</c:v>
                </c:pt>
                <c:pt idx="211">
                  <c:v>4</c:v>
                </c:pt>
                <c:pt idx="212">
                  <c:v>6</c:v>
                </c:pt>
                <c:pt idx="213">
                  <c:v>8</c:v>
                </c:pt>
                <c:pt idx="214">
                  <c:v>6</c:v>
                </c:pt>
                <c:pt idx="215">
                  <c:v>5</c:v>
                </c:pt>
                <c:pt idx="216">
                  <c:v>7</c:v>
                </c:pt>
                <c:pt idx="217">
                  <c:v>4</c:v>
                </c:pt>
                <c:pt idx="218">
                  <c:v>5</c:v>
                </c:pt>
                <c:pt idx="219">
                  <c:v>4</c:v>
                </c:pt>
                <c:pt idx="220">
                  <c:v>6</c:v>
                </c:pt>
                <c:pt idx="221">
                  <c:v>2</c:v>
                </c:pt>
                <c:pt idx="222">
                  <c:v>5</c:v>
                </c:pt>
                <c:pt idx="223">
                  <c:v>5</c:v>
                </c:pt>
                <c:pt idx="224">
                  <c:v>8</c:v>
                </c:pt>
                <c:pt idx="225">
                  <c:v>9</c:v>
                </c:pt>
                <c:pt idx="226">
                  <c:v>5</c:v>
                </c:pt>
                <c:pt idx="227">
                  <c:v>5</c:v>
                </c:pt>
                <c:pt idx="228">
                  <c:v>5</c:v>
                </c:pt>
                <c:pt idx="229">
                  <c:v>4</c:v>
                </c:pt>
                <c:pt idx="230">
                  <c:v>4</c:v>
                </c:pt>
                <c:pt idx="231">
                  <c:v>7</c:v>
                </c:pt>
                <c:pt idx="232">
                  <c:v>6</c:v>
                </c:pt>
                <c:pt idx="233">
                  <c:v>8</c:v>
                </c:pt>
                <c:pt idx="234">
                  <c:v>8</c:v>
                </c:pt>
                <c:pt idx="235">
                  <c:v>9</c:v>
                </c:pt>
                <c:pt idx="236">
                  <c:v>7</c:v>
                </c:pt>
                <c:pt idx="237">
                  <c:v>4</c:v>
                </c:pt>
                <c:pt idx="238">
                  <c:v>6</c:v>
                </c:pt>
                <c:pt idx="239">
                  <c:v>7</c:v>
                </c:pt>
                <c:pt idx="240">
                  <c:v>5</c:v>
                </c:pt>
                <c:pt idx="241">
                  <c:v>6</c:v>
                </c:pt>
                <c:pt idx="242">
                  <c:v>7</c:v>
                </c:pt>
                <c:pt idx="243">
                  <c:v>6</c:v>
                </c:pt>
                <c:pt idx="244">
                  <c:v>3</c:v>
                </c:pt>
                <c:pt idx="245">
                  <c:v>5</c:v>
                </c:pt>
                <c:pt idx="246">
                  <c:v>5</c:v>
                </c:pt>
                <c:pt idx="247">
                  <c:v>7</c:v>
                </c:pt>
                <c:pt idx="248">
                  <c:v>6</c:v>
                </c:pt>
                <c:pt idx="249">
                  <c:v>7</c:v>
                </c:pt>
                <c:pt idx="250">
                  <c:v>5</c:v>
                </c:pt>
                <c:pt idx="251">
                  <c:v>7</c:v>
                </c:pt>
                <c:pt idx="252">
                  <c:v>8</c:v>
                </c:pt>
                <c:pt idx="253">
                  <c:v>8</c:v>
                </c:pt>
                <c:pt idx="254">
                  <c:v>6</c:v>
                </c:pt>
                <c:pt idx="255">
                  <c:v>6</c:v>
                </c:pt>
                <c:pt idx="256">
                  <c:v>5</c:v>
                </c:pt>
                <c:pt idx="257">
                  <c:v>3</c:v>
                </c:pt>
                <c:pt idx="258">
                  <c:v>2</c:v>
                </c:pt>
                <c:pt idx="259">
                  <c:v>3</c:v>
                </c:pt>
                <c:pt idx="260">
                  <c:v>3</c:v>
                </c:pt>
                <c:pt idx="261">
                  <c:v>5</c:v>
                </c:pt>
                <c:pt idx="262">
                  <c:v>5</c:v>
                </c:pt>
                <c:pt idx="263">
                  <c:v>6</c:v>
                </c:pt>
                <c:pt idx="264">
                  <c:v>3</c:v>
                </c:pt>
                <c:pt idx="265">
                  <c:v>3</c:v>
                </c:pt>
                <c:pt idx="266">
                  <c:v>3</c:v>
                </c:pt>
                <c:pt idx="267">
                  <c:v>5</c:v>
                </c:pt>
                <c:pt idx="268">
                  <c:v>6</c:v>
                </c:pt>
                <c:pt idx="269">
                  <c:v>3</c:v>
                </c:pt>
                <c:pt idx="270">
                  <c:v>7</c:v>
                </c:pt>
                <c:pt idx="271">
                  <c:v>3</c:v>
                </c:pt>
                <c:pt idx="272">
                  <c:v>2</c:v>
                </c:pt>
                <c:pt idx="273">
                  <c:v>5</c:v>
                </c:pt>
                <c:pt idx="274">
                  <c:v>3</c:v>
                </c:pt>
                <c:pt idx="275">
                  <c:v>3</c:v>
                </c:pt>
                <c:pt idx="276">
                  <c:v>5</c:v>
                </c:pt>
                <c:pt idx="277">
                  <c:v>3</c:v>
                </c:pt>
                <c:pt idx="278">
                  <c:v>4</c:v>
                </c:pt>
                <c:pt idx="279">
                  <c:v>5</c:v>
                </c:pt>
                <c:pt idx="280">
                  <c:v>4</c:v>
                </c:pt>
                <c:pt idx="281">
                  <c:v>1</c:v>
                </c:pt>
                <c:pt idx="282">
                  <c:v>1</c:v>
                </c:pt>
                <c:pt idx="283">
                  <c:v>4</c:v>
                </c:pt>
                <c:pt idx="284">
                  <c:v>1</c:v>
                </c:pt>
                <c:pt idx="285">
                  <c:v>2</c:v>
                </c:pt>
                <c:pt idx="286">
                  <c:v>3</c:v>
                </c:pt>
              </c:numCache>
            </c:numRef>
          </c:xVal>
          <c:yVal>
            <c:numRef>
              <c:f>'Customer Segment Pivot Table'!$Q$20:$Q$306</c:f>
              <c:numCache>
                <c:formatCode>General</c:formatCode>
                <c:ptCount val="287"/>
                <c:pt idx="0">
                  <c:v>4280400</c:v>
                </c:pt>
                <c:pt idx="1">
                  <c:v>3954450</c:v>
                </c:pt>
                <c:pt idx="2">
                  <c:v>3940920</c:v>
                </c:pt>
                <c:pt idx="3">
                  <c:v>3100830</c:v>
                </c:pt>
                <c:pt idx="4">
                  <c:v>3057780</c:v>
                </c:pt>
                <c:pt idx="5">
                  <c:v>3036870</c:v>
                </c:pt>
                <c:pt idx="6">
                  <c:v>2765040</c:v>
                </c:pt>
                <c:pt idx="7">
                  <c:v>2739210</c:v>
                </c:pt>
                <c:pt idx="8">
                  <c:v>2719530</c:v>
                </c:pt>
                <c:pt idx="9">
                  <c:v>2669100</c:v>
                </c:pt>
                <c:pt idx="10">
                  <c:v>2626050</c:v>
                </c:pt>
                <c:pt idx="11">
                  <c:v>2607600</c:v>
                </c:pt>
                <c:pt idx="12">
                  <c:v>2521500</c:v>
                </c:pt>
                <c:pt idx="13">
                  <c:v>2392350</c:v>
                </c:pt>
                <c:pt idx="14">
                  <c:v>2303790</c:v>
                </c:pt>
                <c:pt idx="15">
                  <c:v>2303790</c:v>
                </c:pt>
                <c:pt idx="16">
                  <c:v>2301330</c:v>
                </c:pt>
                <c:pt idx="17">
                  <c:v>2287800</c:v>
                </c:pt>
                <c:pt idx="18">
                  <c:v>2273040</c:v>
                </c:pt>
                <c:pt idx="19">
                  <c:v>2250900</c:v>
                </c:pt>
                <c:pt idx="20">
                  <c:v>2247210</c:v>
                </c:pt>
                <c:pt idx="21">
                  <c:v>2201700</c:v>
                </c:pt>
                <c:pt idx="22">
                  <c:v>2200470</c:v>
                </c:pt>
                <c:pt idx="23">
                  <c:v>2195550</c:v>
                </c:pt>
                <c:pt idx="24">
                  <c:v>2164800</c:v>
                </c:pt>
                <c:pt idx="25">
                  <c:v>2163570</c:v>
                </c:pt>
                <c:pt idx="26">
                  <c:v>2097150</c:v>
                </c:pt>
                <c:pt idx="27">
                  <c:v>2028270</c:v>
                </c:pt>
                <c:pt idx="28">
                  <c:v>1992600</c:v>
                </c:pt>
                <c:pt idx="29">
                  <c:v>1944630</c:v>
                </c:pt>
                <c:pt idx="30">
                  <c:v>1943400</c:v>
                </c:pt>
                <c:pt idx="31">
                  <c:v>1937250</c:v>
                </c:pt>
                <c:pt idx="32">
                  <c:v>1924950</c:v>
                </c:pt>
                <c:pt idx="33">
                  <c:v>1912650</c:v>
                </c:pt>
                <c:pt idx="34">
                  <c:v>1894200</c:v>
                </c:pt>
                <c:pt idx="35">
                  <c:v>1881900</c:v>
                </c:pt>
                <c:pt idx="36">
                  <c:v>1869600</c:v>
                </c:pt>
                <c:pt idx="37">
                  <c:v>1867140</c:v>
                </c:pt>
                <c:pt idx="38">
                  <c:v>1840080</c:v>
                </c:pt>
                <c:pt idx="39">
                  <c:v>1820400</c:v>
                </c:pt>
                <c:pt idx="40">
                  <c:v>1810560</c:v>
                </c:pt>
                <c:pt idx="41">
                  <c:v>1795800</c:v>
                </c:pt>
                <c:pt idx="42">
                  <c:v>1790880</c:v>
                </c:pt>
                <c:pt idx="43">
                  <c:v>1788420</c:v>
                </c:pt>
                <c:pt idx="44">
                  <c:v>1771200</c:v>
                </c:pt>
                <c:pt idx="45">
                  <c:v>1746600</c:v>
                </c:pt>
                <c:pt idx="46">
                  <c:v>1740450</c:v>
                </c:pt>
                <c:pt idx="47">
                  <c:v>1722000</c:v>
                </c:pt>
                <c:pt idx="48">
                  <c:v>1717080</c:v>
                </c:pt>
                <c:pt idx="49">
                  <c:v>1688790</c:v>
                </c:pt>
                <c:pt idx="50">
                  <c:v>1686330</c:v>
                </c:pt>
                <c:pt idx="51">
                  <c:v>1678950</c:v>
                </c:pt>
                <c:pt idx="52">
                  <c:v>1672800</c:v>
                </c:pt>
                <c:pt idx="53">
                  <c:v>1672800</c:v>
                </c:pt>
                <c:pt idx="54">
                  <c:v>1661730</c:v>
                </c:pt>
                <c:pt idx="55">
                  <c:v>1654350</c:v>
                </c:pt>
                <c:pt idx="56">
                  <c:v>1637130</c:v>
                </c:pt>
                <c:pt idx="57">
                  <c:v>1635900</c:v>
                </c:pt>
                <c:pt idx="58">
                  <c:v>1635900</c:v>
                </c:pt>
                <c:pt idx="59">
                  <c:v>1626060</c:v>
                </c:pt>
                <c:pt idx="60">
                  <c:v>1621140</c:v>
                </c:pt>
                <c:pt idx="61">
                  <c:v>1559640</c:v>
                </c:pt>
                <c:pt idx="62">
                  <c:v>1537500</c:v>
                </c:pt>
                <c:pt idx="63">
                  <c:v>1537500</c:v>
                </c:pt>
                <c:pt idx="64">
                  <c:v>1535040</c:v>
                </c:pt>
                <c:pt idx="65">
                  <c:v>1519050</c:v>
                </c:pt>
                <c:pt idx="66">
                  <c:v>1519050</c:v>
                </c:pt>
                <c:pt idx="67">
                  <c:v>1488300</c:v>
                </c:pt>
                <c:pt idx="68">
                  <c:v>1488300</c:v>
                </c:pt>
                <c:pt idx="69">
                  <c:v>1484610</c:v>
                </c:pt>
                <c:pt idx="70">
                  <c:v>1474770</c:v>
                </c:pt>
                <c:pt idx="71">
                  <c:v>1473540</c:v>
                </c:pt>
                <c:pt idx="72">
                  <c:v>1457550</c:v>
                </c:pt>
                <c:pt idx="73">
                  <c:v>1448940</c:v>
                </c:pt>
                <c:pt idx="74">
                  <c:v>1446480</c:v>
                </c:pt>
                <c:pt idx="75">
                  <c:v>1439100</c:v>
                </c:pt>
                <c:pt idx="76">
                  <c:v>1431720</c:v>
                </c:pt>
                <c:pt idx="77">
                  <c:v>1421880</c:v>
                </c:pt>
                <c:pt idx="78">
                  <c:v>1414500</c:v>
                </c:pt>
                <c:pt idx="79">
                  <c:v>1414500</c:v>
                </c:pt>
                <c:pt idx="80">
                  <c:v>1408350</c:v>
                </c:pt>
                <c:pt idx="81">
                  <c:v>1398510</c:v>
                </c:pt>
                <c:pt idx="82">
                  <c:v>1394820</c:v>
                </c:pt>
                <c:pt idx="83">
                  <c:v>1389900</c:v>
                </c:pt>
                <c:pt idx="84">
                  <c:v>1383750</c:v>
                </c:pt>
                <c:pt idx="85">
                  <c:v>1382520</c:v>
                </c:pt>
                <c:pt idx="86">
                  <c:v>1359150</c:v>
                </c:pt>
                <c:pt idx="87">
                  <c:v>1332090</c:v>
                </c:pt>
                <c:pt idx="88">
                  <c:v>1325940</c:v>
                </c:pt>
                <c:pt idx="89">
                  <c:v>1323480</c:v>
                </c:pt>
                <c:pt idx="90">
                  <c:v>1322250</c:v>
                </c:pt>
                <c:pt idx="91">
                  <c:v>1311180</c:v>
                </c:pt>
                <c:pt idx="92">
                  <c:v>1301340</c:v>
                </c:pt>
                <c:pt idx="93">
                  <c:v>1291500</c:v>
                </c:pt>
                <c:pt idx="94">
                  <c:v>1282890</c:v>
                </c:pt>
                <c:pt idx="95">
                  <c:v>1271820</c:v>
                </c:pt>
                <c:pt idx="96">
                  <c:v>1265670</c:v>
                </c:pt>
                <c:pt idx="97">
                  <c:v>1261980</c:v>
                </c:pt>
                <c:pt idx="98">
                  <c:v>1259520</c:v>
                </c:pt>
                <c:pt idx="99">
                  <c:v>1254600</c:v>
                </c:pt>
                <c:pt idx="100">
                  <c:v>1244760</c:v>
                </c:pt>
                <c:pt idx="101">
                  <c:v>1242300</c:v>
                </c:pt>
                <c:pt idx="102">
                  <c:v>1232460</c:v>
                </c:pt>
                <c:pt idx="103">
                  <c:v>1225080</c:v>
                </c:pt>
                <c:pt idx="104">
                  <c:v>1222620</c:v>
                </c:pt>
                <c:pt idx="105">
                  <c:v>1221390</c:v>
                </c:pt>
                <c:pt idx="106">
                  <c:v>1210320</c:v>
                </c:pt>
                <c:pt idx="107">
                  <c:v>1207860</c:v>
                </c:pt>
                <c:pt idx="108">
                  <c:v>1205400</c:v>
                </c:pt>
                <c:pt idx="109">
                  <c:v>1194330</c:v>
                </c:pt>
                <c:pt idx="110">
                  <c:v>1180800</c:v>
                </c:pt>
                <c:pt idx="111">
                  <c:v>1175880</c:v>
                </c:pt>
                <c:pt idx="112">
                  <c:v>1168500</c:v>
                </c:pt>
                <c:pt idx="113">
                  <c:v>1168500</c:v>
                </c:pt>
                <c:pt idx="114">
                  <c:v>1167270</c:v>
                </c:pt>
                <c:pt idx="115">
                  <c:v>1167270</c:v>
                </c:pt>
                <c:pt idx="116">
                  <c:v>1161120</c:v>
                </c:pt>
                <c:pt idx="117">
                  <c:v>1153740</c:v>
                </c:pt>
                <c:pt idx="118">
                  <c:v>1145130</c:v>
                </c:pt>
                <c:pt idx="119">
                  <c:v>1143900</c:v>
                </c:pt>
                <c:pt idx="120">
                  <c:v>1137750</c:v>
                </c:pt>
                <c:pt idx="121">
                  <c:v>1126680</c:v>
                </c:pt>
                <c:pt idx="122">
                  <c:v>1125450</c:v>
                </c:pt>
                <c:pt idx="123">
                  <c:v>1124220</c:v>
                </c:pt>
                <c:pt idx="124">
                  <c:v>1119300</c:v>
                </c:pt>
                <c:pt idx="125">
                  <c:v>1118070</c:v>
                </c:pt>
                <c:pt idx="126">
                  <c:v>1113150</c:v>
                </c:pt>
                <c:pt idx="127">
                  <c:v>1107000</c:v>
                </c:pt>
                <c:pt idx="128">
                  <c:v>1107000</c:v>
                </c:pt>
                <c:pt idx="129">
                  <c:v>1103310</c:v>
                </c:pt>
                <c:pt idx="130">
                  <c:v>1100850</c:v>
                </c:pt>
                <c:pt idx="131">
                  <c:v>1081170</c:v>
                </c:pt>
                <c:pt idx="132">
                  <c:v>1079940</c:v>
                </c:pt>
                <c:pt idx="133">
                  <c:v>1077480</c:v>
                </c:pt>
                <c:pt idx="134">
                  <c:v>1075020</c:v>
                </c:pt>
                <c:pt idx="135">
                  <c:v>1073790</c:v>
                </c:pt>
                <c:pt idx="136">
                  <c:v>1067640</c:v>
                </c:pt>
                <c:pt idx="137">
                  <c:v>1057800</c:v>
                </c:pt>
                <c:pt idx="138">
                  <c:v>1057800</c:v>
                </c:pt>
                <c:pt idx="139">
                  <c:v>1046730</c:v>
                </c:pt>
                <c:pt idx="140">
                  <c:v>1041810</c:v>
                </c:pt>
                <c:pt idx="141">
                  <c:v>1039350</c:v>
                </c:pt>
                <c:pt idx="142">
                  <c:v>1030740</c:v>
                </c:pt>
                <c:pt idx="143">
                  <c:v>1028280</c:v>
                </c:pt>
                <c:pt idx="144">
                  <c:v>1024590</c:v>
                </c:pt>
                <c:pt idx="145">
                  <c:v>1022130</c:v>
                </c:pt>
                <c:pt idx="146">
                  <c:v>1020900</c:v>
                </c:pt>
                <c:pt idx="147">
                  <c:v>1020900</c:v>
                </c:pt>
                <c:pt idx="148">
                  <c:v>1011060</c:v>
                </c:pt>
                <c:pt idx="149">
                  <c:v>1008600</c:v>
                </c:pt>
                <c:pt idx="150">
                  <c:v>1001220</c:v>
                </c:pt>
                <c:pt idx="151">
                  <c:v>977850</c:v>
                </c:pt>
                <c:pt idx="152">
                  <c:v>972930</c:v>
                </c:pt>
                <c:pt idx="153">
                  <c:v>959400</c:v>
                </c:pt>
                <c:pt idx="154">
                  <c:v>956940</c:v>
                </c:pt>
                <c:pt idx="155">
                  <c:v>953250</c:v>
                </c:pt>
                <c:pt idx="156">
                  <c:v>947100</c:v>
                </c:pt>
                <c:pt idx="157">
                  <c:v>940950</c:v>
                </c:pt>
                <c:pt idx="158">
                  <c:v>933570</c:v>
                </c:pt>
                <c:pt idx="159">
                  <c:v>931110</c:v>
                </c:pt>
                <c:pt idx="160">
                  <c:v>926190</c:v>
                </c:pt>
                <c:pt idx="161">
                  <c:v>907740</c:v>
                </c:pt>
                <c:pt idx="162">
                  <c:v>900360</c:v>
                </c:pt>
                <c:pt idx="163">
                  <c:v>899130</c:v>
                </c:pt>
                <c:pt idx="164">
                  <c:v>889290</c:v>
                </c:pt>
                <c:pt idx="165">
                  <c:v>885600</c:v>
                </c:pt>
                <c:pt idx="166">
                  <c:v>876990</c:v>
                </c:pt>
                <c:pt idx="167">
                  <c:v>870840</c:v>
                </c:pt>
                <c:pt idx="168">
                  <c:v>861000</c:v>
                </c:pt>
                <c:pt idx="169">
                  <c:v>861000</c:v>
                </c:pt>
                <c:pt idx="170">
                  <c:v>857310</c:v>
                </c:pt>
                <c:pt idx="171">
                  <c:v>854850</c:v>
                </c:pt>
                <c:pt idx="172">
                  <c:v>846240</c:v>
                </c:pt>
                <c:pt idx="173">
                  <c:v>842550</c:v>
                </c:pt>
                <c:pt idx="174">
                  <c:v>842550</c:v>
                </c:pt>
                <c:pt idx="175">
                  <c:v>838860</c:v>
                </c:pt>
                <c:pt idx="176">
                  <c:v>831480</c:v>
                </c:pt>
                <c:pt idx="177">
                  <c:v>817950</c:v>
                </c:pt>
                <c:pt idx="178">
                  <c:v>815490</c:v>
                </c:pt>
                <c:pt idx="179">
                  <c:v>814260</c:v>
                </c:pt>
                <c:pt idx="180">
                  <c:v>800730</c:v>
                </c:pt>
                <c:pt idx="181">
                  <c:v>798270</c:v>
                </c:pt>
                <c:pt idx="182">
                  <c:v>797040</c:v>
                </c:pt>
                <c:pt idx="183">
                  <c:v>793350</c:v>
                </c:pt>
                <c:pt idx="184">
                  <c:v>789660</c:v>
                </c:pt>
                <c:pt idx="185">
                  <c:v>787200</c:v>
                </c:pt>
                <c:pt idx="186">
                  <c:v>771210</c:v>
                </c:pt>
                <c:pt idx="187">
                  <c:v>768750</c:v>
                </c:pt>
                <c:pt idx="188">
                  <c:v>768750</c:v>
                </c:pt>
                <c:pt idx="189">
                  <c:v>762600</c:v>
                </c:pt>
                <c:pt idx="190">
                  <c:v>762600</c:v>
                </c:pt>
                <c:pt idx="191">
                  <c:v>757680</c:v>
                </c:pt>
                <c:pt idx="192">
                  <c:v>757680</c:v>
                </c:pt>
                <c:pt idx="193">
                  <c:v>750300</c:v>
                </c:pt>
                <c:pt idx="194">
                  <c:v>731850</c:v>
                </c:pt>
                <c:pt idx="195">
                  <c:v>730620</c:v>
                </c:pt>
                <c:pt idx="196">
                  <c:v>725700</c:v>
                </c:pt>
                <c:pt idx="197">
                  <c:v>719550</c:v>
                </c:pt>
                <c:pt idx="198">
                  <c:v>714630</c:v>
                </c:pt>
                <c:pt idx="199">
                  <c:v>713400</c:v>
                </c:pt>
                <c:pt idx="200">
                  <c:v>709710</c:v>
                </c:pt>
                <c:pt idx="201">
                  <c:v>688800</c:v>
                </c:pt>
                <c:pt idx="202">
                  <c:v>687570</c:v>
                </c:pt>
                <c:pt idx="203">
                  <c:v>683880</c:v>
                </c:pt>
                <c:pt idx="204">
                  <c:v>666660</c:v>
                </c:pt>
                <c:pt idx="205">
                  <c:v>659280</c:v>
                </c:pt>
                <c:pt idx="206">
                  <c:v>656820</c:v>
                </c:pt>
                <c:pt idx="207">
                  <c:v>654360</c:v>
                </c:pt>
                <c:pt idx="208">
                  <c:v>651900</c:v>
                </c:pt>
                <c:pt idx="209">
                  <c:v>646980</c:v>
                </c:pt>
                <c:pt idx="210">
                  <c:v>634680</c:v>
                </c:pt>
                <c:pt idx="211">
                  <c:v>633450</c:v>
                </c:pt>
                <c:pt idx="212">
                  <c:v>621150</c:v>
                </c:pt>
                <c:pt idx="213">
                  <c:v>611310</c:v>
                </c:pt>
                <c:pt idx="214">
                  <c:v>584250</c:v>
                </c:pt>
                <c:pt idx="215">
                  <c:v>584250</c:v>
                </c:pt>
                <c:pt idx="216">
                  <c:v>578100</c:v>
                </c:pt>
                <c:pt idx="217">
                  <c:v>578100</c:v>
                </c:pt>
                <c:pt idx="218">
                  <c:v>571950</c:v>
                </c:pt>
                <c:pt idx="219">
                  <c:v>565800</c:v>
                </c:pt>
                <c:pt idx="220">
                  <c:v>559650</c:v>
                </c:pt>
                <c:pt idx="221">
                  <c:v>553500</c:v>
                </c:pt>
                <c:pt idx="222">
                  <c:v>552270</c:v>
                </c:pt>
                <c:pt idx="223">
                  <c:v>552270</c:v>
                </c:pt>
                <c:pt idx="224">
                  <c:v>549810</c:v>
                </c:pt>
                <c:pt idx="225">
                  <c:v>541200</c:v>
                </c:pt>
                <c:pt idx="226">
                  <c:v>511680</c:v>
                </c:pt>
                <c:pt idx="227">
                  <c:v>506760</c:v>
                </c:pt>
                <c:pt idx="228">
                  <c:v>504300</c:v>
                </c:pt>
                <c:pt idx="229">
                  <c:v>503070</c:v>
                </c:pt>
                <c:pt idx="230">
                  <c:v>485850</c:v>
                </c:pt>
                <c:pt idx="231">
                  <c:v>477240</c:v>
                </c:pt>
                <c:pt idx="232">
                  <c:v>467400</c:v>
                </c:pt>
                <c:pt idx="233">
                  <c:v>457560</c:v>
                </c:pt>
                <c:pt idx="234">
                  <c:v>455100</c:v>
                </c:pt>
                <c:pt idx="235">
                  <c:v>453870</c:v>
                </c:pt>
                <c:pt idx="236">
                  <c:v>432960</c:v>
                </c:pt>
                <c:pt idx="237">
                  <c:v>430500</c:v>
                </c:pt>
                <c:pt idx="238">
                  <c:v>418200</c:v>
                </c:pt>
                <c:pt idx="239">
                  <c:v>387450</c:v>
                </c:pt>
                <c:pt idx="240">
                  <c:v>381300</c:v>
                </c:pt>
                <c:pt idx="241">
                  <c:v>375150</c:v>
                </c:pt>
                <c:pt idx="242">
                  <c:v>369000</c:v>
                </c:pt>
                <c:pt idx="243">
                  <c:v>361620</c:v>
                </c:pt>
                <c:pt idx="244">
                  <c:v>356700</c:v>
                </c:pt>
                <c:pt idx="245">
                  <c:v>354240</c:v>
                </c:pt>
                <c:pt idx="246">
                  <c:v>339480</c:v>
                </c:pt>
                <c:pt idx="247">
                  <c:v>339480</c:v>
                </c:pt>
                <c:pt idx="248">
                  <c:v>334560</c:v>
                </c:pt>
                <c:pt idx="249">
                  <c:v>330870</c:v>
                </c:pt>
                <c:pt idx="250">
                  <c:v>307500</c:v>
                </c:pt>
                <c:pt idx="251">
                  <c:v>301350</c:v>
                </c:pt>
                <c:pt idx="252">
                  <c:v>300120</c:v>
                </c:pt>
                <c:pt idx="253">
                  <c:v>300120</c:v>
                </c:pt>
                <c:pt idx="254">
                  <c:v>295200</c:v>
                </c:pt>
                <c:pt idx="255">
                  <c:v>292740</c:v>
                </c:pt>
                <c:pt idx="256">
                  <c:v>282900</c:v>
                </c:pt>
                <c:pt idx="257">
                  <c:v>277980</c:v>
                </c:pt>
                <c:pt idx="258">
                  <c:v>270600</c:v>
                </c:pt>
                <c:pt idx="259">
                  <c:v>270600</c:v>
                </c:pt>
                <c:pt idx="260">
                  <c:v>270600</c:v>
                </c:pt>
                <c:pt idx="261">
                  <c:v>264450</c:v>
                </c:pt>
                <c:pt idx="262">
                  <c:v>246000</c:v>
                </c:pt>
                <c:pt idx="263">
                  <c:v>238620</c:v>
                </c:pt>
                <c:pt idx="264">
                  <c:v>227550</c:v>
                </c:pt>
                <c:pt idx="265">
                  <c:v>226320</c:v>
                </c:pt>
                <c:pt idx="266">
                  <c:v>222630</c:v>
                </c:pt>
                <c:pt idx="267">
                  <c:v>210330</c:v>
                </c:pt>
                <c:pt idx="268">
                  <c:v>207870</c:v>
                </c:pt>
                <c:pt idx="269">
                  <c:v>195570</c:v>
                </c:pt>
                <c:pt idx="270">
                  <c:v>190650</c:v>
                </c:pt>
                <c:pt idx="271">
                  <c:v>184500</c:v>
                </c:pt>
                <c:pt idx="272">
                  <c:v>172200</c:v>
                </c:pt>
                <c:pt idx="273">
                  <c:v>166050</c:v>
                </c:pt>
                <c:pt idx="274">
                  <c:v>166050</c:v>
                </c:pt>
                <c:pt idx="275">
                  <c:v>166050</c:v>
                </c:pt>
                <c:pt idx="276">
                  <c:v>161130</c:v>
                </c:pt>
                <c:pt idx="277">
                  <c:v>158670</c:v>
                </c:pt>
                <c:pt idx="278">
                  <c:v>119310</c:v>
                </c:pt>
                <c:pt idx="279">
                  <c:v>116850</c:v>
                </c:pt>
                <c:pt idx="280">
                  <c:v>111930</c:v>
                </c:pt>
                <c:pt idx="281">
                  <c:v>110700</c:v>
                </c:pt>
                <c:pt idx="282">
                  <c:v>110700</c:v>
                </c:pt>
                <c:pt idx="283">
                  <c:v>104550</c:v>
                </c:pt>
                <c:pt idx="284">
                  <c:v>73800</c:v>
                </c:pt>
                <c:pt idx="285">
                  <c:v>73800</c:v>
                </c:pt>
                <c:pt idx="286">
                  <c:v>45510</c:v>
                </c:pt>
              </c:numCache>
            </c:numRef>
          </c:yVal>
          <c:smooth val="0"/>
          <c:extLst>
            <c:ext xmlns:c16="http://schemas.microsoft.com/office/drawing/2014/chart" uri="{C3380CC4-5D6E-409C-BE32-E72D297353CC}">
              <c16:uniqueId val="{00000000-60CE-4609-8F53-CC4287D01124}"/>
            </c:ext>
          </c:extLst>
        </c:ser>
        <c:dLbls>
          <c:showLegendKey val="0"/>
          <c:showVal val="0"/>
          <c:showCatName val="0"/>
          <c:showSerName val="0"/>
          <c:showPercent val="0"/>
          <c:showBubbleSize val="0"/>
        </c:dLbls>
        <c:axId val="759332960"/>
        <c:axId val="759333920"/>
      </c:scatterChart>
      <c:valAx>
        <c:axId val="75933296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sz="1000" b="1" i="0" u="none" strike="noStrike" baseline="0"/>
                  <a:t>Purchase  </a:t>
                </a:r>
                <a:r>
                  <a:rPr lang="en-US" b="1"/>
                  <a:t>Frequency</a:t>
                </a:r>
              </a:p>
            </c:rich>
          </c:tx>
          <c:overlay val="0"/>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33920"/>
        <c:crosses val="autoZero"/>
        <c:crossBetween val="midCat"/>
      </c:valAx>
      <c:valAx>
        <c:axId val="75933392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Monetary Value</a:t>
                </a:r>
              </a:p>
            </c:rich>
          </c:tx>
          <c:overlay val="0"/>
        </c:title>
        <c:numFmt formatCode="[&gt;=1000000]0.0,,&quot;M&quot;;[&gt;=1000]0.0,&quot;K&quot;;0.0"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9332960"/>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[sales_data.xlsx]Customer Segment Pivot Table!PT8_Revenue_by_Segment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Revenue</a:t>
            </a:r>
            <a:r>
              <a:rPr lang="en-US" b="1" baseline="0">
                <a:solidFill>
                  <a:srgbClr val="0070C0"/>
                </a:solidFill>
              </a:rPr>
              <a:t> By Segments</a:t>
            </a:r>
            <a:endParaRPr lang="en-US" b="1">
              <a:solidFill>
                <a:srgbClr val="0070C0"/>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Pivot Table'!$E$19</c:f>
              <c:strCache>
                <c:ptCount val="1"/>
                <c:pt idx="0">
                  <c:v>Total</c:v>
                </c:pt>
              </c:strCache>
            </c:strRef>
          </c:tx>
          <c:spPr>
            <a:solidFill>
              <a:schemeClr val="accent1"/>
            </a:solidFill>
            <a:ln>
              <a:noFill/>
            </a:ln>
            <a:effectLst/>
          </c:spPr>
          <c:invertIfNegative val="0"/>
          <c:dLbls>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 Pivot Table'!$D$20:$D$27</c:f>
              <c:strCache>
                <c:ptCount val="7"/>
                <c:pt idx="0">
                  <c:v>At Risk</c:v>
                </c:pt>
                <c:pt idx="1">
                  <c:v>Champions</c:v>
                </c:pt>
                <c:pt idx="2">
                  <c:v>Loyal Customers</c:v>
                </c:pt>
                <c:pt idx="3">
                  <c:v>Potential Loyal</c:v>
                </c:pt>
                <c:pt idx="4">
                  <c:v>New Customers</c:v>
                </c:pt>
                <c:pt idx="5">
                  <c:v>Lost/Churned</c:v>
                </c:pt>
                <c:pt idx="6">
                  <c:v>Low Engagement</c:v>
                </c:pt>
              </c:strCache>
            </c:strRef>
          </c:cat>
          <c:val>
            <c:numRef>
              <c:f>'Customer Segment Pivot Table'!$E$20:$E$27</c:f>
              <c:numCache>
                <c:formatCode>[&gt;=1000000]\ "BDT "#,##0.00,,"M";[&gt;=1000]\ "BDT "#,##0.00,"K";\ "BDT "#,##0.00</c:formatCode>
                <c:ptCount val="7"/>
                <c:pt idx="0">
                  <c:v>96347130</c:v>
                </c:pt>
                <c:pt idx="1">
                  <c:v>92890830</c:v>
                </c:pt>
                <c:pt idx="2">
                  <c:v>61673430</c:v>
                </c:pt>
                <c:pt idx="3">
                  <c:v>34200150</c:v>
                </c:pt>
                <c:pt idx="4">
                  <c:v>16365150</c:v>
                </c:pt>
                <c:pt idx="5">
                  <c:v>14045370</c:v>
                </c:pt>
                <c:pt idx="6">
                  <c:v>2562090</c:v>
                </c:pt>
              </c:numCache>
            </c:numRef>
          </c:val>
          <c:extLst>
            <c:ext xmlns:c16="http://schemas.microsoft.com/office/drawing/2014/chart" uri="{C3380CC4-5D6E-409C-BE32-E72D297353CC}">
              <c16:uniqueId val="{00000000-55CC-4B87-A025-2601C98B65E4}"/>
            </c:ext>
          </c:extLst>
        </c:ser>
        <c:dLbls>
          <c:dLblPos val="outEnd"/>
          <c:showLegendKey val="0"/>
          <c:showVal val="1"/>
          <c:showCatName val="0"/>
          <c:showSerName val="0"/>
          <c:showPercent val="0"/>
          <c:showBubbleSize val="0"/>
        </c:dLbls>
        <c:gapWidth val="219"/>
        <c:overlap val="-27"/>
        <c:axId val="959456559"/>
        <c:axId val="959457039"/>
      </c:barChart>
      <c:catAx>
        <c:axId val="9594565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Customer</a:t>
                </a:r>
                <a:r>
                  <a:rPr lang="en-US" baseline="0"/>
                  <a:t> 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57039"/>
        <c:crosses val="autoZero"/>
        <c:auto val="1"/>
        <c:lblAlgn val="ctr"/>
        <c:lblOffset val="100"/>
        <c:noMultiLvlLbl val="0"/>
      </c:catAx>
      <c:valAx>
        <c:axId val="959457039"/>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Revenue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94565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[sales_data.xlsx]Customer Segment Pivot Table!PT10_Average_Spending_by_Segment</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Average</a:t>
            </a:r>
            <a:r>
              <a:rPr lang="en-US" b="1" baseline="0">
                <a:solidFill>
                  <a:srgbClr val="0070C0"/>
                </a:solidFill>
              </a:rPr>
              <a:t> </a:t>
            </a:r>
            <a:r>
              <a:rPr lang="en-US" b="1">
                <a:solidFill>
                  <a:srgbClr val="0070C0"/>
                </a:solidFill>
              </a:rPr>
              <a:t>Spending</a:t>
            </a:r>
            <a:r>
              <a:rPr lang="en-US" b="1" baseline="0">
                <a:solidFill>
                  <a:srgbClr val="0070C0"/>
                </a:solidFill>
              </a:rPr>
              <a:t> </a:t>
            </a:r>
            <a:r>
              <a:rPr lang="en-US" b="1">
                <a:solidFill>
                  <a:srgbClr val="0070C0"/>
                </a:solidFill>
              </a:rPr>
              <a:t>by</a:t>
            </a:r>
            <a:r>
              <a:rPr lang="en-US" b="1" baseline="0">
                <a:solidFill>
                  <a:srgbClr val="0070C0"/>
                </a:solidFill>
              </a:rPr>
              <a:t> </a:t>
            </a:r>
            <a:r>
              <a:rPr lang="en-US" b="1">
                <a:solidFill>
                  <a:srgbClr val="0070C0"/>
                </a:solidFill>
              </a:rPr>
              <a:t>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00,,&quot;M&quot;;[&gt;=1000]0.00,&quot;K&quot;;0.0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00,,&quot;M&quot;;[&gt;=1000]0.00,&quot;K&quot;;0.0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0,,&quot;M&quot;;[&gt;=1000]0.00,&quot;K&quot;;0.0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Pivot Table'!$D$4</c:f>
              <c:strCache>
                <c:ptCount val="1"/>
                <c:pt idx="0">
                  <c:v>Total</c:v>
                </c:pt>
              </c:strCache>
            </c:strRef>
          </c:tx>
          <c:spPr>
            <a:solidFill>
              <a:schemeClr val="accent1"/>
            </a:solidFill>
            <a:ln>
              <a:noFill/>
            </a:ln>
            <a:effectLst/>
          </c:spPr>
          <c:invertIfNegative val="0"/>
          <c:dLbls>
            <c:numFmt formatCode="[&gt;=1000000]0.00,,&quot;M&quot;;[&gt;=1000]0.00,&quot;K&quot;;0.0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 Pivot Table'!$C$5:$C$12</c:f>
              <c:strCache>
                <c:ptCount val="7"/>
                <c:pt idx="0">
                  <c:v>Champions</c:v>
                </c:pt>
                <c:pt idx="1">
                  <c:v>At Risk</c:v>
                </c:pt>
                <c:pt idx="2">
                  <c:v>Loyal Customers</c:v>
                </c:pt>
                <c:pt idx="3">
                  <c:v>Potential Loyal</c:v>
                </c:pt>
                <c:pt idx="4">
                  <c:v>New Customers</c:v>
                </c:pt>
                <c:pt idx="5">
                  <c:v>Lost/Churned</c:v>
                </c:pt>
                <c:pt idx="6">
                  <c:v>Low Engagement</c:v>
                </c:pt>
              </c:strCache>
            </c:strRef>
          </c:cat>
          <c:val>
            <c:numRef>
              <c:f>'Customer Segment Pivot Table'!$D$5:$D$12</c:f>
              <c:numCache>
                <c:formatCode>[&gt;=1000000]\ "BDT "#,##0.00,,"M";[&gt;=1000]\ "BDT "#,##0.00,"K";\ "BDT "#,##0.00</c:formatCode>
                <c:ptCount val="7"/>
                <c:pt idx="0">
                  <c:v>1857816.6</c:v>
                </c:pt>
                <c:pt idx="1">
                  <c:v>1235219.6153846155</c:v>
                </c:pt>
                <c:pt idx="2">
                  <c:v>1063335</c:v>
                </c:pt>
                <c:pt idx="3">
                  <c:v>1005886.7647058824</c:v>
                </c:pt>
                <c:pt idx="4">
                  <c:v>779292.85714285716</c:v>
                </c:pt>
                <c:pt idx="5">
                  <c:v>379604.59459459462</c:v>
                </c:pt>
                <c:pt idx="6">
                  <c:v>284676.66666666669</c:v>
                </c:pt>
              </c:numCache>
            </c:numRef>
          </c:val>
          <c:extLst>
            <c:ext xmlns:c16="http://schemas.microsoft.com/office/drawing/2014/chart" uri="{C3380CC4-5D6E-409C-BE32-E72D297353CC}">
              <c16:uniqueId val="{00000000-A38F-4417-8695-9A953BA149D5}"/>
            </c:ext>
          </c:extLst>
        </c:ser>
        <c:dLbls>
          <c:dLblPos val="outEnd"/>
          <c:showLegendKey val="0"/>
          <c:showVal val="1"/>
          <c:showCatName val="0"/>
          <c:showSerName val="0"/>
          <c:showPercent val="0"/>
          <c:showBubbleSize val="0"/>
        </c:dLbls>
        <c:gapWidth val="219"/>
        <c:overlap val="-27"/>
        <c:axId val="1078213487"/>
        <c:axId val="1140104687"/>
      </c:barChart>
      <c:catAx>
        <c:axId val="1078213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 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40104687"/>
        <c:crosses val="autoZero"/>
        <c:auto val="1"/>
        <c:lblAlgn val="ctr"/>
        <c:lblOffset val="100"/>
        <c:noMultiLvlLbl val="0"/>
      </c:catAx>
      <c:valAx>
        <c:axId val="1140104687"/>
        <c:scaling>
          <c:orientation val="minMax"/>
        </c:scaling>
        <c:delete val="0"/>
        <c:axPos val="l"/>
        <c:majorGridlines>
          <c:spPr>
            <a:ln w="9525" cap="flat" cmpd="sng" algn="ctr">
              <a:solidFill>
                <a:schemeClr val="tx1">
                  <a:lumMod val="15000"/>
                  <a:lumOff val="85000"/>
                </a:schemeClr>
              </a:solidFill>
              <a:round/>
            </a:ln>
            <a:effectLst>
              <a:softEdge rad="10414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a:t>
                </a:r>
                <a:r>
                  <a:rPr lang="en-US" b="1" baseline="0"/>
                  <a:t> Spending</a:t>
                </a:r>
                <a:endParaRPr lang="en-US" b="1"/>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0,,&quot;M&quot;;[&gt;=1000]0.0,&quot;K&quot;;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82134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[sales_data.xlsx]Customer Segment Pivot Table!PT11_Average_Frequency_by_Segment</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Average</a:t>
            </a:r>
            <a:r>
              <a:rPr lang="en-US" b="1" baseline="0">
                <a:solidFill>
                  <a:srgbClr val="0070C0"/>
                </a:solidFill>
              </a:rPr>
              <a:t> </a:t>
            </a:r>
            <a:r>
              <a:rPr lang="en-US" b="1">
                <a:solidFill>
                  <a:srgbClr val="0070C0"/>
                </a:solidFill>
              </a:rPr>
              <a:t>Frequency</a:t>
            </a:r>
            <a:r>
              <a:rPr lang="en-US" b="1" baseline="0">
                <a:solidFill>
                  <a:srgbClr val="0070C0"/>
                </a:solidFill>
              </a:rPr>
              <a:t> </a:t>
            </a:r>
            <a:r>
              <a:rPr lang="en-US" b="1">
                <a:solidFill>
                  <a:srgbClr val="0070C0"/>
                </a:solidFill>
              </a:rPr>
              <a:t>by</a:t>
            </a:r>
            <a:r>
              <a:rPr lang="en-US" b="1" baseline="0">
                <a:solidFill>
                  <a:srgbClr val="0070C0"/>
                </a:solidFill>
              </a:rPr>
              <a:t> </a:t>
            </a:r>
            <a:r>
              <a:rPr lang="en-US" b="1">
                <a:solidFill>
                  <a:srgbClr val="0070C0"/>
                </a:solidFill>
              </a:rPr>
              <a:t>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Pivot Table'!$G$4</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 Pivot Table'!$F$5:$F$12</c:f>
              <c:strCache>
                <c:ptCount val="7"/>
                <c:pt idx="0">
                  <c:v>Champions</c:v>
                </c:pt>
                <c:pt idx="1">
                  <c:v>Loyal Customers</c:v>
                </c:pt>
                <c:pt idx="2">
                  <c:v>At Risk</c:v>
                </c:pt>
                <c:pt idx="3">
                  <c:v>Potential Loyal</c:v>
                </c:pt>
                <c:pt idx="4">
                  <c:v>New Customers</c:v>
                </c:pt>
                <c:pt idx="5">
                  <c:v>Low Engagement</c:v>
                </c:pt>
                <c:pt idx="6">
                  <c:v>Lost/Churned</c:v>
                </c:pt>
              </c:strCache>
            </c:strRef>
          </c:cat>
          <c:val>
            <c:numRef>
              <c:f>'Customer Segment Pivot Table'!$G$5:$G$12</c:f>
              <c:numCache>
                <c:formatCode>0.00</c:formatCode>
                <c:ptCount val="7"/>
                <c:pt idx="0">
                  <c:v>9.24</c:v>
                </c:pt>
                <c:pt idx="1">
                  <c:v>8.7586206896551726</c:v>
                </c:pt>
                <c:pt idx="2">
                  <c:v>6.7179487179487181</c:v>
                </c:pt>
                <c:pt idx="3">
                  <c:v>5.5882352941176467</c:v>
                </c:pt>
                <c:pt idx="4">
                  <c:v>4.5714285714285712</c:v>
                </c:pt>
                <c:pt idx="5">
                  <c:v>4.2222222222222223</c:v>
                </c:pt>
                <c:pt idx="6">
                  <c:v>3.7297297297297298</c:v>
                </c:pt>
              </c:numCache>
            </c:numRef>
          </c:val>
          <c:extLst>
            <c:ext xmlns:c16="http://schemas.microsoft.com/office/drawing/2014/chart" uri="{C3380CC4-5D6E-409C-BE32-E72D297353CC}">
              <c16:uniqueId val="{00000000-B929-40FD-8B4E-9E5B5B6EEB32}"/>
            </c:ext>
          </c:extLst>
        </c:ser>
        <c:dLbls>
          <c:dLblPos val="outEnd"/>
          <c:showLegendKey val="0"/>
          <c:showVal val="1"/>
          <c:showCatName val="0"/>
          <c:showSerName val="0"/>
          <c:showPercent val="0"/>
          <c:showBubbleSize val="0"/>
        </c:dLbls>
        <c:gapWidth val="219"/>
        <c:overlap val="-27"/>
        <c:axId val="1294009551"/>
        <c:axId val="1294010991"/>
      </c:barChart>
      <c:catAx>
        <c:axId val="1294009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 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010991"/>
        <c:crosses val="autoZero"/>
        <c:auto val="1"/>
        <c:lblAlgn val="ctr"/>
        <c:lblOffset val="100"/>
        <c:noMultiLvlLbl val="0"/>
      </c:catAx>
      <c:valAx>
        <c:axId val="1294010991"/>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Average Frequency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400955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[sales_data.xlsx]Customer Segment Pivot Table!PT9_Average_Recency_by_Segment</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Average</a:t>
            </a:r>
            <a:r>
              <a:rPr lang="en-US" b="1" baseline="0">
                <a:solidFill>
                  <a:srgbClr val="0070C0"/>
                </a:solidFill>
              </a:rPr>
              <a:t> </a:t>
            </a:r>
            <a:r>
              <a:rPr lang="en-US" b="1">
                <a:solidFill>
                  <a:srgbClr val="0070C0"/>
                </a:solidFill>
              </a:rPr>
              <a:t>Recency</a:t>
            </a:r>
            <a:r>
              <a:rPr lang="en-US" b="1" baseline="0">
                <a:solidFill>
                  <a:srgbClr val="0070C0"/>
                </a:solidFill>
              </a:rPr>
              <a:t> </a:t>
            </a:r>
            <a:r>
              <a:rPr lang="en-US" b="1">
                <a:solidFill>
                  <a:srgbClr val="0070C0"/>
                </a:solidFill>
              </a:rPr>
              <a:t>by</a:t>
            </a:r>
            <a:r>
              <a:rPr lang="en-US" b="1" baseline="0">
                <a:solidFill>
                  <a:srgbClr val="0070C0"/>
                </a:solidFill>
              </a:rPr>
              <a:t> </a:t>
            </a:r>
            <a:r>
              <a:rPr lang="en-US" b="1">
                <a:solidFill>
                  <a:srgbClr val="0070C0"/>
                </a:solidFill>
              </a:rPr>
              <a:t>Segment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'Customer Segment Pivot Table'!$I$19</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'Customer Segment Pivot Table'!$H$20:$H$27</c:f>
              <c:strCache>
                <c:ptCount val="7"/>
                <c:pt idx="0">
                  <c:v>Lost/Churned</c:v>
                </c:pt>
                <c:pt idx="1">
                  <c:v>At Risk</c:v>
                </c:pt>
                <c:pt idx="2">
                  <c:v>Low Engagement</c:v>
                </c:pt>
                <c:pt idx="3">
                  <c:v>Potential Loyal</c:v>
                </c:pt>
                <c:pt idx="4">
                  <c:v>Loyal Customers</c:v>
                </c:pt>
                <c:pt idx="5">
                  <c:v>New Customers</c:v>
                </c:pt>
                <c:pt idx="6">
                  <c:v>Champions</c:v>
                </c:pt>
              </c:strCache>
            </c:strRef>
          </c:cat>
          <c:val>
            <c:numRef>
              <c:f>'Customer Segment Pivot Table'!$I$20:$I$27</c:f>
              <c:numCache>
                <c:formatCode>0.00</c:formatCode>
                <c:ptCount val="7"/>
                <c:pt idx="0">
                  <c:v>242.27027027027026</c:v>
                </c:pt>
                <c:pt idx="1">
                  <c:v>188.69230769230768</c:v>
                </c:pt>
                <c:pt idx="2">
                  <c:v>67.222222222222229</c:v>
                </c:pt>
                <c:pt idx="3">
                  <c:v>53.294117647058826</c:v>
                </c:pt>
                <c:pt idx="4">
                  <c:v>44.896551724137929</c:v>
                </c:pt>
                <c:pt idx="5">
                  <c:v>23.333333333333332</c:v>
                </c:pt>
                <c:pt idx="6">
                  <c:v>20.9</c:v>
                </c:pt>
              </c:numCache>
            </c:numRef>
          </c:val>
          <c:extLst>
            <c:ext xmlns:c16="http://schemas.microsoft.com/office/drawing/2014/chart" uri="{C3380CC4-5D6E-409C-BE32-E72D297353CC}">
              <c16:uniqueId val="{00000000-E4DB-4960-A521-752F4FC4B14E}"/>
            </c:ext>
          </c:extLst>
        </c:ser>
        <c:dLbls>
          <c:dLblPos val="outEnd"/>
          <c:showLegendKey val="0"/>
          <c:showVal val="1"/>
          <c:showCatName val="0"/>
          <c:showSerName val="0"/>
          <c:showPercent val="0"/>
          <c:showBubbleSize val="0"/>
        </c:dLbls>
        <c:gapWidth val="219"/>
        <c:overlap val="-27"/>
        <c:axId val="1471394911"/>
        <c:axId val="1471404031"/>
      </c:barChart>
      <c:catAx>
        <c:axId val="1471394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Customer Segment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404031"/>
        <c:crosses val="autoZero"/>
        <c:auto val="1"/>
        <c:lblAlgn val="ctr"/>
        <c:lblOffset val="100"/>
        <c:noMultiLvlLbl val="0"/>
      </c:catAx>
      <c:valAx>
        <c:axId val="1471404031"/>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a:t>
                </a:r>
                <a:r>
                  <a:rPr lang="en-US" baseline="0"/>
                  <a:t> Recency</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13949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Customer Purchase Frequency vs Recency value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Customer Frequency value vs Recency value</c:v>
          </c:tx>
          <c:spPr>
            <a:ln w="19050" cap="rnd">
              <a:noFill/>
              <a:round/>
            </a:ln>
            <a:effectLst/>
          </c:spPr>
          <c:marker>
            <c:symbol val="circle"/>
            <c:size val="5"/>
            <c:spPr>
              <a:solidFill>
                <a:schemeClr val="accent1"/>
              </a:solidFill>
              <a:ln w="9525">
                <a:solidFill>
                  <a:schemeClr val="accent1"/>
                </a:solidFill>
              </a:ln>
              <a:effectLst/>
            </c:spPr>
          </c:marker>
          <c:xVal>
            <c:numRef>
              <c:f>'Customer Segment Pivot Table'!$F$32:$F$318</c:f>
              <c:numCache>
                <c:formatCode>General</c:formatCode>
                <c:ptCount val="287"/>
                <c:pt idx="0">
                  <c:v>14</c:v>
                </c:pt>
                <c:pt idx="1">
                  <c:v>14</c:v>
                </c:pt>
                <c:pt idx="2">
                  <c:v>14</c:v>
                </c:pt>
                <c:pt idx="3">
                  <c:v>13</c:v>
                </c:pt>
                <c:pt idx="4">
                  <c:v>13</c:v>
                </c:pt>
                <c:pt idx="5">
                  <c:v>13</c:v>
                </c:pt>
                <c:pt idx="6">
                  <c:v>13</c:v>
                </c:pt>
                <c:pt idx="7">
                  <c:v>13</c:v>
                </c:pt>
                <c:pt idx="8">
                  <c:v>12</c:v>
                </c:pt>
                <c:pt idx="9">
                  <c:v>12</c:v>
                </c:pt>
                <c:pt idx="10">
                  <c:v>12</c:v>
                </c:pt>
                <c:pt idx="11">
                  <c:v>12</c:v>
                </c:pt>
                <c:pt idx="12">
                  <c:v>12</c:v>
                </c:pt>
                <c:pt idx="13">
                  <c:v>12</c:v>
                </c:pt>
                <c:pt idx="14">
                  <c:v>12</c:v>
                </c:pt>
                <c:pt idx="15">
                  <c:v>11</c:v>
                </c:pt>
                <c:pt idx="16">
                  <c:v>11</c:v>
                </c:pt>
                <c:pt idx="17">
                  <c:v>11</c:v>
                </c:pt>
                <c:pt idx="18">
                  <c:v>11</c:v>
                </c:pt>
                <c:pt idx="19">
                  <c:v>11</c:v>
                </c:pt>
                <c:pt idx="20">
                  <c:v>11</c:v>
                </c:pt>
                <c:pt idx="21">
                  <c:v>11</c:v>
                </c:pt>
                <c:pt idx="22">
                  <c:v>11</c:v>
                </c:pt>
                <c:pt idx="23">
                  <c:v>11</c:v>
                </c:pt>
                <c:pt idx="24">
                  <c:v>11</c:v>
                </c:pt>
                <c:pt idx="25">
                  <c:v>11</c:v>
                </c:pt>
                <c:pt idx="26">
                  <c:v>10</c:v>
                </c:pt>
                <c:pt idx="27">
                  <c:v>10</c:v>
                </c:pt>
                <c:pt idx="28">
                  <c:v>10</c:v>
                </c:pt>
                <c:pt idx="29">
                  <c:v>10</c:v>
                </c:pt>
                <c:pt idx="30">
                  <c:v>10</c:v>
                </c:pt>
                <c:pt idx="31">
                  <c:v>10</c:v>
                </c:pt>
                <c:pt idx="32">
                  <c:v>10</c:v>
                </c:pt>
                <c:pt idx="33">
                  <c:v>10</c:v>
                </c:pt>
                <c:pt idx="34">
                  <c:v>10</c:v>
                </c:pt>
                <c:pt idx="35">
                  <c:v>10</c:v>
                </c:pt>
                <c:pt idx="36">
                  <c:v>10</c:v>
                </c:pt>
                <c:pt idx="37">
                  <c:v>10</c:v>
                </c:pt>
                <c:pt idx="38">
                  <c:v>10</c:v>
                </c:pt>
                <c:pt idx="39">
                  <c:v>10</c:v>
                </c:pt>
                <c:pt idx="40">
                  <c:v>10</c:v>
                </c:pt>
                <c:pt idx="41">
                  <c:v>10</c:v>
                </c:pt>
                <c:pt idx="42">
                  <c:v>9</c:v>
                </c:pt>
                <c:pt idx="43">
                  <c:v>9</c:v>
                </c:pt>
                <c:pt idx="44">
                  <c:v>9</c:v>
                </c:pt>
                <c:pt idx="45">
                  <c:v>9</c:v>
                </c:pt>
                <c:pt idx="46">
                  <c:v>9</c:v>
                </c:pt>
                <c:pt idx="47">
                  <c:v>9</c:v>
                </c:pt>
                <c:pt idx="48">
                  <c:v>9</c:v>
                </c:pt>
                <c:pt idx="49">
                  <c:v>9</c:v>
                </c:pt>
                <c:pt idx="50">
                  <c:v>9</c:v>
                </c:pt>
                <c:pt idx="51">
                  <c:v>9</c:v>
                </c:pt>
                <c:pt idx="52">
                  <c:v>9</c:v>
                </c:pt>
                <c:pt idx="53">
                  <c:v>9</c:v>
                </c:pt>
                <c:pt idx="54">
                  <c:v>9</c:v>
                </c:pt>
                <c:pt idx="55">
                  <c:v>9</c:v>
                </c:pt>
                <c:pt idx="56">
                  <c:v>9</c:v>
                </c:pt>
                <c:pt idx="57">
                  <c:v>9</c:v>
                </c:pt>
                <c:pt idx="58">
                  <c:v>9</c:v>
                </c:pt>
                <c:pt idx="59">
                  <c:v>9</c:v>
                </c:pt>
                <c:pt idx="60">
                  <c:v>9</c:v>
                </c:pt>
                <c:pt idx="61">
                  <c:v>9</c:v>
                </c:pt>
                <c:pt idx="62">
                  <c:v>8</c:v>
                </c:pt>
                <c:pt idx="63">
                  <c:v>8</c:v>
                </c:pt>
                <c:pt idx="64">
                  <c:v>8</c:v>
                </c:pt>
                <c:pt idx="65">
                  <c:v>8</c:v>
                </c:pt>
                <c:pt idx="66">
                  <c:v>8</c:v>
                </c:pt>
                <c:pt idx="67">
                  <c:v>8</c:v>
                </c:pt>
                <c:pt idx="68">
                  <c:v>8</c:v>
                </c:pt>
                <c:pt idx="69">
                  <c:v>8</c:v>
                </c:pt>
                <c:pt idx="70">
                  <c:v>8</c:v>
                </c:pt>
                <c:pt idx="71">
                  <c:v>8</c:v>
                </c:pt>
                <c:pt idx="72">
                  <c:v>8</c:v>
                </c:pt>
                <c:pt idx="73">
                  <c:v>8</c:v>
                </c:pt>
                <c:pt idx="74">
                  <c:v>8</c:v>
                </c:pt>
                <c:pt idx="75">
                  <c:v>8</c:v>
                </c:pt>
                <c:pt idx="76">
                  <c:v>8</c:v>
                </c:pt>
                <c:pt idx="77">
                  <c:v>8</c:v>
                </c:pt>
                <c:pt idx="78">
                  <c:v>8</c:v>
                </c:pt>
                <c:pt idx="79">
                  <c:v>8</c:v>
                </c:pt>
                <c:pt idx="80">
                  <c:v>8</c:v>
                </c:pt>
                <c:pt idx="81">
                  <c:v>8</c:v>
                </c:pt>
                <c:pt idx="82">
                  <c:v>8</c:v>
                </c:pt>
                <c:pt idx="83">
                  <c:v>8</c:v>
                </c:pt>
                <c:pt idx="84">
                  <c:v>8</c:v>
                </c:pt>
                <c:pt idx="85">
                  <c:v>8</c:v>
                </c:pt>
                <c:pt idx="86">
                  <c:v>8</c:v>
                </c:pt>
                <c:pt idx="87">
                  <c:v>8</c:v>
                </c:pt>
                <c:pt idx="88">
                  <c:v>8</c:v>
                </c:pt>
                <c:pt idx="89">
                  <c:v>8</c:v>
                </c:pt>
                <c:pt idx="90">
                  <c:v>8</c:v>
                </c:pt>
                <c:pt idx="91">
                  <c:v>8</c:v>
                </c:pt>
                <c:pt idx="92">
                  <c:v>8</c:v>
                </c:pt>
                <c:pt idx="93">
                  <c:v>8</c:v>
                </c:pt>
                <c:pt idx="94">
                  <c:v>8</c:v>
                </c:pt>
                <c:pt idx="95">
                  <c:v>8</c:v>
                </c:pt>
                <c:pt idx="96">
                  <c:v>8</c:v>
                </c:pt>
                <c:pt idx="97">
                  <c:v>8</c:v>
                </c:pt>
                <c:pt idx="98">
                  <c:v>8</c:v>
                </c:pt>
                <c:pt idx="99">
                  <c:v>8</c:v>
                </c:pt>
                <c:pt idx="100">
                  <c:v>8</c:v>
                </c:pt>
                <c:pt idx="101">
                  <c:v>7</c:v>
                </c:pt>
                <c:pt idx="102">
                  <c:v>7</c:v>
                </c:pt>
                <c:pt idx="103">
                  <c:v>7</c:v>
                </c:pt>
                <c:pt idx="104">
                  <c:v>7</c:v>
                </c:pt>
                <c:pt idx="105">
                  <c:v>7</c:v>
                </c:pt>
                <c:pt idx="106">
                  <c:v>7</c:v>
                </c:pt>
                <c:pt idx="107">
                  <c:v>7</c:v>
                </c:pt>
                <c:pt idx="108">
                  <c:v>7</c:v>
                </c:pt>
                <c:pt idx="109">
                  <c:v>7</c:v>
                </c:pt>
                <c:pt idx="110">
                  <c:v>7</c:v>
                </c:pt>
                <c:pt idx="111">
                  <c:v>7</c:v>
                </c:pt>
                <c:pt idx="112">
                  <c:v>7</c:v>
                </c:pt>
                <c:pt idx="113">
                  <c:v>7</c:v>
                </c:pt>
                <c:pt idx="114">
                  <c:v>7</c:v>
                </c:pt>
                <c:pt idx="115">
                  <c:v>7</c:v>
                </c:pt>
                <c:pt idx="116">
                  <c:v>7</c:v>
                </c:pt>
                <c:pt idx="117">
                  <c:v>7</c:v>
                </c:pt>
                <c:pt idx="118">
                  <c:v>7</c:v>
                </c:pt>
                <c:pt idx="119">
                  <c:v>7</c:v>
                </c:pt>
                <c:pt idx="120">
                  <c:v>7</c:v>
                </c:pt>
                <c:pt idx="121">
                  <c:v>7</c:v>
                </c:pt>
                <c:pt idx="122">
                  <c:v>7</c:v>
                </c:pt>
                <c:pt idx="123">
                  <c:v>7</c:v>
                </c:pt>
                <c:pt idx="124">
                  <c:v>7</c:v>
                </c:pt>
                <c:pt idx="125">
                  <c:v>7</c:v>
                </c:pt>
                <c:pt idx="126">
                  <c:v>7</c:v>
                </c:pt>
                <c:pt idx="127">
                  <c:v>7</c:v>
                </c:pt>
                <c:pt idx="128">
                  <c:v>7</c:v>
                </c:pt>
                <c:pt idx="129">
                  <c:v>7</c:v>
                </c:pt>
                <c:pt idx="130">
                  <c:v>7</c:v>
                </c:pt>
                <c:pt idx="131">
                  <c:v>7</c:v>
                </c:pt>
                <c:pt idx="132">
                  <c:v>7</c:v>
                </c:pt>
                <c:pt idx="133">
                  <c:v>7</c:v>
                </c:pt>
                <c:pt idx="134">
                  <c:v>7</c:v>
                </c:pt>
                <c:pt idx="135">
                  <c:v>7</c:v>
                </c:pt>
                <c:pt idx="136">
                  <c:v>7</c:v>
                </c:pt>
                <c:pt idx="137">
                  <c:v>7</c:v>
                </c:pt>
                <c:pt idx="138">
                  <c:v>7</c:v>
                </c:pt>
                <c:pt idx="139">
                  <c:v>7</c:v>
                </c:pt>
                <c:pt idx="140">
                  <c:v>7</c:v>
                </c:pt>
                <c:pt idx="141">
                  <c:v>7</c:v>
                </c:pt>
                <c:pt idx="142">
                  <c:v>7</c:v>
                </c:pt>
                <c:pt idx="143">
                  <c:v>7</c:v>
                </c:pt>
                <c:pt idx="144">
                  <c:v>7</c:v>
                </c:pt>
                <c:pt idx="145">
                  <c:v>7</c:v>
                </c:pt>
                <c:pt idx="146">
                  <c:v>7</c:v>
                </c:pt>
                <c:pt idx="147">
                  <c:v>7</c:v>
                </c:pt>
                <c:pt idx="148">
                  <c:v>7</c:v>
                </c:pt>
                <c:pt idx="149">
                  <c:v>7</c:v>
                </c:pt>
                <c:pt idx="150">
                  <c:v>7</c:v>
                </c:pt>
                <c:pt idx="151">
                  <c:v>7</c:v>
                </c:pt>
                <c:pt idx="152">
                  <c:v>7</c:v>
                </c:pt>
                <c:pt idx="153">
                  <c:v>6</c:v>
                </c:pt>
                <c:pt idx="154">
                  <c:v>6</c:v>
                </c:pt>
                <c:pt idx="155">
                  <c:v>6</c:v>
                </c:pt>
                <c:pt idx="156">
                  <c:v>6</c:v>
                </c:pt>
                <c:pt idx="157">
                  <c:v>6</c:v>
                </c:pt>
                <c:pt idx="158">
                  <c:v>6</c:v>
                </c:pt>
                <c:pt idx="159">
                  <c:v>6</c:v>
                </c:pt>
                <c:pt idx="160">
                  <c:v>6</c:v>
                </c:pt>
                <c:pt idx="161">
                  <c:v>6</c:v>
                </c:pt>
                <c:pt idx="162">
                  <c:v>6</c:v>
                </c:pt>
                <c:pt idx="163">
                  <c:v>6</c:v>
                </c:pt>
                <c:pt idx="164">
                  <c:v>6</c:v>
                </c:pt>
                <c:pt idx="165">
                  <c:v>6</c:v>
                </c:pt>
                <c:pt idx="166">
                  <c:v>6</c:v>
                </c:pt>
                <c:pt idx="167">
                  <c:v>6</c:v>
                </c:pt>
                <c:pt idx="168">
                  <c:v>6</c:v>
                </c:pt>
                <c:pt idx="169">
                  <c:v>6</c:v>
                </c:pt>
                <c:pt idx="170">
                  <c:v>6</c:v>
                </c:pt>
                <c:pt idx="171">
                  <c:v>6</c:v>
                </c:pt>
                <c:pt idx="172">
                  <c:v>6</c:v>
                </c:pt>
                <c:pt idx="173">
                  <c:v>6</c:v>
                </c:pt>
                <c:pt idx="174">
                  <c:v>6</c:v>
                </c:pt>
                <c:pt idx="175">
                  <c:v>6</c:v>
                </c:pt>
                <c:pt idx="176">
                  <c:v>6</c:v>
                </c:pt>
                <c:pt idx="177">
                  <c:v>6</c:v>
                </c:pt>
                <c:pt idx="178">
                  <c:v>6</c:v>
                </c:pt>
                <c:pt idx="179">
                  <c:v>6</c:v>
                </c:pt>
                <c:pt idx="180">
                  <c:v>6</c:v>
                </c:pt>
                <c:pt idx="181">
                  <c:v>6</c:v>
                </c:pt>
                <c:pt idx="182">
                  <c:v>6</c:v>
                </c:pt>
                <c:pt idx="183">
                  <c:v>6</c:v>
                </c:pt>
                <c:pt idx="184">
                  <c:v>6</c:v>
                </c:pt>
                <c:pt idx="185">
                  <c:v>6</c:v>
                </c:pt>
                <c:pt idx="186">
                  <c:v>6</c:v>
                </c:pt>
                <c:pt idx="187">
                  <c:v>6</c:v>
                </c:pt>
                <c:pt idx="188">
                  <c:v>6</c:v>
                </c:pt>
                <c:pt idx="189">
                  <c:v>6</c:v>
                </c:pt>
                <c:pt idx="190">
                  <c:v>6</c:v>
                </c:pt>
                <c:pt idx="191">
                  <c:v>6</c:v>
                </c:pt>
                <c:pt idx="192">
                  <c:v>6</c:v>
                </c:pt>
                <c:pt idx="193">
                  <c:v>6</c:v>
                </c:pt>
                <c:pt idx="194">
                  <c:v>6</c:v>
                </c:pt>
                <c:pt idx="195">
                  <c:v>5</c:v>
                </c:pt>
                <c:pt idx="196">
                  <c:v>5</c:v>
                </c:pt>
                <c:pt idx="197">
                  <c:v>5</c:v>
                </c:pt>
                <c:pt idx="198">
                  <c:v>5</c:v>
                </c:pt>
                <c:pt idx="199">
                  <c:v>5</c:v>
                </c:pt>
                <c:pt idx="200">
                  <c:v>5</c:v>
                </c:pt>
                <c:pt idx="201">
                  <c:v>5</c:v>
                </c:pt>
                <c:pt idx="202">
                  <c:v>5</c:v>
                </c:pt>
                <c:pt idx="203">
                  <c:v>5</c:v>
                </c:pt>
                <c:pt idx="204">
                  <c:v>5</c:v>
                </c:pt>
                <c:pt idx="205">
                  <c:v>5</c:v>
                </c:pt>
                <c:pt idx="206">
                  <c:v>5</c:v>
                </c:pt>
                <c:pt idx="207">
                  <c:v>5</c:v>
                </c:pt>
                <c:pt idx="208">
                  <c:v>5</c:v>
                </c:pt>
                <c:pt idx="209">
                  <c:v>5</c:v>
                </c:pt>
                <c:pt idx="210">
                  <c:v>5</c:v>
                </c:pt>
                <c:pt idx="211">
                  <c:v>5</c:v>
                </c:pt>
                <c:pt idx="212">
                  <c:v>5</c:v>
                </c:pt>
                <c:pt idx="213">
                  <c:v>5</c:v>
                </c:pt>
                <c:pt idx="214">
                  <c:v>5</c:v>
                </c:pt>
                <c:pt idx="215">
                  <c:v>5</c:v>
                </c:pt>
                <c:pt idx="216">
                  <c:v>5</c:v>
                </c:pt>
                <c:pt idx="217">
                  <c:v>5</c:v>
                </c:pt>
                <c:pt idx="218">
                  <c:v>5</c:v>
                </c:pt>
                <c:pt idx="219">
                  <c:v>5</c:v>
                </c:pt>
                <c:pt idx="220">
                  <c:v>5</c:v>
                </c:pt>
                <c:pt idx="221">
                  <c:v>5</c:v>
                </c:pt>
                <c:pt idx="222">
                  <c:v>5</c:v>
                </c:pt>
                <c:pt idx="223">
                  <c:v>5</c:v>
                </c:pt>
                <c:pt idx="224">
                  <c:v>5</c:v>
                </c:pt>
                <c:pt idx="225">
                  <c:v>5</c:v>
                </c:pt>
                <c:pt idx="226">
                  <c:v>5</c:v>
                </c:pt>
                <c:pt idx="227">
                  <c:v>5</c:v>
                </c:pt>
                <c:pt idx="228">
                  <c:v>5</c:v>
                </c:pt>
                <c:pt idx="229">
                  <c:v>5</c:v>
                </c:pt>
                <c:pt idx="230">
                  <c:v>5</c:v>
                </c:pt>
                <c:pt idx="231">
                  <c:v>5</c:v>
                </c:pt>
                <c:pt idx="232">
                  <c:v>5</c:v>
                </c:pt>
                <c:pt idx="233">
                  <c:v>5</c:v>
                </c:pt>
                <c:pt idx="234">
                  <c:v>5</c:v>
                </c:pt>
                <c:pt idx="235">
                  <c:v>5</c:v>
                </c:pt>
                <c:pt idx="236">
                  <c:v>5</c:v>
                </c:pt>
                <c:pt idx="237">
                  <c:v>5</c:v>
                </c:pt>
                <c:pt idx="238">
                  <c:v>5</c:v>
                </c:pt>
                <c:pt idx="239">
                  <c:v>5</c:v>
                </c:pt>
                <c:pt idx="240">
                  <c:v>5</c:v>
                </c:pt>
                <c:pt idx="241">
                  <c:v>5</c:v>
                </c:pt>
                <c:pt idx="242">
                  <c:v>4</c:v>
                </c:pt>
                <c:pt idx="243">
                  <c:v>4</c:v>
                </c:pt>
                <c:pt idx="244">
                  <c:v>4</c:v>
                </c:pt>
                <c:pt idx="245">
                  <c:v>4</c:v>
                </c:pt>
                <c:pt idx="246">
                  <c:v>4</c:v>
                </c:pt>
                <c:pt idx="247">
                  <c:v>4</c:v>
                </c:pt>
                <c:pt idx="248">
                  <c:v>4</c:v>
                </c:pt>
                <c:pt idx="249">
                  <c:v>4</c:v>
                </c:pt>
                <c:pt idx="250">
                  <c:v>4</c:v>
                </c:pt>
                <c:pt idx="251">
                  <c:v>4</c:v>
                </c:pt>
                <c:pt idx="252">
                  <c:v>4</c:v>
                </c:pt>
                <c:pt idx="253">
                  <c:v>4</c:v>
                </c:pt>
                <c:pt idx="254">
                  <c:v>4</c:v>
                </c:pt>
                <c:pt idx="255">
                  <c:v>4</c:v>
                </c:pt>
                <c:pt idx="256">
                  <c:v>4</c:v>
                </c:pt>
                <c:pt idx="257">
                  <c:v>4</c:v>
                </c:pt>
                <c:pt idx="258">
                  <c:v>4</c:v>
                </c:pt>
                <c:pt idx="259">
                  <c:v>4</c:v>
                </c:pt>
                <c:pt idx="260">
                  <c:v>3</c:v>
                </c:pt>
                <c:pt idx="261">
                  <c:v>3</c:v>
                </c:pt>
                <c:pt idx="262">
                  <c:v>3</c:v>
                </c:pt>
                <c:pt idx="263">
                  <c:v>3</c:v>
                </c:pt>
                <c:pt idx="264">
                  <c:v>3</c:v>
                </c:pt>
                <c:pt idx="265">
                  <c:v>3</c:v>
                </c:pt>
                <c:pt idx="266">
                  <c:v>3</c:v>
                </c:pt>
                <c:pt idx="267">
                  <c:v>3</c:v>
                </c:pt>
                <c:pt idx="268">
                  <c:v>3</c:v>
                </c:pt>
                <c:pt idx="269">
                  <c:v>3</c:v>
                </c:pt>
                <c:pt idx="270">
                  <c:v>3</c:v>
                </c:pt>
                <c:pt idx="271">
                  <c:v>3</c:v>
                </c:pt>
                <c:pt idx="272">
                  <c:v>3</c:v>
                </c:pt>
                <c:pt idx="273">
                  <c:v>3</c:v>
                </c:pt>
                <c:pt idx="274">
                  <c:v>3</c:v>
                </c:pt>
                <c:pt idx="275">
                  <c:v>3</c:v>
                </c:pt>
                <c:pt idx="276">
                  <c:v>3</c:v>
                </c:pt>
                <c:pt idx="277">
                  <c:v>3</c:v>
                </c:pt>
                <c:pt idx="278">
                  <c:v>2</c:v>
                </c:pt>
                <c:pt idx="279">
                  <c:v>2</c:v>
                </c:pt>
                <c:pt idx="280">
                  <c:v>2</c:v>
                </c:pt>
                <c:pt idx="281">
                  <c:v>2</c:v>
                </c:pt>
                <c:pt idx="282">
                  <c:v>2</c:v>
                </c:pt>
                <c:pt idx="283">
                  <c:v>2</c:v>
                </c:pt>
                <c:pt idx="284">
                  <c:v>1</c:v>
                </c:pt>
                <c:pt idx="285">
                  <c:v>1</c:v>
                </c:pt>
                <c:pt idx="286">
                  <c:v>1</c:v>
                </c:pt>
              </c:numCache>
            </c:numRef>
          </c:xVal>
          <c:yVal>
            <c:numRef>
              <c:f>'Customer Segment Pivot Table'!$G$32:$G$318</c:f>
              <c:numCache>
                <c:formatCode>General</c:formatCode>
                <c:ptCount val="287"/>
                <c:pt idx="0">
                  <c:v>81</c:v>
                </c:pt>
                <c:pt idx="1">
                  <c:v>61</c:v>
                </c:pt>
                <c:pt idx="2">
                  <c:v>46</c:v>
                </c:pt>
                <c:pt idx="3">
                  <c:v>1</c:v>
                </c:pt>
                <c:pt idx="4">
                  <c:v>1</c:v>
                </c:pt>
                <c:pt idx="5">
                  <c:v>14</c:v>
                </c:pt>
                <c:pt idx="6">
                  <c:v>11</c:v>
                </c:pt>
                <c:pt idx="7">
                  <c:v>19</c:v>
                </c:pt>
                <c:pt idx="8">
                  <c:v>24</c:v>
                </c:pt>
                <c:pt idx="9">
                  <c:v>33</c:v>
                </c:pt>
                <c:pt idx="10">
                  <c:v>7</c:v>
                </c:pt>
                <c:pt idx="11">
                  <c:v>26</c:v>
                </c:pt>
                <c:pt idx="12">
                  <c:v>9</c:v>
                </c:pt>
                <c:pt idx="13">
                  <c:v>15</c:v>
                </c:pt>
                <c:pt idx="14">
                  <c:v>63</c:v>
                </c:pt>
                <c:pt idx="15">
                  <c:v>141</c:v>
                </c:pt>
                <c:pt idx="16">
                  <c:v>270</c:v>
                </c:pt>
                <c:pt idx="17">
                  <c:v>53</c:v>
                </c:pt>
                <c:pt idx="18">
                  <c:v>12</c:v>
                </c:pt>
                <c:pt idx="19">
                  <c:v>128</c:v>
                </c:pt>
                <c:pt idx="20">
                  <c:v>1</c:v>
                </c:pt>
                <c:pt idx="21">
                  <c:v>28</c:v>
                </c:pt>
                <c:pt idx="22">
                  <c:v>13</c:v>
                </c:pt>
                <c:pt idx="23">
                  <c:v>44</c:v>
                </c:pt>
                <c:pt idx="24">
                  <c:v>7</c:v>
                </c:pt>
                <c:pt idx="25">
                  <c:v>35</c:v>
                </c:pt>
                <c:pt idx="26">
                  <c:v>6</c:v>
                </c:pt>
                <c:pt idx="27">
                  <c:v>2</c:v>
                </c:pt>
                <c:pt idx="28">
                  <c:v>247</c:v>
                </c:pt>
                <c:pt idx="29">
                  <c:v>117</c:v>
                </c:pt>
                <c:pt idx="30">
                  <c:v>31</c:v>
                </c:pt>
                <c:pt idx="31">
                  <c:v>9</c:v>
                </c:pt>
                <c:pt idx="32">
                  <c:v>39</c:v>
                </c:pt>
                <c:pt idx="33">
                  <c:v>34</c:v>
                </c:pt>
                <c:pt idx="34">
                  <c:v>75</c:v>
                </c:pt>
                <c:pt idx="35">
                  <c:v>38</c:v>
                </c:pt>
                <c:pt idx="36">
                  <c:v>38</c:v>
                </c:pt>
                <c:pt idx="37">
                  <c:v>25</c:v>
                </c:pt>
                <c:pt idx="38">
                  <c:v>53</c:v>
                </c:pt>
                <c:pt idx="39">
                  <c:v>66</c:v>
                </c:pt>
                <c:pt idx="40">
                  <c:v>21</c:v>
                </c:pt>
                <c:pt idx="41">
                  <c:v>7</c:v>
                </c:pt>
                <c:pt idx="42">
                  <c:v>65</c:v>
                </c:pt>
                <c:pt idx="43">
                  <c:v>43</c:v>
                </c:pt>
                <c:pt idx="44">
                  <c:v>41</c:v>
                </c:pt>
                <c:pt idx="45">
                  <c:v>8</c:v>
                </c:pt>
                <c:pt idx="46">
                  <c:v>121</c:v>
                </c:pt>
                <c:pt idx="47">
                  <c:v>9</c:v>
                </c:pt>
                <c:pt idx="48">
                  <c:v>16</c:v>
                </c:pt>
                <c:pt idx="49">
                  <c:v>143</c:v>
                </c:pt>
                <c:pt idx="50">
                  <c:v>7</c:v>
                </c:pt>
                <c:pt idx="51">
                  <c:v>49</c:v>
                </c:pt>
                <c:pt idx="52">
                  <c:v>159</c:v>
                </c:pt>
                <c:pt idx="53">
                  <c:v>64</c:v>
                </c:pt>
                <c:pt idx="54">
                  <c:v>138</c:v>
                </c:pt>
                <c:pt idx="55">
                  <c:v>25</c:v>
                </c:pt>
                <c:pt idx="56">
                  <c:v>30</c:v>
                </c:pt>
                <c:pt idx="57">
                  <c:v>93</c:v>
                </c:pt>
                <c:pt idx="58">
                  <c:v>14</c:v>
                </c:pt>
                <c:pt idx="59">
                  <c:v>138</c:v>
                </c:pt>
                <c:pt idx="60">
                  <c:v>55</c:v>
                </c:pt>
                <c:pt idx="61">
                  <c:v>14</c:v>
                </c:pt>
                <c:pt idx="62">
                  <c:v>401</c:v>
                </c:pt>
                <c:pt idx="63">
                  <c:v>170</c:v>
                </c:pt>
                <c:pt idx="64">
                  <c:v>118</c:v>
                </c:pt>
                <c:pt idx="65">
                  <c:v>98</c:v>
                </c:pt>
                <c:pt idx="66">
                  <c:v>128</c:v>
                </c:pt>
                <c:pt idx="67">
                  <c:v>1</c:v>
                </c:pt>
                <c:pt idx="68">
                  <c:v>2</c:v>
                </c:pt>
                <c:pt idx="69">
                  <c:v>113</c:v>
                </c:pt>
                <c:pt idx="70">
                  <c:v>31</c:v>
                </c:pt>
                <c:pt idx="71">
                  <c:v>109</c:v>
                </c:pt>
                <c:pt idx="72">
                  <c:v>144</c:v>
                </c:pt>
                <c:pt idx="73">
                  <c:v>23</c:v>
                </c:pt>
                <c:pt idx="74">
                  <c:v>140</c:v>
                </c:pt>
                <c:pt idx="75">
                  <c:v>29</c:v>
                </c:pt>
                <c:pt idx="76">
                  <c:v>224</c:v>
                </c:pt>
                <c:pt idx="77">
                  <c:v>39</c:v>
                </c:pt>
                <c:pt idx="78">
                  <c:v>134</c:v>
                </c:pt>
                <c:pt idx="79">
                  <c:v>67</c:v>
                </c:pt>
                <c:pt idx="80">
                  <c:v>10</c:v>
                </c:pt>
                <c:pt idx="81">
                  <c:v>181</c:v>
                </c:pt>
                <c:pt idx="82">
                  <c:v>95</c:v>
                </c:pt>
                <c:pt idx="83">
                  <c:v>5</c:v>
                </c:pt>
                <c:pt idx="84">
                  <c:v>161</c:v>
                </c:pt>
                <c:pt idx="85">
                  <c:v>49</c:v>
                </c:pt>
                <c:pt idx="86">
                  <c:v>74</c:v>
                </c:pt>
                <c:pt idx="87">
                  <c:v>64</c:v>
                </c:pt>
                <c:pt idx="88">
                  <c:v>30</c:v>
                </c:pt>
                <c:pt idx="89">
                  <c:v>25</c:v>
                </c:pt>
                <c:pt idx="90">
                  <c:v>14</c:v>
                </c:pt>
                <c:pt idx="91">
                  <c:v>33</c:v>
                </c:pt>
                <c:pt idx="92">
                  <c:v>37</c:v>
                </c:pt>
                <c:pt idx="93">
                  <c:v>245</c:v>
                </c:pt>
                <c:pt idx="94">
                  <c:v>169</c:v>
                </c:pt>
                <c:pt idx="95">
                  <c:v>53</c:v>
                </c:pt>
                <c:pt idx="96">
                  <c:v>13</c:v>
                </c:pt>
                <c:pt idx="97">
                  <c:v>21</c:v>
                </c:pt>
                <c:pt idx="98">
                  <c:v>58</c:v>
                </c:pt>
                <c:pt idx="99">
                  <c:v>178</c:v>
                </c:pt>
                <c:pt idx="100">
                  <c:v>21</c:v>
                </c:pt>
                <c:pt idx="101">
                  <c:v>47</c:v>
                </c:pt>
                <c:pt idx="102">
                  <c:v>17</c:v>
                </c:pt>
                <c:pt idx="103">
                  <c:v>59</c:v>
                </c:pt>
                <c:pt idx="104">
                  <c:v>54</c:v>
                </c:pt>
                <c:pt idx="105">
                  <c:v>44</c:v>
                </c:pt>
                <c:pt idx="106">
                  <c:v>1</c:v>
                </c:pt>
                <c:pt idx="107">
                  <c:v>167</c:v>
                </c:pt>
                <c:pt idx="108">
                  <c:v>159</c:v>
                </c:pt>
                <c:pt idx="109">
                  <c:v>22</c:v>
                </c:pt>
                <c:pt idx="110">
                  <c:v>219</c:v>
                </c:pt>
                <c:pt idx="111">
                  <c:v>129</c:v>
                </c:pt>
                <c:pt idx="112">
                  <c:v>121</c:v>
                </c:pt>
                <c:pt idx="113">
                  <c:v>263</c:v>
                </c:pt>
                <c:pt idx="114">
                  <c:v>43</c:v>
                </c:pt>
                <c:pt idx="115">
                  <c:v>23</c:v>
                </c:pt>
                <c:pt idx="116">
                  <c:v>58</c:v>
                </c:pt>
                <c:pt idx="117">
                  <c:v>161</c:v>
                </c:pt>
                <c:pt idx="118">
                  <c:v>47</c:v>
                </c:pt>
                <c:pt idx="119">
                  <c:v>110</c:v>
                </c:pt>
                <c:pt idx="120">
                  <c:v>37</c:v>
                </c:pt>
                <c:pt idx="121">
                  <c:v>25</c:v>
                </c:pt>
                <c:pt idx="122">
                  <c:v>101</c:v>
                </c:pt>
                <c:pt idx="123">
                  <c:v>38</c:v>
                </c:pt>
                <c:pt idx="124">
                  <c:v>148</c:v>
                </c:pt>
                <c:pt idx="125">
                  <c:v>255</c:v>
                </c:pt>
                <c:pt idx="126">
                  <c:v>37</c:v>
                </c:pt>
                <c:pt idx="127">
                  <c:v>140</c:v>
                </c:pt>
                <c:pt idx="128">
                  <c:v>69</c:v>
                </c:pt>
                <c:pt idx="129">
                  <c:v>239</c:v>
                </c:pt>
                <c:pt idx="130">
                  <c:v>101</c:v>
                </c:pt>
                <c:pt idx="131">
                  <c:v>103</c:v>
                </c:pt>
                <c:pt idx="132">
                  <c:v>44</c:v>
                </c:pt>
                <c:pt idx="133">
                  <c:v>3</c:v>
                </c:pt>
                <c:pt idx="134">
                  <c:v>32</c:v>
                </c:pt>
                <c:pt idx="135">
                  <c:v>13</c:v>
                </c:pt>
                <c:pt idx="136">
                  <c:v>2</c:v>
                </c:pt>
                <c:pt idx="137">
                  <c:v>200</c:v>
                </c:pt>
                <c:pt idx="138">
                  <c:v>360</c:v>
                </c:pt>
                <c:pt idx="139">
                  <c:v>22</c:v>
                </c:pt>
                <c:pt idx="140">
                  <c:v>353</c:v>
                </c:pt>
                <c:pt idx="141">
                  <c:v>18</c:v>
                </c:pt>
                <c:pt idx="142">
                  <c:v>44</c:v>
                </c:pt>
                <c:pt idx="143">
                  <c:v>91</c:v>
                </c:pt>
                <c:pt idx="144">
                  <c:v>94</c:v>
                </c:pt>
                <c:pt idx="145">
                  <c:v>16</c:v>
                </c:pt>
                <c:pt idx="146">
                  <c:v>186</c:v>
                </c:pt>
                <c:pt idx="147">
                  <c:v>12</c:v>
                </c:pt>
                <c:pt idx="148">
                  <c:v>78</c:v>
                </c:pt>
                <c:pt idx="149">
                  <c:v>4</c:v>
                </c:pt>
                <c:pt idx="150">
                  <c:v>48</c:v>
                </c:pt>
                <c:pt idx="151">
                  <c:v>34</c:v>
                </c:pt>
                <c:pt idx="152">
                  <c:v>120</c:v>
                </c:pt>
                <c:pt idx="153">
                  <c:v>47</c:v>
                </c:pt>
                <c:pt idx="154">
                  <c:v>12</c:v>
                </c:pt>
                <c:pt idx="155">
                  <c:v>228</c:v>
                </c:pt>
                <c:pt idx="156">
                  <c:v>121</c:v>
                </c:pt>
                <c:pt idx="157">
                  <c:v>24</c:v>
                </c:pt>
                <c:pt idx="158">
                  <c:v>85</c:v>
                </c:pt>
                <c:pt idx="159">
                  <c:v>65</c:v>
                </c:pt>
                <c:pt idx="160">
                  <c:v>42</c:v>
                </c:pt>
                <c:pt idx="161">
                  <c:v>159</c:v>
                </c:pt>
                <c:pt idx="162">
                  <c:v>20</c:v>
                </c:pt>
                <c:pt idx="163">
                  <c:v>18</c:v>
                </c:pt>
                <c:pt idx="164">
                  <c:v>49</c:v>
                </c:pt>
                <c:pt idx="165">
                  <c:v>94</c:v>
                </c:pt>
                <c:pt idx="166">
                  <c:v>242</c:v>
                </c:pt>
                <c:pt idx="167">
                  <c:v>191</c:v>
                </c:pt>
                <c:pt idx="168">
                  <c:v>177</c:v>
                </c:pt>
                <c:pt idx="169">
                  <c:v>58</c:v>
                </c:pt>
                <c:pt idx="170">
                  <c:v>144</c:v>
                </c:pt>
                <c:pt idx="171">
                  <c:v>112</c:v>
                </c:pt>
                <c:pt idx="172">
                  <c:v>27</c:v>
                </c:pt>
                <c:pt idx="173">
                  <c:v>44</c:v>
                </c:pt>
                <c:pt idx="174">
                  <c:v>117</c:v>
                </c:pt>
                <c:pt idx="175">
                  <c:v>29</c:v>
                </c:pt>
                <c:pt idx="176">
                  <c:v>27</c:v>
                </c:pt>
                <c:pt idx="177">
                  <c:v>27</c:v>
                </c:pt>
                <c:pt idx="178">
                  <c:v>79</c:v>
                </c:pt>
                <c:pt idx="179">
                  <c:v>28</c:v>
                </c:pt>
                <c:pt idx="180">
                  <c:v>97</c:v>
                </c:pt>
                <c:pt idx="181">
                  <c:v>20</c:v>
                </c:pt>
                <c:pt idx="182">
                  <c:v>12</c:v>
                </c:pt>
                <c:pt idx="183">
                  <c:v>177</c:v>
                </c:pt>
                <c:pt idx="184">
                  <c:v>352</c:v>
                </c:pt>
                <c:pt idx="185">
                  <c:v>80</c:v>
                </c:pt>
                <c:pt idx="186">
                  <c:v>229</c:v>
                </c:pt>
                <c:pt idx="187">
                  <c:v>15</c:v>
                </c:pt>
                <c:pt idx="188">
                  <c:v>127</c:v>
                </c:pt>
                <c:pt idx="189">
                  <c:v>161</c:v>
                </c:pt>
                <c:pt idx="190">
                  <c:v>220</c:v>
                </c:pt>
                <c:pt idx="191">
                  <c:v>30</c:v>
                </c:pt>
                <c:pt idx="192">
                  <c:v>53</c:v>
                </c:pt>
                <c:pt idx="193">
                  <c:v>260</c:v>
                </c:pt>
                <c:pt idx="194">
                  <c:v>93</c:v>
                </c:pt>
                <c:pt idx="195">
                  <c:v>122</c:v>
                </c:pt>
                <c:pt idx="196">
                  <c:v>117</c:v>
                </c:pt>
                <c:pt idx="197">
                  <c:v>265</c:v>
                </c:pt>
                <c:pt idx="198">
                  <c:v>57</c:v>
                </c:pt>
                <c:pt idx="199">
                  <c:v>442</c:v>
                </c:pt>
                <c:pt idx="200">
                  <c:v>17</c:v>
                </c:pt>
                <c:pt idx="201">
                  <c:v>117</c:v>
                </c:pt>
                <c:pt idx="202">
                  <c:v>112</c:v>
                </c:pt>
                <c:pt idx="203">
                  <c:v>246</c:v>
                </c:pt>
                <c:pt idx="204">
                  <c:v>40</c:v>
                </c:pt>
                <c:pt idx="205">
                  <c:v>71</c:v>
                </c:pt>
                <c:pt idx="206">
                  <c:v>131</c:v>
                </c:pt>
                <c:pt idx="207">
                  <c:v>37</c:v>
                </c:pt>
                <c:pt idx="208">
                  <c:v>11</c:v>
                </c:pt>
                <c:pt idx="209">
                  <c:v>9</c:v>
                </c:pt>
                <c:pt idx="210">
                  <c:v>83</c:v>
                </c:pt>
                <c:pt idx="211">
                  <c:v>10</c:v>
                </c:pt>
                <c:pt idx="212">
                  <c:v>71</c:v>
                </c:pt>
                <c:pt idx="213">
                  <c:v>10</c:v>
                </c:pt>
                <c:pt idx="214">
                  <c:v>157</c:v>
                </c:pt>
                <c:pt idx="215">
                  <c:v>25</c:v>
                </c:pt>
                <c:pt idx="216">
                  <c:v>34</c:v>
                </c:pt>
                <c:pt idx="217">
                  <c:v>76</c:v>
                </c:pt>
                <c:pt idx="218">
                  <c:v>158</c:v>
                </c:pt>
                <c:pt idx="219">
                  <c:v>101</c:v>
                </c:pt>
                <c:pt idx="220">
                  <c:v>105</c:v>
                </c:pt>
                <c:pt idx="221">
                  <c:v>364</c:v>
                </c:pt>
                <c:pt idx="222">
                  <c:v>177</c:v>
                </c:pt>
                <c:pt idx="223">
                  <c:v>309</c:v>
                </c:pt>
                <c:pt idx="224">
                  <c:v>82</c:v>
                </c:pt>
                <c:pt idx="225">
                  <c:v>175</c:v>
                </c:pt>
                <c:pt idx="226">
                  <c:v>29</c:v>
                </c:pt>
                <c:pt idx="227">
                  <c:v>326</c:v>
                </c:pt>
                <c:pt idx="228">
                  <c:v>267</c:v>
                </c:pt>
                <c:pt idx="229">
                  <c:v>79</c:v>
                </c:pt>
                <c:pt idx="230">
                  <c:v>76</c:v>
                </c:pt>
                <c:pt idx="231">
                  <c:v>23</c:v>
                </c:pt>
                <c:pt idx="232">
                  <c:v>168</c:v>
                </c:pt>
                <c:pt idx="233">
                  <c:v>12</c:v>
                </c:pt>
                <c:pt idx="234">
                  <c:v>61</c:v>
                </c:pt>
                <c:pt idx="235">
                  <c:v>118</c:v>
                </c:pt>
                <c:pt idx="236">
                  <c:v>24</c:v>
                </c:pt>
                <c:pt idx="237">
                  <c:v>134</c:v>
                </c:pt>
                <c:pt idx="238">
                  <c:v>38</c:v>
                </c:pt>
                <c:pt idx="239">
                  <c:v>106</c:v>
                </c:pt>
                <c:pt idx="240">
                  <c:v>203</c:v>
                </c:pt>
                <c:pt idx="241">
                  <c:v>7</c:v>
                </c:pt>
                <c:pt idx="242">
                  <c:v>16</c:v>
                </c:pt>
                <c:pt idx="243">
                  <c:v>48</c:v>
                </c:pt>
                <c:pt idx="244">
                  <c:v>33</c:v>
                </c:pt>
                <c:pt idx="245">
                  <c:v>69</c:v>
                </c:pt>
                <c:pt idx="246">
                  <c:v>235</c:v>
                </c:pt>
                <c:pt idx="247">
                  <c:v>279</c:v>
                </c:pt>
                <c:pt idx="248">
                  <c:v>188</c:v>
                </c:pt>
                <c:pt idx="249">
                  <c:v>262</c:v>
                </c:pt>
                <c:pt idx="250">
                  <c:v>142</c:v>
                </c:pt>
                <c:pt idx="251">
                  <c:v>139</c:v>
                </c:pt>
                <c:pt idx="252">
                  <c:v>262</c:v>
                </c:pt>
                <c:pt idx="253">
                  <c:v>94</c:v>
                </c:pt>
                <c:pt idx="254">
                  <c:v>142</c:v>
                </c:pt>
                <c:pt idx="255">
                  <c:v>97</c:v>
                </c:pt>
                <c:pt idx="256">
                  <c:v>112</c:v>
                </c:pt>
                <c:pt idx="257">
                  <c:v>21</c:v>
                </c:pt>
                <c:pt idx="258">
                  <c:v>205</c:v>
                </c:pt>
                <c:pt idx="259">
                  <c:v>137</c:v>
                </c:pt>
                <c:pt idx="260">
                  <c:v>175</c:v>
                </c:pt>
                <c:pt idx="261">
                  <c:v>529</c:v>
                </c:pt>
                <c:pt idx="262">
                  <c:v>354</c:v>
                </c:pt>
                <c:pt idx="263">
                  <c:v>242</c:v>
                </c:pt>
                <c:pt idx="264">
                  <c:v>193</c:v>
                </c:pt>
                <c:pt idx="265">
                  <c:v>33</c:v>
                </c:pt>
                <c:pt idx="266">
                  <c:v>112</c:v>
                </c:pt>
                <c:pt idx="267">
                  <c:v>353</c:v>
                </c:pt>
                <c:pt idx="268">
                  <c:v>72</c:v>
                </c:pt>
                <c:pt idx="269">
                  <c:v>280</c:v>
                </c:pt>
                <c:pt idx="270">
                  <c:v>304</c:v>
                </c:pt>
                <c:pt idx="271">
                  <c:v>44</c:v>
                </c:pt>
                <c:pt idx="272">
                  <c:v>48</c:v>
                </c:pt>
                <c:pt idx="273">
                  <c:v>311</c:v>
                </c:pt>
                <c:pt idx="274">
                  <c:v>83</c:v>
                </c:pt>
                <c:pt idx="275">
                  <c:v>232</c:v>
                </c:pt>
                <c:pt idx="276">
                  <c:v>17</c:v>
                </c:pt>
                <c:pt idx="277">
                  <c:v>355</c:v>
                </c:pt>
                <c:pt idx="278">
                  <c:v>339</c:v>
                </c:pt>
                <c:pt idx="279">
                  <c:v>246</c:v>
                </c:pt>
                <c:pt idx="280">
                  <c:v>75</c:v>
                </c:pt>
                <c:pt idx="281">
                  <c:v>247</c:v>
                </c:pt>
                <c:pt idx="282">
                  <c:v>108</c:v>
                </c:pt>
                <c:pt idx="283">
                  <c:v>419</c:v>
                </c:pt>
                <c:pt idx="284">
                  <c:v>438</c:v>
                </c:pt>
                <c:pt idx="285">
                  <c:v>457</c:v>
                </c:pt>
                <c:pt idx="286">
                  <c:v>596</c:v>
                </c:pt>
              </c:numCache>
            </c:numRef>
          </c:yVal>
          <c:smooth val="0"/>
          <c:extLst>
            <c:ext xmlns:c16="http://schemas.microsoft.com/office/drawing/2014/chart" uri="{C3380CC4-5D6E-409C-BE32-E72D297353CC}">
              <c16:uniqueId val="{00000000-BED4-47F6-8BD1-334A8428211F}"/>
            </c:ext>
          </c:extLst>
        </c:ser>
        <c:dLbls>
          <c:showLegendKey val="0"/>
          <c:showVal val="0"/>
          <c:showCatName val="0"/>
          <c:showSerName val="0"/>
          <c:showPercent val="0"/>
          <c:showBubbleSize val="0"/>
        </c:dLbls>
        <c:axId val="130695727"/>
        <c:axId val="130696207"/>
      </c:scatterChart>
      <c:valAx>
        <c:axId val="13069572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Purchase Frequency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96207"/>
        <c:crosses val="autoZero"/>
        <c:crossBetween val="midCat"/>
      </c:valAx>
      <c:valAx>
        <c:axId val="1306962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Recency Value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95727"/>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 Pivot Table!PT04_Revenue_by_Month</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 by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numFmt formatCode="[&gt;=1000000]#,##0,,&quot;M&quot;;[&gt;=1000]#,##0,&quot;K&quot;;#,##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numFmt formatCode="[&gt;=1000000]0.00,,&quot;M&quot;;[&gt;=1000]0.00,&quot;K&quot;;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 Table'!$B$23</c:f>
              <c:strCache>
                <c:ptCount val="1"/>
                <c:pt idx="0">
                  <c:v>Total</c:v>
                </c:pt>
              </c:strCache>
            </c:strRef>
          </c:tx>
          <c:spPr>
            <a:ln w="28575" cap="rnd">
              <a:solidFill>
                <a:schemeClr val="accent1"/>
              </a:solidFill>
              <a:round/>
            </a:ln>
            <a:effectLst/>
          </c:spPr>
          <c:marker>
            <c:symbol val="none"/>
          </c:marker>
          <c:dLbls>
            <c:numFmt formatCode="[&gt;=1000000]0.00,,&quot;M&quot;;[&gt;=1000]0.00,&quot;K&quot;;0.00" sourceLinked="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 Table'!$A$24:$A$36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Pivot Table'!$B$24:$B$36</c:f>
              <c:numCache>
                <c:formatCode>[&gt;=1000000]\ "BDT "#,##0.00,,"M";[&gt;=1000]\ "BDT "#,##0.00,"K";\ "BDT "#,##0.00</c:formatCode>
                <c:ptCount val="12"/>
                <c:pt idx="0">
                  <c:v>29255550</c:v>
                </c:pt>
                <c:pt idx="1">
                  <c:v>22682430</c:v>
                </c:pt>
                <c:pt idx="2">
                  <c:v>20703360</c:v>
                </c:pt>
                <c:pt idx="3">
                  <c:v>28980030</c:v>
                </c:pt>
                <c:pt idx="4">
                  <c:v>29510160</c:v>
                </c:pt>
                <c:pt idx="5">
                  <c:v>28007100</c:v>
                </c:pt>
                <c:pt idx="6">
                  <c:v>21961650</c:v>
                </c:pt>
                <c:pt idx="7">
                  <c:v>24644280</c:v>
                </c:pt>
                <c:pt idx="8">
                  <c:v>31845930</c:v>
                </c:pt>
                <c:pt idx="9">
                  <c:v>24850920</c:v>
                </c:pt>
                <c:pt idx="10">
                  <c:v>27644250</c:v>
                </c:pt>
                <c:pt idx="11">
                  <c:v>27998490</c:v>
                </c:pt>
              </c:numCache>
            </c:numRef>
          </c:val>
          <c:smooth val="0"/>
          <c:extLst>
            <c:ext xmlns:c16="http://schemas.microsoft.com/office/drawing/2014/chart" uri="{C3380CC4-5D6E-409C-BE32-E72D297353CC}">
              <c16:uniqueId val="{00000000-ABA6-4D87-AE79-64992E2FED73}"/>
            </c:ext>
          </c:extLst>
        </c:ser>
        <c:dLbls>
          <c:dLblPos val="t"/>
          <c:showLegendKey val="0"/>
          <c:showVal val="1"/>
          <c:showCatName val="0"/>
          <c:showSerName val="0"/>
          <c:showPercent val="0"/>
          <c:showBubbleSize val="0"/>
        </c:dLbls>
        <c:smooth val="0"/>
        <c:axId val="1129634687"/>
        <c:axId val="1542098351"/>
      </c:lineChart>
      <c:catAx>
        <c:axId val="1129634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2098351"/>
        <c:crosses val="autoZero"/>
        <c:auto val="1"/>
        <c:lblAlgn val="ctr"/>
        <c:lblOffset val="100"/>
        <c:noMultiLvlLbl val="0"/>
      </c:catAx>
      <c:valAx>
        <c:axId val="1542098351"/>
        <c:scaling>
          <c:orientation val="minMax"/>
        </c:scaling>
        <c:delete val="0"/>
        <c:axPos val="l"/>
        <c:majorGridlines>
          <c:spPr>
            <a:ln w="9525" cap="flat" cmpd="sng" algn="ctr">
              <a:solidFill>
                <a:schemeClr val="tx1">
                  <a:lumMod val="15000"/>
                  <a:lumOff val="85000"/>
                </a:schemeClr>
              </a:solidFill>
              <a:round/>
            </a:ln>
            <a:effectLst>
              <a:softEdge rad="0"/>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 BDT</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2963468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 Pivot Table!PT05_Revenue_by_Division</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a:t>
            </a:r>
            <a:r>
              <a:rPr lang="en-US" b="1" baseline="0">
                <a:solidFill>
                  <a:schemeClr val="accent1"/>
                </a:solidFill>
              </a:rPr>
              <a:t> by Division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0,,&quot;M&quot;;[&gt;=1000]0.00,&quot;K&quot;;0.0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 Table'!$E$23</c:f>
              <c:strCache>
                <c:ptCount val="1"/>
                <c:pt idx="0">
                  <c:v>Total</c:v>
                </c:pt>
              </c:strCache>
            </c:strRef>
          </c:tx>
          <c:spPr>
            <a:solidFill>
              <a:schemeClr val="accent1"/>
            </a:solidFill>
            <a:ln>
              <a:noFill/>
            </a:ln>
            <a:effectLst/>
          </c:spPr>
          <c:invertIfNegative val="0"/>
          <c:dLbls>
            <c:numFmt formatCode="[&gt;=1000000]0.00,,&quot;M&quot;;[&gt;=1000]0.00,&quot;K&quot;;0.0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 Table'!$D$24:$D$32</c:f>
              <c:strCache>
                <c:ptCount val="8"/>
                <c:pt idx="0">
                  <c:v>Dhaka</c:v>
                </c:pt>
                <c:pt idx="1">
                  <c:v>Chattogram</c:v>
                </c:pt>
                <c:pt idx="2">
                  <c:v>Khulna</c:v>
                </c:pt>
                <c:pt idx="3">
                  <c:v>Rajshahi</c:v>
                </c:pt>
                <c:pt idx="4">
                  <c:v>Rangpur</c:v>
                </c:pt>
                <c:pt idx="5">
                  <c:v>Sylhet</c:v>
                </c:pt>
                <c:pt idx="6">
                  <c:v>Mymensingh</c:v>
                </c:pt>
                <c:pt idx="7">
                  <c:v>Barishal</c:v>
                </c:pt>
              </c:strCache>
            </c:strRef>
          </c:cat>
          <c:val>
            <c:numRef>
              <c:f>'Sales Pivot Table'!$E$24:$E$32</c:f>
              <c:numCache>
                <c:formatCode>[&gt;=1000000]\ "BDT "#,##0.00,,"M";[&gt;=1000]\ "BDT "#,##0.00,"K";\ "BDT "#,##0.00</c:formatCode>
                <c:ptCount val="8"/>
                <c:pt idx="0">
                  <c:v>111053010</c:v>
                </c:pt>
                <c:pt idx="1">
                  <c:v>74846730</c:v>
                </c:pt>
                <c:pt idx="2">
                  <c:v>35158320</c:v>
                </c:pt>
                <c:pt idx="3">
                  <c:v>34615890</c:v>
                </c:pt>
                <c:pt idx="4">
                  <c:v>18122820</c:v>
                </c:pt>
                <c:pt idx="5">
                  <c:v>17862060</c:v>
                </c:pt>
                <c:pt idx="6">
                  <c:v>14635770</c:v>
                </c:pt>
                <c:pt idx="7">
                  <c:v>11789550</c:v>
                </c:pt>
              </c:numCache>
            </c:numRef>
          </c:val>
          <c:extLst>
            <c:ext xmlns:c16="http://schemas.microsoft.com/office/drawing/2014/chart" uri="{C3380CC4-5D6E-409C-BE32-E72D297353CC}">
              <c16:uniqueId val="{00000000-7D35-447B-88BC-C5277B193C27}"/>
            </c:ext>
          </c:extLst>
        </c:ser>
        <c:dLbls>
          <c:dLblPos val="outEnd"/>
          <c:showLegendKey val="0"/>
          <c:showVal val="1"/>
          <c:showCatName val="0"/>
          <c:showSerName val="0"/>
          <c:showPercent val="0"/>
          <c:showBubbleSize val="0"/>
        </c:dLbls>
        <c:gapWidth val="219"/>
        <c:overlap val="-27"/>
        <c:axId val="1704896447"/>
        <c:axId val="1696284783"/>
      </c:barChart>
      <c:catAx>
        <c:axId val="1704896447"/>
        <c:scaling>
          <c:orientation val="minMax"/>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Division</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96284783"/>
        <c:crosses val="autoZero"/>
        <c:auto val="1"/>
        <c:lblAlgn val="ctr"/>
        <c:lblOffset val="100"/>
        <c:noMultiLvlLbl val="0"/>
      </c:catAx>
      <c:valAx>
        <c:axId val="1696284783"/>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 BDT</a:t>
                </a:r>
                <a:r>
                  <a:rPr lang="en-US" b="1" baseline="0"/>
                  <a:t> </a:t>
                </a:r>
                <a:endParaRPr lang="en-US" b="1"/>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solidFill>
              <a:schemeClr val="accent1">
                <a:alpha val="96000"/>
              </a:schemeClr>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0489644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a:softEdge rad="0"/>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 Pivot Table!PT06_Revenue_by_Categories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 by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0,,&quot;M&quot;;[&gt;=1000]0.00,&quot;K&quot;;0.0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 Table'!$H$23</c:f>
              <c:strCache>
                <c:ptCount val="1"/>
                <c:pt idx="0">
                  <c:v>Total</c:v>
                </c:pt>
              </c:strCache>
            </c:strRef>
          </c:tx>
          <c:spPr>
            <a:solidFill>
              <a:schemeClr val="accent1"/>
            </a:solidFill>
            <a:ln>
              <a:noFill/>
            </a:ln>
            <a:effectLst/>
          </c:spPr>
          <c:invertIfNegative val="0"/>
          <c:dLbls>
            <c:numFmt formatCode="[&gt;=1000000]0.00,,&quot;M&quot;;[&gt;=1000]0.00,&quot;K&quot;;0.0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 Table'!$G$24:$G$27</c:f>
              <c:strCache>
                <c:ptCount val="3"/>
                <c:pt idx="0">
                  <c:v>Electronics</c:v>
                </c:pt>
                <c:pt idx="1">
                  <c:v>Wearables</c:v>
                </c:pt>
                <c:pt idx="2">
                  <c:v>Accessories</c:v>
                </c:pt>
              </c:strCache>
            </c:strRef>
          </c:cat>
          <c:val>
            <c:numRef>
              <c:f>'Sales Pivot Table'!$H$24:$H$27</c:f>
              <c:numCache>
                <c:formatCode>[&gt;=1000000]\ "BDT "#,##0.00,,"M";[&gt;=1000]\ "BDT "#,##0.00,"K";\ "BDT "#,##0.00</c:formatCode>
                <c:ptCount val="3"/>
                <c:pt idx="0">
                  <c:v>279037800</c:v>
                </c:pt>
                <c:pt idx="1">
                  <c:v>20516400</c:v>
                </c:pt>
                <c:pt idx="2">
                  <c:v>18529950</c:v>
                </c:pt>
              </c:numCache>
            </c:numRef>
          </c:val>
          <c:extLst>
            <c:ext xmlns:c16="http://schemas.microsoft.com/office/drawing/2014/chart" uri="{C3380CC4-5D6E-409C-BE32-E72D297353CC}">
              <c16:uniqueId val="{00000000-5F3B-4C52-859B-20EE407A63B3}"/>
            </c:ext>
          </c:extLst>
        </c:ser>
        <c:dLbls>
          <c:showLegendKey val="0"/>
          <c:showVal val="0"/>
          <c:showCatName val="0"/>
          <c:showSerName val="0"/>
          <c:showPercent val="0"/>
          <c:showBubbleSize val="0"/>
        </c:dLbls>
        <c:gapWidth val="219"/>
        <c:overlap val="-27"/>
        <c:axId val="1189741055"/>
        <c:axId val="1189742975"/>
      </c:barChart>
      <c:catAx>
        <c:axId val="118974105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Product</a:t>
                </a:r>
                <a:r>
                  <a:rPr lang="en-US" b="1" baseline="0"/>
                  <a:t> Category</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742975"/>
        <c:crosses val="autoZero"/>
        <c:auto val="1"/>
        <c:lblAlgn val="ctr"/>
        <c:lblOffset val="100"/>
        <c:noMultiLvlLbl val="0"/>
      </c:catAx>
      <c:valAx>
        <c:axId val="1189742975"/>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Revenue BDT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9741055"/>
        <c:crosses val="autoZero"/>
        <c:crossBetween val="between"/>
      </c:valAx>
      <c:spPr>
        <a:noFill/>
        <a:ln>
          <a:noFill/>
        </a:ln>
        <a:effectLst>
          <a:softEdge rad="0"/>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 Pivot Table!PT07_Revenue_by_Sales_Channel</c:name>
    <c:fmtId val="7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Revenue by Sales Channel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solidFill>
              <a:schemeClr val="bg1">
                <a:alpha val="70000"/>
              </a:schemeClr>
            </a:solidFill>
            <a:ln>
              <a:solidFill>
                <a:schemeClr val="accent1">
                  <a:alpha val="8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s>
    <c:plotArea>
      <c:layout/>
      <c:doughnutChart>
        <c:varyColors val="1"/>
        <c:ser>
          <c:idx val="0"/>
          <c:order val="0"/>
          <c:tx>
            <c:strRef>
              <c:f>'Sales Pivot Table'!$K$23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76F-4506-A7B9-D69289D9A01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76F-4506-A7B9-D69289D9A01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76F-4506-A7B9-D69289D9A01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76F-4506-A7B9-D69289D9A01D}"/>
              </c:ext>
            </c:extLst>
          </c:dPt>
          <c:dLbls>
            <c:spPr>
              <a:solidFill>
                <a:schemeClr val="bg1">
                  <a:alpha val="70000"/>
                </a:schemeClr>
              </a:solidFill>
              <a:ln>
                <a:solidFill>
                  <a:schemeClr val="accent1">
                    <a:alpha val="80000"/>
                  </a:schemeClr>
                </a:solid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'Sales Pivot Table'!$J$24:$J$28</c:f>
              <c:strCache>
                <c:ptCount val="4"/>
                <c:pt idx="0">
                  <c:v>Corporate Sales</c:v>
                </c:pt>
                <c:pt idx="1">
                  <c:v>Marketplace</c:v>
                </c:pt>
                <c:pt idx="2">
                  <c:v>Online</c:v>
                </c:pt>
                <c:pt idx="3">
                  <c:v>Retail Store</c:v>
                </c:pt>
              </c:strCache>
            </c:strRef>
          </c:cat>
          <c:val>
            <c:numRef>
              <c:f>'Sales Pivot Table'!$K$24:$K$28</c:f>
              <c:numCache>
                <c:formatCode>[&gt;=1000000]\ "BDT "#,##0.00,,"M";[&gt;=1000]\ "BDT "#,##0.00,"K";\ "BDT "#,##0.00</c:formatCode>
                <c:ptCount val="4"/>
                <c:pt idx="0">
                  <c:v>81779010</c:v>
                </c:pt>
                <c:pt idx="1">
                  <c:v>81400170</c:v>
                </c:pt>
                <c:pt idx="2">
                  <c:v>75599490</c:v>
                </c:pt>
                <c:pt idx="3">
                  <c:v>79305480</c:v>
                </c:pt>
              </c:numCache>
            </c:numRef>
          </c:val>
          <c:extLst>
            <c:ext xmlns:c16="http://schemas.microsoft.com/office/drawing/2014/chart" uri="{C3380CC4-5D6E-409C-BE32-E72D297353CC}">
              <c16:uniqueId val="{00000008-276F-4506-A7B9-D69289D9A01D}"/>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solidFill>
          <a:schemeClr val="bg1">
            <a:lumMod val="95000"/>
            <a:alpha val="90000"/>
          </a:schemeClr>
        </a:solid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 Pivot Table!PT09_Top_3_Products_by_Revenue</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Top</a:t>
            </a:r>
            <a:r>
              <a:rPr lang="en-US" b="1" baseline="0">
                <a:solidFill>
                  <a:schemeClr val="accent1"/>
                </a:solidFill>
              </a:rPr>
              <a:t> 3 Products by Revenue</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gt;=1000000]#,##0,,&quot;M&quot;;[&gt;=1000]#,##0,&quot;K&quot;;#,##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gt;=1000000]0.00,,&quot;M&quot;;[&gt;=1000]0.00,&quot;K&quot;;0.0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'Sales Pivot Table'!$N$23</c:f>
              <c:strCache>
                <c:ptCount val="1"/>
                <c:pt idx="0">
                  <c:v>Total</c:v>
                </c:pt>
              </c:strCache>
            </c:strRef>
          </c:tx>
          <c:spPr>
            <a:solidFill>
              <a:schemeClr val="accent1"/>
            </a:solidFill>
            <a:ln>
              <a:noFill/>
            </a:ln>
            <a:effectLst/>
          </c:spPr>
          <c:invertIfNegative val="0"/>
          <c:dLbls>
            <c:numFmt formatCode="[&gt;=1000000]0.00,,&quot;M&quot;;[&gt;=1000]0.00,&quot;K&quot;;0.00" sourceLinked="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 Table'!$M$24:$M$31</c:f>
              <c:strCache>
                <c:ptCount val="7"/>
                <c:pt idx="0">
                  <c:v>Mouse</c:v>
                </c:pt>
                <c:pt idx="1">
                  <c:v>Keyboard</c:v>
                </c:pt>
                <c:pt idx="2">
                  <c:v>Headphones</c:v>
                </c:pt>
                <c:pt idx="3">
                  <c:v>Smartwatch</c:v>
                </c:pt>
                <c:pt idx="4">
                  <c:v>Monitor</c:v>
                </c:pt>
                <c:pt idx="5">
                  <c:v>Smartphone</c:v>
                </c:pt>
                <c:pt idx="6">
                  <c:v>Laptop</c:v>
                </c:pt>
              </c:strCache>
            </c:strRef>
          </c:cat>
          <c:val>
            <c:numRef>
              <c:f>'Sales Pivot Table'!$N$24:$N$31</c:f>
              <c:numCache>
                <c:formatCode>[&gt;=1000000]\ "BDT "#,##0.00,,"M";[&gt;=1000]\ "BDT "#,##0.00,"K";\ "BDT "#,##0.00</c:formatCode>
                <c:ptCount val="7"/>
                <c:pt idx="0">
                  <c:v>3025800</c:v>
                </c:pt>
                <c:pt idx="1">
                  <c:v>5516550</c:v>
                </c:pt>
                <c:pt idx="2">
                  <c:v>9987600</c:v>
                </c:pt>
                <c:pt idx="3">
                  <c:v>20516400</c:v>
                </c:pt>
                <c:pt idx="4">
                  <c:v>33099300</c:v>
                </c:pt>
                <c:pt idx="5">
                  <c:v>87084000</c:v>
                </c:pt>
                <c:pt idx="6">
                  <c:v>158854500</c:v>
                </c:pt>
              </c:numCache>
            </c:numRef>
          </c:val>
          <c:extLst>
            <c:ext xmlns:c16="http://schemas.microsoft.com/office/drawing/2014/chart" uri="{C3380CC4-5D6E-409C-BE32-E72D297353CC}">
              <c16:uniqueId val="{00000000-9BE1-449E-A973-812FC73D5239}"/>
            </c:ext>
          </c:extLst>
        </c:ser>
        <c:dLbls>
          <c:dLblPos val="outEnd"/>
          <c:showLegendKey val="0"/>
          <c:showVal val="1"/>
          <c:showCatName val="0"/>
          <c:showSerName val="0"/>
          <c:showPercent val="0"/>
          <c:showBubbleSize val="0"/>
        </c:dLbls>
        <c:gapWidth val="182"/>
        <c:axId val="1185736639"/>
        <c:axId val="1185737599"/>
      </c:barChart>
      <c:catAx>
        <c:axId val="1185736639"/>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Top 3 Products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37599"/>
        <c:crosses val="autoZero"/>
        <c:auto val="1"/>
        <c:lblAlgn val="ctr"/>
        <c:lblOffset val="100"/>
        <c:noMultiLvlLbl val="0"/>
      </c:catAx>
      <c:valAx>
        <c:axId val="1185737599"/>
        <c:scaling>
          <c:orientation val="minMax"/>
        </c:scaling>
        <c:delete val="0"/>
        <c:axPos val="b"/>
        <c:majorGridlines>
          <c:spPr>
            <a:ln w="9525" cap="flat" cmpd="sng" algn="ctr">
              <a:solidFill>
                <a:schemeClr val="tx1">
                  <a:lumMod val="15000"/>
                  <a:lumOff val="85000"/>
                </a:schemeClr>
              </a:solidFill>
              <a:round/>
            </a:ln>
            <a:effectLst>
              <a:softEdge rad="1270000"/>
            </a:effectLst>
          </c:spPr>
        </c:majorGridlines>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Revenue</a:t>
                </a:r>
                <a:r>
                  <a:rPr lang="en-US" b="1" baseline="0"/>
                  <a:t> BDT</a:t>
                </a:r>
                <a:endParaRPr lang="en-US" b="1"/>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t;=1000000]#,##0,,&quot;M&quot;;[&gt;=1000]#,##0,&quot;K&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57366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 Pivot Table!PT10_Total_Quantity_by_Month</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Total</a:t>
            </a:r>
            <a:r>
              <a:rPr lang="en-US" b="1" baseline="0">
                <a:solidFill>
                  <a:srgbClr val="0070C0"/>
                </a:solidFill>
              </a:rPr>
              <a:t> </a:t>
            </a:r>
            <a:r>
              <a:rPr lang="en-US" b="1">
                <a:solidFill>
                  <a:srgbClr val="0070C0"/>
                </a:solidFill>
              </a:rPr>
              <a:t>Quantity</a:t>
            </a:r>
            <a:r>
              <a:rPr lang="en-US" b="1" baseline="0">
                <a:solidFill>
                  <a:srgbClr val="0070C0"/>
                </a:solidFill>
              </a:rPr>
              <a:t> </a:t>
            </a:r>
            <a:r>
              <a:rPr lang="en-US" b="1">
                <a:solidFill>
                  <a:srgbClr val="0070C0"/>
                </a:solidFill>
              </a:rPr>
              <a:t>by</a:t>
            </a:r>
            <a:r>
              <a:rPr lang="en-US" b="1" baseline="0">
                <a:solidFill>
                  <a:srgbClr val="0070C0"/>
                </a:solidFill>
              </a:rPr>
              <a:t> </a:t>
            </a:r>
            <a:r>
              <a:rPr lang="en-US" b="1">
                <a:solidFill>
                  <a:srgbClr val="0070C0"/>
                </a:solidFill>
              </a:rPr>
              <a:t>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Pivot Table'!$B$39</c:f>
              <c:strCache>
                <c:ptCount val="1"/>
                <c:pt idx="0">
                  <c:v>Total</c:v>
                </c:pt>
              </c:strCache>
            </c:strRef>
          </c:tx>
          <c:spPr>
            <a:ln w="28575" cap="rnd">
              <a:solidFill>
                <a:schemeClr val="accent1"/>
              </a:solidFill>
              <a:round/>
            </a:ln>
            <a:effectLst/>
          </c:spPr>
          <c:marker>
            <c:symbol val="none"/>
          </c:marker>
          <c:dLbls>
            <c:spPr>
              <a:solidFill>
                <a:schemeClr val="bg1">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 Table'!$A$40:$A$52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'Sales Pivot Table'!$B$40:$B$52</c:f>
              <c:numCache>
                <c:formatCode>General</c:formatCode>
                <c:ptCount val="12"/>
                <c:pt idx="0">
                  <c:v>580</c:v>
                </c:pt>
                <c:pt idx="1">
                  <c:v>433</c:v>
                </c:pt>
                <c:pt idx="2">
                  <c:v>442</c:v>
                </c:pt>
                <c:pt idx="3">
                  <c:v>487</c:v>
                </c:pt>
                <c:pt idx="4">
                  <c:v>510</c:v>
                </c:pt>
                <c:pt idx="5">
                  <c:v>482</c:v>
                </c:pt>
                <c:pt idx="6">
                  <c:v>477</c:v>
                </c:pt>
                <c:pt idx="7">
                  <c:v>469</c:v>
                </c:pt>
                <c:pt idx="8">
                  <c:v>547</c:v>
                </c:pt>
                <c:pt idx="9">
                  <c:v>499</c:v>
                </c:pt>
                <c:pt idx="10">
                  <c:v>536</c:v>
                </c:pt>
                <c:pt idx="11">
                  <c:v>544</c:v>
                </c:pt>
              </c:numCache>
            </c:numRef>
          </c:val>
          <c:smooth val="0"/>
          <c:extLst>
            <c:ext xmlns:c16="http://schemas.microsoft.com/office/drawing/2014/chart" uri="{C3380CC4-5D6E-409C-BE32-E72D297353CC}">
              <c16:uniqueId val="{00000000-B8CF-4669-A3D3-E58AC9927221}"/>
            </c:ext>
          </c:extLst>
        </c:ser>
        <c:dLbls>
          <c:dLblPos val="t"/>
          <c:showLegendKey val="0"/>
          <c:showVal val="1"/>
          <c:showCatName val="0"/>
          <c:showSerName val="0"/>
          <c:showPercent val="0"/>
          <c:showBubbleSize val="0"/>
        </c:dLbls>
        <c:smooth val="0"/>
        <c:axId val="1365461407"/>
        <c:axId val="1365461887"/>
      </c:lineChart>
      <c:catAx>
        <c:axId val="136546140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Month</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461887"/>
        <c:crosses val="autoZero"/>
        <c:auto val="1"/>
        <c:lblAlgn val="ctr"/>
        <c:lblOffset val="100"/>
        <c:noMultiLvlLbl val="0"/>
      </c:catAx>
      <c:valAx>
        <c:axId val="136546188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 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546140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[sales_data.xlsx]Sales Pivot Table!PT11_Total_Quantity_by_Division</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rgbClr val="0070C0"/>
                </a:solidFill>
              </a:rPr>
              <a:t>Total</a:t>
            </a:r>
            <a:r>
              <a:rPr lang="en-US" b="1" baseline="0">
                <a:solidFill>
                  <a:srgbClr val="0070C0"/>
                </a:solidFill>
              </a:rPr>
              <a:t> </a:t>
            </a:r>
            <a:r>
              <a:rPr lang="en-US" b="1">
                <a:solidFill>
                  <a:srgbClr val="0070C0"/>
                </a:solidFill>
              </a:rPr>
              <a:t>Quantity</a:t>
            </a:r>
            <a:r>
              <a:rPr lang="en-US" b="1" baseline="0">
                <a:solidFill>
                  <a:srgbClr val="0070C0"/>
                </a:solidFill>
              </a:rPr>
              <a:t> </a:t>
            </a:r>
            <a:r>
              <a:rPr lang="en-US" b="1">
                <a:solidFill>
                  <a:srgbClr val="0070C0"/>
                </a:solidFill>
              </a:rPr>
              <a:t>by</a:t>
            </a:r>
            <a:r>
              <a:rPr lang="en-US" b="1" baseline="0">
                <a:solidFill>
                  <a:srgbClr val="0070C0"/>
                </a:solidFill>
              </a:rPr>
              <a:t> </a:t>
            </a:r>
            <a:r>
              <a:rPr lang="en-US" b="1">
                <a:solidFill>
                  <a:srgbClr val="0070C0"/>
                </a:solidFill>
              </a:rPr>
              <a:t>Division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'Sales Pivot Table'!$E$39</c:f>
              <c:strCache>
                <c:ptCount val="1"/>
                <c:pt idx="0">
                  <c:v>Total</c:v>
                </c:pt>
              </c:strCache>
            </c:strRef>
          </c:tx>
          <c:spPr>
            <a:solidFill>
              <a:schemeClr val="accent1"/>
            </a:solidFill>
            <a:ln>
              <a:noFill/>
            </a:ln>
            <a:effectLst/>
          </c:spPr>
          <c:invertIfNegative val="0"/>
          <c:dLbls>
            <c:spPr>
              <a:solidFill>
                <a:schemeClr val="bg1">
                  <a:lumMod val="95000"/>
                  <a:alpha val="80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'Sales Pivot Table'!$D$40:$D$48</c:f>
              <c:strCache>
                <c:ptCount val="8"/>
                <c:pt idx="0">
                  <c:v>Dhaka</c:v>
                </c:pt>
                <c:pt idx="1">
                  <c:v>Chattogram</c:v>
                </c:pt>
                <c:pt idx="2">
                  <c:v>Khulna</c:v>
                </c:pt>
                <c:pt idx="3">
                  <c:v>Rajshahi</c:v>
                </c:pt>
                <c:pt idx="4">
                  <c:v>Sylhet</c:v>
                </c:pt>
                <c:pt idx="5">
                  <c:v>Rangpur</c:v>
                </c:pt>
                <c:pt idx="6">
                  <c:v>Mymensingh</c:v>
                </c:pt>
                <c:pt idx="7">
                  <c:v>Barishal</c:v>
                </c:pt>
              </c:strCache>
            </c:strRef>
          </c:cat>
          <c:val>
            <c:numRef>
              <c:f>'Sales Pivot Table'!$E$40:$E$48</c:f>
              <c:numCache>
                <c:formatCode>General</c:formatCode>
                <c:ptCount val="8"/>
                <c:pt idx="0">
                  <c:v>2085</c:v>
                </c:pt>
                <c:pt idx="1">
                  <c:v>1313</c:v>
                </c:pt>
                <c:pt idx="2">
                  <c:v>661</c:v>
                </c:pt>
                <c:pt idx="3">
                  <c:v>612</c:v>
                </c:pt>
                <c:pt idx="4">
                  <c:v>420</c:v>
                </c:pt>
                <c:pt idx="5">
                  <c:v>357</c:v>
                </c:pt>
                <c:pt idx="6">
                  <c:v>292</c:v>
                </c:pt>
                <c:pt idx="7">
                  <c:v>266</c:v>
                </c:pt>
              </c:numCache>
            </c:numRef>
          </c:val>
          <c:extLst>
            <c:ext xmlns:c16="http://schemas.microsoft.com/office/drawing/2014/chart" uri="{C3380CC4-5D6E-409C-BE32-E72D297353CC}">
              <c16:uniqueId val="{00000000-9BE6-4FE5-8C02-9E1802D1DEBC}"/>
            </c:ext>
          </c:extLst>
        </c:ser>
        <c:dLbls>
          <c:dLblPos val="outEnd"/>
          <c:showLegendKey val="0"/>
          <c:showVal val="1"/>
          <c:showCatName val="0"/>
          <c:showSerName val="0"/>
          <c:showPercent val="0"/>
          <c:showBubbleSize val="0"/>
        </c:dLbls>
        <c:gapWidth val="219"/>
        <c:overlap val="-27"/>
        <c:axId val="1293998511"/>
        <c:axId val="1293997071"/>
      </c:barChart>
      <c:catAx>
        <c:axId val="1293998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Division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97071"/>
        <c:crosses val="autoZero"/>
        <c:auto val="1"/>
        <c:lblAlgn val="ctr"/>
        <c:lblOffset val="100"/>
        <c:noMultiLvlLbl val="0"/>
      </c:catAx>
      <c:valAx>
        <c:axId val="1293997071"/>
        <c:scaling>
          <c:orientation val="minMax"/>
        </c:scaling>
        <c:delete val="0"/>
        <c:axPos val="l"/>
        <c:majorGridlines>
          <c:spPr>
            <a:ln w="9525" cap="flat" cmpd="sng" algn="ctr">
              <a:solidFill>
                <a:schemeClr val="tx1">
                  <a:lumMod val="15000"/>
                  <a:lumOff val="85000"/>
                </a:schemeClr>
              </a:solidFill>
              <a:round/>
            </a:ln>
            <a:effectLst>
              <a:softEdge rad="1270000"/>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b="1"/>
                  <a:t>Total Quantity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93998511"/>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chart" Target="../charts/chart13.xml"/><Relationship Id="rId3" Type="http://schemas.openxmlformats.org/officeDocument/2006/relationships/chart" Target="../charts/chart10.xml"/><Relationship Id="rId7" Type="http://schemas.openxmlformats.org/officeDocument/2006/relationships/image" Target="../media/image2.svg"/><Relationship Id="rId12" Type="http://schemas.openxmlformats.org/officeDocument/2006/relationships/image" Target="../media/image7.svg"/><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image" Target="../media/image1.png"/><Relationship Id="rId11" Type="http://schemas.openxmlformats.org/officeDocument/2006/relationships/image" Target="../media/image6.png"/><Relationship Id="rId5" Type="http://schemas.openxmlformats.org/officeDocument/2006/relationships/chart" Target="../charts/chart12.xml"/><Relationship Id="rId10" Type="http://schemas.openxmlformats.org/officeDocument/2006/relationships/image" Target="../media/image5.jpeg"/><Relationship Id="rId4" Type="http://schemas.openxmlformats.org/officeDocument/2006/relationships/chart" Target="../charts/chart11.xml"/><Relationship Id="rId9" Type="http://schemas.openxmlformats.org/officeDocument/2006/relationships/image" Target="../media/image4.svg"/><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0</xdr:col>
      <xdr:colOff>83820</xdr:colOff>
      <xdr:row>0</xdr:row>
      <xdr:rowOff>45721</xdr:rowOff>
    </xdr:from>
    <xdr:to>
      <xdr:col>23</xdr:col>
      <xdr:colOff>236220</xdr:colOff>
      <xdr:row>55</xdr:row>
      <xdr:rowOff>91440</xdr:rowOff>
    </xdr:to>
    <xdr:sp macro="" textlink="">
      <xdr:nvSpPr>
        <xdr:cNvPr id="2" name="Rectangle: Rounded Corners 1">
          <a:extLst>
            <a:ext uri="{FF2B5EF4-FFF2-40B4-BE49-F238E27FC236}">
              <a16:creationId xmlns:a16="http://schemas.microsoft.com/office/drawing/2014/main" id="{84C0111F-7E5B-41D2-A941-E82C18240775}"/>
            </a:ext>
          </a:extLst>
        </xdr:cNvPr>
        <xdr:cNvSpPr/>
      </xdr:nvSpPr>
      <xdr:spPr>
        <a:xfrm>
          <a:off x="83820" y="45721"/>
          <a:ext cx="14173200" cy="10104119"/>
        </a:xfrm>
        <a:prstGeom prst="roundRect">
          <a:avLst>
            <a:gd name="adj" fmla="val 397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182880</xdr:colOff>
      <xdr:row>2</xdr:row>
      <xdr:rowOff>83820</xdr:rowOff>
    </xdr:from>
    <xdr:to>
      <xdr:col>23</xdr:col>
      <xdr:colOff>152400</xdr:colOff>
      <xdr:row>54</xdr:row>
      <xdr:rowOff>167640</xdr:rowOff>
    </xdr:to>
    <xdr:sp macro="" textlink="">
      <xdr:nvSpPr>
        <xdr:cNvPr id="3" name="Rectangle: Rounded Corners 2">
          <a:extLst>
            <a:ext uri="{FF2B5EF4-FFF2-40B4-BE49-F238E27FC236}">
              <a16:creationId xmlns:a16="http://schemas.microsoft.com/office/drawing/2014/main" id="{B58E3531-14EB-4004-9DE4-03F0B306D22C}"/>
            </a:ext>
          </a:extLst>
        </xdr:cNvPr>
        <xdr:cNvSpPr/>
      </xdr:nvSpPr>
      <xdr:spPr>
        <a:xfrm>
          <a:off x="182880" y="449580"/>
          <a:ext cx="13990320" cy="9593580"/>
        </a:xfrm>
        <a:prstGeom prst="roundRect">
          <a:avLst>
            <a:gd name="adj" fmla="val 242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243840</xdr:colOff>
      <xdr:row>3</xdr:row>
      <xdr:rowOff>1</xdr:rowOff>
    </xdr:from>
    <xdr:to>
      <xdr:col>3</xdr:col>
      <xdr:colOff>99060</xdr:colOff>
      <xdr:row>30</xdr:row>
      <xdr:rowOff>40178</xdr:rowOff>
    </xdr:to>
    <xdr:sp macro="" textlink="">
      <xdr:nvSpPr>
        <xdr:cNvPr id="4" name="Rectangle: Rounded Corners 3">
          <a:extLst>
            <a:ext uri="{FF2B5EF4-FFF2-40B4-BE49-F238E27FC236}">
              <a16:creationId xmlns:a16="http://schemas.microsoft.com/office/drawing/2014/main" id="{F4157694-1313-4775-ABBD-4EE2F09E6325}"/>
            </a:ext>
          </a:extLst>
        </xdr:cNvPr>
        <xdr:cNvSpPr/>
      </xdr:nvSpPr>
      <xdr:spPr>
        <a:xfrm rot="16200000">
          <a:off x="-1403119" y="2195600"/>
          <a:ext cx="4977937" cy="1684020"/>
        </a:xfrm>
        <a:prstGeom prst="roundRect">
          <a:avLst>
            <a:gd name="adj" fmla="val 5556"/>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342900</xdr:colOff>
      <xdr:row>0</xdr:row>
      <xdr:rowOff>60960</xdr:rowOff>
    </xdr:from>
    <xdr:to>
      <xdr:col>15</xdr:col>
      <xdr:colOff>7620</xdr:colOff>
      <xdr:row>2</xdr:row>
      <xdr:rowOff>45720</xdr:rowOff>
    </xdr:to>
    <xdr:sp macro="" textlink="">
      <xdr:nvSpPr>
        <xdr:cNvPr id="5" name="TextBox 4">
          <a:extLst>
            <a:ext uri="{FF2B5EF4-FFF2-40B4-BE49-F238E27FC236}">
              <a16:creationId xmlns:a16="http://schemas.microsoft.com/office/drawing/2014/main" id="{8C728393-9D51-4FFD-BFD6-38440F296CD1}"/>
            </a:ext>
          </a:extLst>
        </xdr:cNvPr>
        <xdr:cNvSpPr txBox="1"/>
      </xdr:nvSpPr>
      <xdr:spPr>
        <a:xfrm>
          <a:off x="4000500" y="60960"/>
          <a:ext cx="515112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2400" b="1">
              <a:solidFill>
                <a:schemeClr val="bg1"/>
              </a:solidFill>
            </a:rPr>
            <a:t>Customer</a:t>
          </a:r>
          <a:r>
            <a:rPr lang="en-US" sz="2400" b="1" baseline="0">
              <a:solidFill>
                <a:schemeClr val="bg1"/>
              </a:solidFill>
            </a:rPr>
            <a:t> Segment Analysis Dashboard</a:t>
          </a:r>
          <a:endParaRPr lang="en-US" sz="2400" b="1">
            <a:solidFill>
              <a:schemeClr val="bg1"/>
            </a:solidFill>
          </a:endParaRPr>
        </a:p>
      </xdr:txBody>
    </xdr:sp>
    <xdr:clientData/>
  </xdr:twoCellAnchor>
  <xdr:twoCellAnchor>
    <xdr:from>
      <xdr:col>3</xdr:col>
      <xdr:colOff>152400</xdr:colOff>
      <xdr:row>2</xdr:row>
      <xdr:rowOff>160020</xdr:rowOff>
    </xdr:from>
    <xdr:to>
      <xdr:col>6</xdr:col>
      <xdr:colOff>298704</xdr:colOff>
      <xdr:row>7</xdr:row>
      <xdr:rowOff>160020</xdr:rowOff>
    </xdr:to>
    <xdr:sp macro="" textlink="">
      <xdr:nvSpPr>
        <xdr:cNvPr id="6" name="Rectangle: Rounded Corners 5">
          <a:extLst>
            <a:ext uri="{FF2B5EF4-FFF2-40B4-BE49-F238E27FC236}">
              <a16:creationId xmlns:a16="http://schemas.microsoft.com/office/drawing/2014/main" id="{A03713B4-BE51-4FCD-B04D-F6CFA32BE241}"/>
            </a:ext>
          </a:extLst>
        </xdr:cNvPr>
        <xdr:cNvSpPr/>
      </xdr:nvSpPr>
      <xdr:spPr>
        <a:xfrm>
          <a:off x="1981200" y="52578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9</xdr:col>
      <xdr:colOff>545592</xdr:colOff>
      <xdr:row>2</xdr:row>
      <xdr:rowOff>160020</xdr:rowOff>
    </xdr:from>
    <xdr:to>
      <xdr:col>13</xdr:col>
      <xdr:colOff>82296</xdr:colOff>
      <xdr:row>7</xdr:row>
      <xdr:rowOff>160020</xdr:rowOff>
    </xdr:to>
    <xdr:sp macro="" textlink="">
      <xdr:nvSpPr>
        <xdr:cNvPr id="7" name="Rectangle: Rounded Corners 6">
          <a:extLst>
            <a:ext uri="{FF2B5EF4-FFF2-40B4-BE49-F238E27FC236}">
              <a16:creationId xmlns:a16="http://schemas.microsoft.com/office/drawing/2014/main" id="{5F8BB83B-7733-4CE3-95B3-6FD352375C13}"/>
            </a:ext>
          </a:extLst>
        </xdr:cNvPr>
        <xdr:cNvSpPr/>
      </xdr:nvSpPr>
      <xdr:spPr>
        <a:xfrm>
          <a:off x="6031992" y="52578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132588</xdr:colOff>
      <xdr:row>2</xdr:row>
      <xdr:rowOff>160020</xdr:rowOff>
    </xdr:from>
    <xdr:to>
      <xdr:col>16</xdr:col>
      <xdr:colOff>278892</xdr:colOff>
      <xdr:row>7</xdr:row>
      <xdr:rowOff>160020</xdr:rowOff>
    </xdr:to>
    <xdr:sp macro="" textlink="">
      <xdr:nvSpPr>
        <xdr:cNvPr id="8" name="Rectangle: Rounded Corners 7">
          <a:extLst>
            <a:ext uri="{FF2B5EF4-FFF2-40B4-BE49-F238E27FC236}">
              <a16:creationId xmlns:a16="http://schemas.microsoft.com/office/drawing/2014/main" id="{394344D0-9FC4-41EB-BA4A-4D7D328DA0E1}"/>
            </a:ext>
          </a:extLst>
        </xdr:cNvPr>
        <xdr:cNvSpPr/>
      </xdr:nvSpPr>
      <xdr:spPr>
        <a:xfrm>
          <a:off x="8057388" y="52578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16</xdr:col>
      <xdr:colOff>329184</xdr:colOff>
      <xdr:row>2</xdr:row>
      <xdr:rowOff>152400</xdr:rowOff>
    </xdr:from>
    <xdr:to>
      <xdr:col>19</xdr:col>
      <xdr:colOff>475488</xdr:colOff>
      <xdr:row>7</xdr:row>
      <xdr:rowOff>152400</xdr:rowOff>
    </xdr:to>
    <xdr:sp macro="" textlink="">
      <xdr:nvSpPr>
        <xdr:cNvPr id="9" name="Rectangle: Rounded Corners 8">
          <a:extLst>
            <a:ext uri="{FF2B5EF4-FFF2-40B4-BE49-F238E27FC236}">
              <a16:creationId xmlns:a16="http://schemas.microsoft.com/office/drawing/2014/main" id="{4864F352-6A7A-48E3-8DBB-D85AFA36EE1D}"/>
            </a:ext>
          </a:extLst>
        </xdr:cNvPr>
        <xdr:cNvSpPr/>
      </xdr:nvSpPr>
      <xdr:spPr>
        <a:xfrm>
          <a:off x="10082784" y="51816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6</xdr:col>
      <xdr:colOff>348996</xdr:colOff>
      <xdr:row>2</xdr:row>
      <xdr:rowOff>160020</xdr:rowOff>
    </xdr:from>
    <xdr:to>
      <xdr:col>9</xdr:col>
      <xdr:colOff>495300</xdr:colOff>
      <xdr:row>7</xdr:row>
      <xdr:rowOff>160020</xdr:rowOff>
    </xdr:to>
    <xdr:sp macro="" textlink="">
      <xdr:nvSpPr>
        <xdr:cNvPr id="14" name="Rectangle: Rounded Corners 13">
          <a:extLst>
            <a:ext uri="{FF2B5EF4-FFF2-40B4-BE49-F238E27FC236}">
              <a16:creationId xmlns:a16="http://schemas.microsoft.com/office/drawing/2014/main" id="{BDA665C4-1506-4B89-BF76-7EA208C51475}"/>
            </a:ext>
          </a:extLst>
        </xdr:cNvPr>
        <xdr:cNvSpPr/>
      </xdr:nvSpPr>
      <xdr:spPr>
        <a:xfrm>
          <a:off x="4006596" y="52578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19</xdr:col>
      <xdr:colOff>525780</xdr:colOff>
      <xdr:row>2</xdr:row>
      <xdr:rowOff>160020</xdr:rowOff>
    </xdr:from>
    <xdr:to>
      <xdr:col>23</xdr:col>
      <xdr:colOff>62484</xdr:colOff>
      <xdr:row>7</xdr:row>
      <xdr:rowOff>160020</xdr:rowOff>
    </xdr:to>
    <xdr:sp macro="" textlink="">
      <xdr:nvSpPr>
        <xdr:cNvPr id="15" name="Rectangle: Rounded Corners 14">
          <a:extLst>
            <a:ext uri="{FF2B5EF4-FFF2-40B4-BE49-F238E27FC236}">
              <a16:creationId xmlns:a16="http://schemas.microsoft.com/office/drawing/2014/main" id="{CC35F0C3-8488-4425-B440-612E3C4A07B5}"/>
            </a:ext>
          </a:extLst>
        </xdr:cNvPr>
        <xdr:cNvSpPr/>
      </xdr:nvSpPr>
      <xdr:spPr>
        <a:xfrm>
          <a:off x="12108180" y="525780"/>
          <a:ext cx="1975104"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205740</xdr:colOff>
      <xdr:row>8</xdr:row>
      <xdr:rowOff>41910</xdr:rowOff>
    </xdr:from>
    <xdr:to>
      <xdr:col>13</xdr:col>
      <xdr:colOff>99060</xdr:colOff>
      <xdr:row>23</xdr:row>
      <xdr:rowOff>41910</xdr:rowOff>
    </xdr:to>
    <xdr:graphicFrame macro="">
      <xdr:nvGraphicFramePr>
        <xdr:cNvPr id="16" name="Chart 15">
          <a:extLst>
            <a:ext uri="{FF2B5EF4-FFF2-40B4-BE49-F238E27FC236}">
              <a16:creationId xmlns:a16="http://schemas.microsoft.com/office/drawing/2014/main" id="{EB9340F4-2639-4C95-A5D5-18D6BFA1E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597132</xdr:colOff>
      <xdr:row>38</xdr:row>
      <xdr:rowOff>180455</xdr:rowOff>
    </xdr:from>
    <xdr:to>
      <xdr:col>15</xdr:col>
      <xdr:colOff>292332</xdr:colOff>
      <xdr:row>53</xdr:row>
      <xdr:rowOff>180456</xdr:rowOff>
    </xdr:to>
    <xdr:graphicFrame macro="">
      <xdr:nvGraphicFramePr>
        <xdr:cNvPr id="17" name="Chart 16">
          <a:extLst>
            <a:ext uri="{FF2B5EF4-FFF2-40B4-BE49-F238E27FC236}">
              <a16:creationId xmlns:a16="http://schemas.microsoft.com/office/drawing/2014/main" id="{89F3EE65-4F74-423C-A610-51CF24B1C3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160020</xdr:colOff>
      <xdr:row>8</xdr:row>
      <xdr:rowOff>41910</xdr:rowOff>
    </xdr:from>
    <xdr:to>
      <xdr:col>23</xdr:col>
      <xdr:colOff>53340</xdr:colOff>
      <xdr:row>23</xdr:row>
      <xdr:rowOff>41910</xdr:rowOff>
    </xdr:to>
    <xdr:graphicFrame macro="">
      <xdr:nvGraphicFramePr>
        <xdr:cNvPr id="18" name="Chart 17">
          <a:extLst>
            <a:ext uri="{FF2B5EF4-FFF2-40B4-BE49-F238E27FC236}">
              <a16:creationId xmlns:a16="http://schemas.microsoft.com/office/drawing/2014/main" id="{B0865BDC-90E6-4CF9-B169-2C4D584BD2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154478</xdr:colOff>
      <xdr:row>23</xdr:row>
      <xdr:rowOff>116378</xdr:rowOff>
    </xdr:from>
    <xdr:to>
      <xdr:col>23</xdr:col>
      <xdr:colOff>47798</xdr:colOff>
      <xdr:row>38</xdr:row>
      <xdr:rowOff>116379</xdr:rowOff>
    </xdr:to>
    <xdr:graphicFrame macro="">
      <xdr:nvGraphicFramePr>
        <xdr:cNvPr id="19" name="Chart 18">
          <a:extLst>
            <a:ext uri="{FF2B5EF4-FFF2-40B4-BE49-F238E27FC236}">
              <a16:creationId xmlns:a16="http://schemas.microsoft.com/office/drawing/2014/main" id="{76EC10B3-7AF3-4182-A934-8503CBEE32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234143</xdr:colOff>
      <xdr:row>38</xdr:row>
      <xdr:rowOff>180455</xdr:rowOff>
    </xdr:from>
    <xdr:to>
      <xdr:col>7</xdr:col>
      <xdr:colOff>538943</xdr:colOff>
      <xdr:row>53</xdr:row>
      <xdr:rowOff>180455</xdr:rowOff>
    </xdr:to>
    <xdr:graphicFrame macro="">
      <xdr:nvGraphicFramePr>
        <xdr:cNvPr id="20" name="Chart 19">
          <a:extLst>
            <a:ext uri="{FF2B5EF4-FFF2-40B4-BE49-F238E27FC236}">
              <a16:creationId xmlns:a16="http://schemas.microsoft.com/office/drawing/2014/main" id="{F3E47EA1-FA07-4D45-A33F-075FD7762D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312420</xdr:colOff>
      <xdr:row>3</xdr:row>
      <xdr:rowOff>45721</xdr:rowOff>
    </xdr:from>
    <xdr:to>
      <xdr:col>3</xdr:col>
      <xdr:colOff>45720</xdr:colOff>
      <xdr:row>16</xdr:row>
      <xdr:rowOff>175261</xdr:rowOff>
    </xdr:to>
    <mc:AlternateContent xmlns:mc="http://schemas.openxmlformats.org/markup-compatibility/2006" xmlns:a14="http://schemas.microsoft.com/office/drawing/2010/main">
      <mc:Choice Requires="a14">
        <xdr:graphicFrame macro="">
          <xdr:nvGraphicFramePr>
            <xdr:cNvPr id="21" name="Division 1">
              <a:extLst>
                <a:ext uri="{FF2B5EF4-FFF2-40B4-BE49-F238E27FC236}">
                  <a16:creationId xmlns:a16="http://schemas.microsoft.com/office/drawing/2014/main" id="{64422AE2-910E-4704-9254-17B8AB47C887}"/>
                </a:ext>
              </a:extLst>
            </xdr:cNvPr>
            <xdr:cNvGraphicFramePr/>
          </xdr:nvGraphicFramePr>
          <xdr:xfrm>
            <a:off x="0" y="0"/>
            <a:ext cx="0" cy="0"/>
          </xdr:xfrm>
          <a:graphic>
            <a:graphicData uri="http://schemas.microsoft.com/office/drawing/2010/slicer">
              <sle:slicer xmlns:sle="http://schemas.microsoft.com/office/drawing/2010/slicer" name="Division 1"/>
            </a:graphicData>
          </a:graphic>
        </xdr:graphicFrame>
      </mc:Choice>
      <mc:Fallback xmlns="">
        <xdr:sp macro="" textlink="">
          <xdr:nvSpPr>
            <xdr:cNvPr id="0" name=""/>
            <xdr:cNvSpPr>
              <a:spLocks noTextEdit="1"/>
            </xdr:cNvSpPr>
          </xdr:nvSpPr>
          <xdr:spPr>
            <a:xfrm>
              <a:off x="312420" y="594361"/>
              <a:ext cx="1562100" cy="25069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312420</xdr:colOff>
      <xdr:row>17</xdr:row>
      <xdr:rowOff>30482</xdr:rowOff>
    </xdr:from>
    <xdr:to>
      <xdr:col>3</xdr:col>
      <xdr:colOff>53340</xdr:colOff>
      <xdr:row>29</xdr:row>
      <xdr:rowOff>137162</xdr:rowOff>
    </xdr:to>
    <mc:AlternateContent xmlns:mc="http://schemas.openxmlformats.org/markup-compatibility/2006" xmlns:a14="http://schemas.microsoft.com/office/drawing/2010/main">
      <mc:Choice Requires="a14">
        <xdr:graphicFrame macro="">
          <xdr:nvGraphicFramePr>
            <xdr:cNvPr id="22" name="Customer Segment">
              <a:extLst>
                <a:ext uri="{FF2B5EF4-FFF2-40B4-BE49-F238E27FC236}">
                  <a16:creationId xmlns:a16="http://schemas.microsoft.com/office/drawing/2014/main" id="{C8D482AE-48CD-4FEE-A80F-B71C599D9EDB}"/>
                </a:ext>
              </a:extLst>
            </xdr:cNvPr>
            <xdr:cNvGraphicFramePr/>
          </xdr:nvGraphicFramePr>
          <xdr:xfrm>
            <a:off x="0" y="0"/>
            <a:ext cx="0" cy="0"/>
          </xdr:xfrm>
          <a:graphic>
            <a:graphicData uri="http://schemas.microsoft.com/office/drawing/2010/slicer">
              <sle:slicer xmlns:sle="http://schemas.microsoft.com/office/drawing/2010/slicer" name="Customer Segment"/>
            </a:graphicData>
          </a:graphic>
        </xdr:graphicFrame>
      </mc:Choice>
      <mc:Fallback xmlns="">
        <xdr:sp macro="" textlink="">
          <xdr:nvSpPr>
            <xdr:cNvPr id="0" name=""/>
            <xdr:cNvSpPr>
              <a:spLocks noTextEdit="1"/>
            </xdr:cNvSpPr>
          </xdr:nvSpPr>
          <xdr:spPr>
            <a:xfrm>
              <a:off x="312420" y="3139442"/>
              <a:ext cx="1569720" cy="23012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216824</xdr:colOff>
      <xdr:row>23</xdr:row>
      <xdr:rowOff>116378</xdr:rowOff>
    </xdr:from>
    <xdr:to>
      <xdr:col>13</xdr:col>
      <xdr:colOff>110144</xdr:colOff>
      <xdr:row>38</xdr:row>
      <xdr:rowOff>116379</xdr:rowOff>
    </xdr:to>
    <xdr:graphicFrame macro="">
      <xdr:nvGraphicFramePr>
        <xdr:cNvPr id="23" name="Chart 22">
          <a:extLst>
            <a:ext uri="{FF2B5EF4-FFF2-40B4-BE49-F238E27FC236}">
              <a16:creationId xmlns:a16="http://schemas.microsoft.com/office/drawing/2014/main" id="{0E7E5757-F6AA-4301-A27A-7418F8920A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25</xdr:col>
      <xdr:colOff>323850</xdr:colOff>
      <xdr:row>34</xdr:row>
      <xdr:rowOff>19050</xdr:rowOff>
    </xdr:from>
    <xdr:ext cx="184731" cy="264560"/>
    <xdr:sp macro="" textlink="">
      <xdr:nvSpPr>
        <xdr:cNvPr id="25" name="TextBox 24">
          <a:extLst>
            <a:ext uri="{FF2B5EF4-FFF2-40B4-BE49-F238E27FC236}">
              <a16:creationId xmlns:a16="http://schemas.microsoft.com/office/drawing/2014/main" id="{14A66D92-201A-C21D-39CD-1C2B1AFBE218}"/>
            </a:ext>
          </a:extLst>
        </xdr:cNvPr>
        <xdr:cNvSpPr txBox="1"/>
      </xdr:nvSpPr>
      <xdr:spPr>
        <a:xfrm>
          <a:off x="15563850" y="649605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3</xdr:col>
      <xdr:colOff>257991</xdr:colOff>
      <xdr:row>3</xdr:row>
      <xdr:rowOff>99060</xdr:rowOff>
    </xdr:from>
    <xdr:to>
      <xdr:col>6</xdr:col>
      <xdr:colOff>206829</xdr:colOff>
      <xdr:row>7</xdr:row>
      <xdr:rowOff>10886</xdr:rowOff>
    </xdr:to>
    <xdr:grpSp>
      <xdr:nvGrpSpPr>
        <xdr:cNvPr id="28" name="Group 27">
          <a:extLst>
            <a:ext uri="{FF2B5EF4-FFF2-40B4-BE49-F238E27FC236}">
              <a16:creationId xmlns:a16="http://schemas.microsoft.com/office/drawing/2014/main" id="{C65CD3AA-A4E0-7661-8134-D68139B7FC49}"/>
            </a:ext>
          </a:extLst>
        </xdr:cNvPr>
        <xdr:cNvGrpSpPr/>
      </xdr:nvGrpSpPr>
      <xdr:grpSpPr>
        <a:xfrm>
          <a:off x="2086791" y="647700"/>
          <a:ext cx="1777638" cy="643346"/>
          <a:chOff x="2048691" y="662940"/>
          <a:chExt cx="1777638" cy="643346"/>
        </a:xfrm>
      </xdr:grpSpPr>
      <xdr:sp macro="" textlink="'Customer Segment Pivot Table'!$A$16">
        <xdr:nvSpPr>
          <xdr:cNvPr id="26" name="TextBox 25">
            <a:extLst>
              <a:ext uri="{FF2B5EF4-FFF2-40B4-BE49-F238E27FC236}">
                <a16:creationId xmlns:a16="http://schemas.microsoft.com/office/drawing/2014/main" id="{19E05583-AE29-E864-F8DD-0AC8FC58377E}"/>
              </a:ext>
            </a:extLst>
          </xdr:cNvPr>
          <xdr:cNvSpPr txBox="1"/>
        </xdr:nvSpPr>
        <xdr:spPr>
          <a:xfrm>
            <a:off x="2048691" y="962297"/>
            <a:ext cx="1776549"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906F6B1-C540-437C-88CC-C1363FE4C2F8}" type="TxLink">
              <a:rPr lang="en-US" sz="2000" b="1" i="0" u="none" strike="noStrike">
                <a:solidFill>
                  <a:srgbClr val="0070C0"/>
                </a:solidFill>
                <a:latin typeface="Calibri"/>
                <a:ea typeface="Calibri"/>
                <a:cs typeface="Calibri"/>
              </a:rPr>
              <a:pPr algn="ctr"/>
              <a:t> BDT 318.08M</a:t>
            </a:fld>
            <a:endParaRPr lang="en-US" sz="2000" b="1">
              <a:solidFill>
                <a:srgbClr val="0070C0"/>
              </a:solidFill>
            </a:endParaRPr>
          </a:p>
        </xdr:txBody>
      </xdr:sp>
      <xdr:sp macro="" textlink="">
        <xdr:nvSpPr>
          <xdr:cNvPr id="27" name="TextBox 26">
            <a:extLst>
              <a:ext uri="{FF2B5EF4-FFF2-40B4-BE49-F238E27FC236}">
                <a16:creationId xmlns:a16="http://schemas.microsoft.com/office/drawing/2014/main" id="{8C388DD0-FFE1-4FE2-A8B1-5A70257F510D}"/>
              </a:ext>
            </a:extLst>
          </xdr:cNvPr>
          <xdr:cNvSpPr txBox="1"/>
        </xdr:nvSpPr>
        <xdr:spPr>
          <a:xfrm>
            <a:off x="2049780" y="662940"/>
            <a:ext cx="1776549"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70C0"/>
                </a:solidFill>
                <a:latin typeface="Calibri"/>
                <a:ea typeface="Calibri"/>
                <a:cs typeface="Calibri"/>
              </a:rPr>
              <a:t>Total</a:t>
            </a:r>
            <a:r>
              <a:rPr lang="en-US" sz="1600" b="1" i="0" u="none" strike="noStrike" baseline="0">
                <a:solidFill>
                  <a:srgbClr val="0070C0"/>
                </a:solidFill>
                <a:latin typeface="Calibri"/>
                <a:ea typeface="Calibri"/>
                <a:cs typeface="Calibri"/>
              </a:rPr>
              <a:t> Revenue</a:t>
            </a:r>
            <a:endParaRPr lang="en-US" sz="1600" b="1" i="0" u="none" strike="noStrike">
              <a:solidFill>
                <a:srgbClr val="0070C0"/>
              </a:solidFill>
              <a:latin typeface="Calibri"/>
              <a:ea typeface="Calibri"/>
              <a:cs typeface="Calibri"/>
            </a:endParaRPr>
          </a:p>
        </xdr:txBody>
      </xdr:sp>
    </xdr:grpSp>
    <xdr:clientData/>
  </xdr:twoCellAnchor>
  <xdr:twoCellAnchor>
    <xdr:from>
      <xdr:col>6</xdr:col>
      <xdr:colOff>425631</xdr:colOff>
      <xdr:row>3</xdr:row>
      <xdr:rowOff>99060</xdr:rowOff>
    </xdr:from>
    <xdr:to>
      <xdr:col>9</xdr:col>
      <xdr:colOff>374469</xdr:colOff>
      <xdr:row>7</xdr:row>
      <xdr:rowOff>10886</xdr:rowOff>
    </xdr:to>
    <xdr:grpSp>
      <xdr:nvGrpSpPr>
        <xdr:cNvPr id="29" name="Group 28">
          <a:extLst>
            <a:ext uri="{FF2B5EF4-FFF2-40B4-BE49-F238E27FC236}">
              <a16:creationId xmlns:a16="http://schemas.microsoft.com/office/drawing/2014/main" id="{F2A74CB8-B5AD-60B9-69CB-66DFF35F299B}"/>
            </a:ext>
          </a:extLst>
        </xdr:cNvPr>
        <xdr:cNvGrpSpPr/>
      </xdr:nvGrpSpPr>
      <xdr:grpSpPr>
        <a:xfrm>
          <a:off x="4083231" y="647700"/>
          <a:ext cx="1777638" cy="643346"/>
          <a:chOff x="2048691" y="662940"/>
          <a:chExt cx="1777638" cy="643346"/>
        </a:xfrm>
      </xdr:grpSpPr>
      <xdr:sp macro="" textlink="'Customer Segment Pivot Table'!$C$16">
        <xdr:nvSpPr>
          <xdr:cNvPr id="30" name="TextBox 29">
            <a:extLst>
              <a:ext uri="{FF2B5EF4-FFF2-40B4-BE49-F238E27FC236}">
                <a16:creationId xmlns:a16="http://schemas.microsoft.com/office/drawing/2014/main" id="{EAD8A95E-B690-2ACE-8F2B-7B343056AAAE}"/>
              </a:ext>
            </a:extLst>
          </xdr:cNvPr>
          <xdr:cNvSpPr txBox="1"/>
        </xdr:nvSpPr>
        <xdr:spPr>
          <a:xfrm>
            <a:off x="2048691" y="962297"/>
            <a:ext cx="1776549"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6CBA71-13B4-489E-8875-12C8437F63D1}" type="TxLink">
              <a:rPr lang="en-US" sz="2000" b="1" i="0" u="none" strike="noStrike">
                <a:solidFill>
                  <a:srgbClr val="0070C0"/>
                </a:solidFill>
                <a:latin typeface="Calibri"/>
                <a:ea typeface="Calibri"/>
                <a:cs typeface="Calibri"/>
              </a:rPr>
              <a:pPr algn="ctr"/>
              <a:t>287</a:t>
            </a:fld>
            <a:endParaRPr lang="en-US" sz="2000" b="1">
              <a:solidFill>
                <a:srgbClr val="0070C0"/>
              </a:solidFill>
            </a:endParaRPr>
          </a:p>
        </xdr:txBody>
      </xdr:sp>
      <xdr:sp macro="" textlink="">
        <xdr:nvSpPr>
          <xdr:cNvPr id="31" name="TextBox 30">
            <a:extLst>
              <a:ext uri="{FF2B5EF4-FFF2-40B4-BE49-F238E27FC236}">
                <a16:creationId xmlns:a16="http://schemas.microsoft.com/office/drawing/2014/main" id="{12052BB9-DE0A-9028-B35D-2DFA6291D99E}"/>
              </a:ext>
            </a:extLst>
          </xdr:cNvPr>
          <xdr:cNvSpPr txBox="1"/>
        </xdr:nvSpPr>
        <xdr:spPr>
          <a:xfrm>
            <a:off x="2049780" y="662940"/>
            <a:ext cx="1776549"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70C0"/>
                </a:solidFill>
                <a:latin typeface="Calibri"/>
                <a:ea typeface="Calibri"/>
                <a:cs typeface="Calibri"/>
              </a:rPr>
              <a:t>Total</a:t>
            </a:r>
            <a:r>
              <a:rPr lang="en-US" sz="1600" b="1" i="0" u="none" strike="noStrike" baseline="0">
                <a:solidFill>
                  <a:srgbClr val="0070C0"/>
                </a:solidFill>
                <a:latin typeface="Calibri"/>
                <a:ea typeface="Calibri"/>
                <a:cs typeface="Calibri"/>
              </a:rPr>
              <a:t> Customers</a:t>
            </a:r>
            <a:endParaRPr lang="en-US" sz="1600" b="1" i="0" u="none" strike="noStrike">
              <a:solidFill>
                <a:srgbClr val="0070C0"/>
              </a:solidFill>
              <a:latin typeface="Calibri"/>
              <a:ea typeface="Calibri"/>
              <a:cs typeface="Calibri"/>
            </a:endParaRPr>
          </a:p>
        </xdr:txBody>
      </xdr:sp>
    </xdr:grpSp>
    <xdr:clientData/>
  </xdr:twoCellAnchor>
  <xdr:twoCellAnchor>
    <xdr:from>
      <xdr:col>9</xdr:col>
      <xdr:colOff>548640</xdr:colOff>
      <xdr:row>3</xdr:row>
      <xdr:rowOff>91440</xdr:rowOff>
    </xdr:from>
    <xdr:to>
      <xdr:col>13</xdr:col>
      <xdr:colOff>30480</xdr:colOff>
      <xdr:row>7</xdr:row>
      <xdr:rowOff>3266</xdr:rowOff>
    </xdr:to>
    <xdr:grpSp>
      <xdr:nvGrpSpPr>
        <xdr:cNvPr id="33" name="Group 32">
          <a:extLst>
            <a:ext uri="{FF2B5EF4-FFF2-40B4-BE49-F238E27FC236}">
              <a16:creationId xmlns:a16="http://schemas.microsoft.com/office/drawing/2014/main" id="{CF352523-4573-E4B8-39FB-263C7B7B48E9}"/>
            </a:ext>
          </a:extLst>
        </xdr:cNvPr>
        <xdr:cNvGrpSpPr/>
      </xdr:nvGrpSpPr>
      <xdr:grpSpPr>
        <a:xfrm>
          <a:off x="6035040" y="640080"/>
          <a:ext cx="1920240" cy="643346"/>
          <a:chOff x="1973580" y="662940"/>
          <a:chExt cx="1920240" cy="643346"/>
        </a:xfrm>
      </xdr:grpSpPr>
      <xdr:sp macro="" textlink="'Customer Segment Pivot Table'!$E$16">
        <xdr:nvSpPr>
          <xdr:cNvPr id="34" name="TextBox 33">
            <a:extLst>
              <a:ext uri="{FF2B5EF4-FFF2-40B4-BE49-F238E27FC236}">
                <a16:creationId xmlns:a16="http://schemas.microsoft.com/office/drawing/2014/main" id="{D7EA60C1-26A0-280C-F029-74471B6C45C0}"/>
              </a:ext>
            </a:extLst>
          </xdr:cNvPr>
          <xdr:cNvSpPr txBox="1"/>
        </xdr:nvSpPr>
        <xdr:spPr>
          <a:xfrm>
            <a:off x="2048691" y="962297"/>
            <a:ext cx="1776549"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2CC12B7-6284-4371-84B6-69AC87A3AD68}" type="TxLink">
              <a:rPr lang="en-US" sz="2000" b="1" i="0" u="none" strike="noStrike">
                <a:solidFill>
                  <a:srgbClr val="0070C0"/>
                </a:solidFill>
                <a:latin typeface="Calibri"/>
                <a:ea typeface="Calibri"/>
                <a:cs typeface="Calibri"/>
              </a:rPr>
              <a:pPr algn="ctr"/>
              <a:t> BDT 1.11M</a:t>
            </a:fld>
            <a:endParaRPr lang="en-US" sz="2000" b="1">
              <a:solidFill>
                <a:srgbClr val="0070C0"/>
              </a:solidFill>
            </a:endParaRPr>
          </a:p>
        </xdr:txBody>
      </xdr:sp>
      <xdr:sp macro="" textlink="">
        <xdr:nvSpPr>
          <xdr:cNvPr id="35" name="TextBox 34">
            <a:extLst>
              <a:ext uri="{FF2B5EF4-FFF2-40B4-BE49-F238E27FC236}">
                <a16:creationId xmlns:a16="http://schemas.microsoft.com/office/drawing/2014/main" id="{948EFC1C-AA5B-F614-45B7-7E63E7E2B8BE}"/>
              </a:ext>
            </a:extLst>
          </xdr:cNvPr>
          <xdr:cNvSpPr txBox="1"/>
        </xdr:nvSpPr>
        <xdr:spPr>
          <a:xfrm>
            <a:off x="1973580" y="662940"/>
            <a:ext cx="1920240"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baseline="0">
                <a:solidFill>
                  <a:srgbClr val="0070C0"/>
                </a:solidFill>
                <a:latin typeface="Calibri"/>
                <a:ea typeface="Calibri"/>
                <a:cs typeface="Calibri"/>
              </a:rPr>
              <a:t>Avg Customer Value</a:t>
            </a:r>
            <a:endParaRPr lang="en-US" sz="1600" b="1" i="0" u="none" strike="noStrike">
              <a:solidFill>
                <a:srgbClr val="0070C0"/>
              </a:solidFill>
              <a:latin typeface="Calibri"/>
              <a:ea typeface="Calibri"/>
              <a:cs typeface="Calibri"/>
            </a:endParaRPr>
          </a:p>
        </xdr:txBody>
      </xdr:sp>
    </xdr:grpSp>
    <xdr:clientData/>
  </xdr:twoCellAnchor>
  <xdr:twoCellAnchor>
    <xdr:from>
      <xdr:col>13</xdr:col>
      <xdr:colOff>99060</xdr:colOff>
      <xdr:row>3</xdr:row>
      <xdr:rowOff>83820</xdr:rowOff>
    </xdr:from>
    <xdr:to>
      <xdr:col>16</xdr:col>
      <xdr:colOff>190500</xdr:colOff>
      <xdr:row>6</xdr:row>
      <xdr:rowOff>178526</xdr:rowOff>
    </xdr:to>
    <xdr:grpSp>
      <xdr:nvGrpSpPr>
        <xdr:cNvPr id="36" name="Group 35">
          <a:extLst>
            <a:ext uri="{FF2B5EF4-FFF2-40B4-BE49-F238E27FC236}">
              <a16:creationId xmlns:a16="http://schemas.microsoft.com/office/drawing/2014/main" id="{992320AF-4E52-2EA1-4BA6-1B0F2097AB10}"/>
            </a:ext>
          </a:extLst>
        </xdr:cNvPr>
        <xdr:cNvGrpSpPr/>
      </xdr:nvGrpSpPr>
      <xdr:grpSpPr>
        <a:xfrm>
          <a:off x="8023860" y="632460"/>
          <a:ext cx="1920240" cy="643346"/>
          <a:chOff x="1973580" y="662940"/>
          <a:chExt cx="1920240" cy="643346"/>
        </a:xfrm>
      </xdr:grpSpPr>
      <xdr:sp macro="" textlink="'Customer Segment Pivot Table'!$G$16">
        <xdr:nvSpPr>
          <xdr:cNvPr id="37" name="TextBox 36">
            <a:extLst>
              <a:ext uri="{FF2B5EF4-FFF2-40B4-BE49-F238E27FC236}">
                <a16:creationId xmlns:a16="http://schemas.microsoft.com/office/drawing/2014/main" id="{66094647-2F21-4D3D-BDA6-A62E0111AA53}"/>
              </a:ext>
            </a:extLst>
          </xdr:cNvPr>
          <xdr:cNvSpPr txBox="1"/>
        </xdr:nvSpPr>
        <xdr:spPr>
          <a:xfrm>
            <a:off x="2048691" y="962297"/>
            <a:ext cx="1776549"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9E2CB1-7688-44DF-8C6A-B4D916368353}" type="TxLink">
              <a:rPr lang="en-US" sz="2000" b="1" i="0" u="none" strike="noStrike">
                <a:solidFill>
                  <a:srgbClr val="0070C0"/>
                </a:solidFill>
                <a:latin typeface="Calibri"/>
                <a:ea typeface="Calibri"/>
                <a:cs typeface="Calibri"/>
              </a:rPr>
              <a:pPr algn="ctr"/>
              <a:t>6.82</a:t>
            </a:fld>
            <a:endParaRPr lang="en-US" sz="2000" b="1">
              <a:solidFill>
                <a:srgbClr val="0070C0"/>
              </a:solidFill>
            </a:endParaRPr>
          </a:p>
        </xdr:txBody>
      </xdr:sp>
      <xdr:sp macro="" textlink="">
        <xdr:nvSpPr>
          <xdr:cNvPr id="38" name="TextBox 37">
            <a:extLst>
              <a:ext uri="{FF2B5EF4-FFF2-40B4-BE49-F238E27FC236}">
                <a16:creationId xmlns:a16="http://schemas.microsoft.com/office/drawing/2014/main" id="{0D2C5967-3245-D257-802F-7BFB9095FA74}"/>
              </a:ext>
            </a:extLst>
          </xdr:cNvPr>
          <xdr:cNvSpPr txBox="1"/>
        </xdr:nvSpPr>
        <xdr:spPr>
          <a:xfrm>
            <a:off x="1973580" y="662940"/>
            <a:ext cx="1920240"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baseline="0">
                <a:solidFill>
                  <a:srgbClr val="0070C0"/>
                </a:solidFill>
                <a:latin typeface="Calibri"/>
                <a:ea typeface="Calibri"/>
                <a:cs typeface="Calibri"/>
              </a:rPr>
              <a:t>Average Frequency</a:t>
            </a:r>
            <a:endParaRPr lang="en-US" sz="1600" b="1" i="0" u="none" strike="noStrike">
              <a:solidFill>
                <a:srgbClr val="0070C0"/>
              </a:solidFill>
              <a:latin typeface="Calibri"/>
              <a:ea typeface="Calibri"/>
              <a:cs typeface="Calibri"/>
            </a:endParaRPr>
          </a:p>
        </xdr:txBody>
      </xdr:sp>
    </xdr:grpSp>
    <xdr:clientData/>
  </xdr:twoCellAnchor>
  <xdr:twoCellAnchor>
    <xdr:from>
      <xdr:col>16</xdr:col>
      <xdr:colOff>297180</xdr:colOff>
      <xdr:row>3</xdr:row>
      <xdr:rowOff>83820</xdr:rowOff>
    </xdr:from>
    <xdr:to>
      <xdr:col>19</xdr:col>
      <xdr:colOff>388620</xdr:colOff>
      <xdr:row>6</xdr:row>
      <xdr:rowOff>170906</xdr:rowOff>
    </xdr:to>
    <xdr:grpSp>
      <xdr:nvGrpSpPr>
        <xdr:cNvPr id="39" name="Group 38">
          <a:extLst>
            <a:ext uri="{FF2B5EF4-FFF2-40B4-BE49-F238E27FC236}">
              <a16:creationId xmlns:a16="http://schemas.microsoft.com/office/drawing/2014/main" id="{8A4BA5BA-AACF-5E9B-804F-BCE89AA8AAA8}"/>
            </a:ext>
          </a:extLst>
        </xdr:cNvPr>
        <xdr:cNvGrpSpPr/>
      </xdr:nvGrpSpPr>
      <xdr:grpSpPr>
        <a:xfrm>
          <a:off x="10050780" y="632460"/>
          <a:ext cx="1920240" cy="635726"/>
          <a:chOff x="1973580" y="662940"/>
          <a:chExt cx="1920240" cy="635726"/>
        </a:xfrm>
      </xdr:grpSpPr>
      <xdr:sp macro="" textlink="'Customer Segment Pivot Table'!$I$16">
        <xdr:nvSpPr>
          <xdr:cNvPr id="40" name="TextBox 39">
            <a:extLst>
              <a:ext uri="{FF2B5EF4-FFF2-40B4-BE49-F238E27FC236}">
                <a16:creationId xmlns:a16="http://schemas.microsoft.com/office/drawing/2014/main" id="{088324DB-4A7E-9D4E-F38D-D28A0A775430}"/>
              </a:ext>
            </a:extLst>
          </xdr:cNvPr>
          <xdr:cNvSpPr txBox="1"/>
        </xdr:nvSpPr>
        <xdr:spPr>
          <a:xfrm>
            <a:off x="2002971" y="954677"/>
            <a:ext cx="1776549"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1D0CA2A-A4C7-40AD-BB10-414974880890}" type="TxLink">
              <a:rPr lang="en-US" sz="2000" b="1" i="0" u="none" strike="noStrike">
                <a:solidFill>
                  <a:srgbClr val="0070C0"/>
                </a:solidFill>
                <a:latin typeface="Calibri"/>
                <a:ea typeface="Calibri"/>
                <a:cs typeface="Calibri"/>
              </a:rPr>
              <a:pPr algn="ctr"/>
              <a:t>105.36</a:t>
            </a:fld>
            <a:endParaRPr lang="en-US" sz="2000" b="1">
              <a:solidFill>
                <a:srgbClr val="0070C0"/>
              </a:solidFill>
            </a:endParaRPr>
          </a:p>
        </xdr:txBody>
      </xdr:sp>
      <xdr:sp macro="" textlink="">
        <xdr:nvSpPr>
          <xdr:cNvPr id="41" name="TextBox 40">
            <a:extLst>
              <a:ext uri="{FF2B5EF4-FFF2-40B4-BE49-F238E27FC236}">
                <a16:creationId xmlns:a16="http://schemas.microsoft.com/office/drawing/2014/main" id="{8ECCDE67-C6D6-4D8C-F5F6-00B99407E9E2}"/>
              </a:ext>
            </a:extLst>
          </xdr:cNvPr>
          <xdr:cNvSpPr txBox="1"/>
        </xdr:nvSpPr>
        <xdr:spPr>
          <a:xfrm>
            <a:off x="1973580" y="662940"/>
            <a:ext cx="1920240"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baseline="0">
                <a:solidFill>
                  <a:srgbClr val="0070C0"/>
                </a:solidFill>
                <a:latin typeface="Calibri"/>
                <a:ea typeface="Calibri"/>
                <a:cs typeface="Calibri"/>
              </a:rPr>
              <a:t>Average Recency</a:t>
            </a:r>
            <a:endParaRPr lang="en-US" sz="1600" b="1" i="0" u="none" strike="noStrike">
              <a:solidFill>
                <a:srgbClr val="0070C0"/>
              </a:solidFill>
              <a:latin typeface="Calibri"/>
              <a:ea typeface="Calibri"/>
              <a:cs typeface="Calibri"/>
            </a:endParaRPr>
          </a:p>
        </xdr:txBody>
      </xdr:sp>
    </xdr:grpSp>
    <xdr:clientData/>
  </xdr:twoCellAnchor>
  <xdr:twoCellAnchor>
    <xdr:from>
      <xdr:col>19</xdr:col>
      <xdr:colOff>571500</xdr:colOff>
      <xdr:row>3</xdr:row>
      <xdr:rowOff>99060</xdr:rowOff>
    </xdr:from>
    <xdr:to>
      <xdr:col>23</xdr:col>
      <xdr:colOff>53340</xdr:colOff>
      <xdr:row>7</xdr:row>
      <xdr:rowOff>3266</xdr:rowOff>
    </xdr:to>
    <xdr:grpSp>
      <xdr:nvGrpSpPr>
        <xdr:cNvPr id="42" name="Group 41">
          <a:extLst>
            <a:ext uri="{FF2B5EF4-FFF2-40B4-BE49-F238E27FC236}">
              <a16:creationId xmlns:a16="http://schemas.microsoft.com/office/drawing/2014/main" id="{2352221B-BC05-4391-8705-A8A649EAD28F}"/>
            </a:ext>
          </a:extLst>
        </xdr:cNvPr>
        <xdr:cNvGrpSpPr/>
      </xdr:nvGrpSpPr>
      <xdr:grpSpPr>
        <a:xfrm>
          <a:off x="12153900" y="647700"/>
          <a:ext cx="1920240" cy="635726"/>
          <a:chOff x="1973580" y="662940"/>
          <a:chExt cx="1920240" cy="635726"/>
        </a:xfrm>
      </xdr:grpSpPr>
      <xdr:sp macro="" textlink="'Customer Segment Pivot Table'!$K$16">
        <xdr:nvSpPr>
          <xdr:cNvPr id="43" name="TextBox 42">
            <a:extLst>
              <a:ext uri="{FF2B5EF4-FFF2-40B4-BE49-F238E27FC236}">
                <a16:creationId xmlns:a16="http://schemas.microsoft.com/office/drawing/2014/main" id="{32253060-7DA4-0E34-F646-4F8D3C662B0A}"/>
              </a:ext>
            </a:extLst>
          </xdr:cNvPr>
          <xdr:cNvSpPr txBox="1"/>
        </xdr:nvSpPr>
        <xdr:spPr>
          <a:xfrm>
            <a:off x="2002971" y="954677"/>
            <a:ext cx="1776549"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A98EE2-D3E5-4F24-9895-DD1F8F5962A7}" type="TxLink">
              <a:rPr lang="en-US" sz="2000" b="1" i="0" u="none" strike="noStrike">
                <a:solidFill>
                  <a:srgbClr val="0070C0"/>
                </a:solidFill>
                <a:latin typeface="Calibri"/>
                <a:ea typeface="Calibri"/>
                <a:cs typeface="Calibri"/>
              </a:rPr>
              <a:pPr algn="ctr"/>
              <a:t>1956</a:t>
            </a:fld>
            <a:endParaRPr lang="en-US" sz="2000" b="1">
              <a:solidFill>
                <a:srgbClr val="0070C0"/>
              </a:solidFill>
            </a:endParaRPr>
          </a:p>
        </xdr:txBody>
      </xdr:sp>
      <xdr:sp macro="" textlink="">
        <xdr:nvSpPr>
          <xdr:cNvPr id="44" name="TextBox 43">
            <a:extLst>
              <a:ext uri="{FF2B5EF4-FFF2-40B4-BE49-F238E27FC236}">
                <a16:creationId xmlns:a16="http://schemas.microsoft.com/office/drawing/2014/main" id="{7409865B-EF2D-EBFE-0A42-AAE8FBB66053}"/>
              </a:ext>
            </a:extLst>
          </xdr:cNvPr>
          <xdr:cNvSpPr txBox="1"/>
        </xdr:nvSpPr>
        <xdr:spPr>
          <a:xfrm>
            <a:off x="1973580" y="662940"/>
            <a:ext cx="1920240" cy="34398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600" b="1" i="0" u="none" strike="noStrike">
                <a:solidFill>
                  <a:srgbClr val="0070C0"/>
                </a:solidFill>
                <a:latin typeface="Calibri"/>
                <a:ea typeface="Calibri"/>
                <a:cs typeface="Calibri"/>
              </a:rPr>
              <a:t>Total</a:t>
            </a:r>
            <a:r>
              <a:rPr lang="en-US" sz="1600" b="1" i="0" u="none" strike="noStrike" baseline="0">
                <a:solidFill>
                  <a:srgbClr val="0070C0"/>
                </a:solidFill>
                <a:latin typeface="Calibri"/>
                <a:ea typeface="Calibri"/>
                <a:cs typeface="Calibri"/>
              </a:rPr>
              <a:t> Transactions</a:t>
            </a:r>
            <a:endParaRPr lang="en-US" sz="1600" b="1" i="0" u="none" strike="noStrike">
              <a:solidFill>
                <a:srgbClr val="0070C0"/>
              </a:solidFill>
              <a:latin typeface="Calibri"/>
              <a:ea typeface="Calibri"/>
              <a:cs typeface="Calibri"/>
            </a:endParaRPr>
          </a:p>
        </xdr:txBody>
      </xdr:sp>
    </xdr:grpSp>
    <xdr:clientData/>
  </xdr:twoCellAnchor>
  <xdr:twoCellAnchor>
    <xdr:from>
      <xdr:col>15</xdr:col>
      <xdr:colOff>350520</xdr:colOff>
      <xdr:row>38</xdr:row>
      <xdr:rowOff>180455</xdr:rowOff>
    </xdr:from>
    <xdr:to>
      <xdr:col>23</xdr:col>
      <xdr:colOff>45720</xdr:colOff>
      <xdr:row>53</xdr:row>
      <xdr:rowOff>180455</xdr:rowOff>
    </xdr:to>
    <xdr:graphicFrame macro="">
      <xdr:nvGraphicFramePr>
        <xdr:cNvPr id="13" name="Chart 12">
          <a:extLst>
            <a:ext uri="{FF2B5EF4-FFF2-40B4-BE49-F238E27FC236}">
              <a16:creationId xmlns:a16="http://schemas.microsoft.com/office/drawing/2014/main" id="{56EC3B92-4021-4706-B692-EEB383F6BF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106680</xdr:colOff>
      <xdr:row>0</xdr:row>
      <xdr:rowOff>30480</xdr:rowOff>
    </xdr:from>
    <xdr:to>
      <xdr:col>23</xdr:col>
      <xdr:colOff>121920</xdr:colOff>
      <xdr:row>62</xdr:row>
      <xdr:rowOff>134471</xdr:rowOff>
    </xdr:to>
    <xdr:sp macro="" textlink="">
      <xdr:nvSpPr>
        <xdr:cNvPr id="2" name="Rectangle: Rounded Corners 1">
          <a:extLst>
            <a:ext uri="{FF2B5EF4-FFF2-40B4-BE49-F238E27FC236}">
              <a16:creationId xmlns:a16="http://schemas.microsoft.com/office/drawing/2014/main" id="{E39A2A48-C0AC-5113-709B-A762DEC99E5A}"/>
            </a:ext>
          </a:extLst>
        </xdr:cNvPr>
        <xdr:cNvSpPr/>
      </xdr:nvSpPr>
      <xdr:spPr>
        <a:xfrm>
          <a:off x="106680" y="30480"/>
          <a:ext cx="14036040" cy="11220226"/>
        </a:xfrm>
        <a:prstGeom prst="roundRect">
          <a:avLst>
            <a:gd name="adj" fmla="val 3973"/>
          </a:avLst>
        </a:prstGeom>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205740</xdr:colOff>
      <xdr:row>2</xdr:row>
      <xdr:rowOff>68580</xdr:rowOff>
    </xdr:from>
    <xdr:to>
      <xdr:col>23</xdr:col>
      <xdr:colOff>38100</xdr:colOff>
      <xdr:row>62</xdr:row>
      <xdr:rowOff>17930</xdr:rowOff>
    </xdr:to>
    <xdr:sp macro="" textlink="">
      <xdr:nvSpPr>
        <xdr:cNvPr id="3" name="Rectangle: Rounded Corners 2">
          <a:extLst>
            <a:ext uri="{FF2B5EF4-FFF2-40B4-BE49-F238E27FC236}">
              <a16:creationId xmlns:a16="http://schemas.microsoft.com/office/drawing/2014/main" id="{2272C299-6312-4B90-AE85-706F70D98A97}"/>
            </a:ext>
          </a:extLst>
        </xdr:cNvPr>
        <xdr:cNvSpPr/>
      </xdr:nvSpPr>
      <xdr:spPr>
        <a:xfrm>
          <a:off x="205740" y="427168"/>
          <a:ext cx="13853160" cy="10706997"/>
        </a:xfrm>
        <a:prstGeom prst="roundRect">
          <a:avLst>
            <a:gd name="adj" fmla="val 2420"/>
          </a:avLst>
        </a:prstGeom>
        <a:solidFill>
          <a:schemeClr val="accent1">
            <a:lumMod val="40000"/>
            <a:lumOff val="6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312420</xdr:colOff>
      <xdr:row>0</xdr:row>
      <xdr:rowOff>0</xdr:rowOff>
    </xdr:from>
    <xdr:to>
      <xdr:col>14</xdr:col>
      <xdr:colOff>83820</xdr:colOff>
      <xdr:row>1</xdr:row>
      <xdr:rowOff>167640</xdr:rowOff>
    </xdr:to>
    <xdr:sp macro="" textlink="">
      <xdr:nvSpPr>
        <xdr:cNvPr id="4" name="TextBox 3">
          <a:extLst>
            <a:ext uri="{FF2B5EF4-FFF2-40B4-BE49-F238E27FC236}">
              <a16:creationId xmlns:a16="http://schemas.microsoft.com/office/drawing/2014/main" id="{C032AC4A-6153-B193-8585-24ACCE9E7594}"/>
            </a:ext>
          </a:extLst>
        </xdr:cNvPr>
        <xdr:cNvSpPr txBox="1"/>
      </xdr:nvSpPr>
      <xdr:spPr>
        <a:xfrm>
          <a:off x="4579620" y="0"/>
          <a:ext cx="4038600" cy="350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400" b="1">
              <a:solidFill>
                <a:schemeClr val="bg1"/>
              </a:solidFill>
            </a:rPr>
            <a:t>Sales Performance Dashboard</a:t>
          </a:r>
        </a:p>
      </xdr:txBody>
    </xdr:sp>
    <xdr:clientData/>
  </xdr:twoCellAnchor>
  <xdr:twoCellAnchor>
    <xdr:from>
      <xdr:col>3</xdr:col>
      <xdr:colOff>373380</xdr:colOff>
      <xdr:row>2</xdr:row>
      <xdr:rowOff>167640</xdr:rowOff>
    </xdr:from>
    <xdr:to>
      <xdr:col>23</xdr:col>
      <xdr:colOff>0</xdr:colOff>
      <xdr:row>11</xdr:row>
      <xdr:rowOff>0</xdr:rowOff>
    </xdr:to>
    <xdr:sp macro="" textlink="">
      <xdr:nvSpPr>
        <xdr:cNvPr id="5" name="Rectangle: Rounded Corners 4">
          <a:extLst>
            <a:ext uri="{FF2B5EF4-FFF2-40B4-BE49-F238E27FC236}">
              <a16:creationId xmlns:a16="http://schemas.microsoft.com/office/drawing/2014/main" id="{3249B9F0-E153-E9E0-B59E-51997BC50056}"/>
            </a:ext>
          </a:extLst>
        </xdr:cNvPr>
        <xdr:cNvSpPr/>
      </xdr:nvSpPr>
      <xdr:spPr>
        <a:xfrm>
          <a:off x="2202180" y="533400"/>
          <a:ext cx="11818620" cy="1478280"/>
        </a:xfrm>
        <a:prstGeom prst="roundRect">
          <a:avLst>
            <a:gd name="adj" fmla="val 6873"/>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0</xdr:col>
      <xdr:colOff>251460</xdr:colOff>
      <xdr:row>3</xdr:row>
      <xdr:rowOff>0</xdr:rowOff>
    </xdr:from>
    <xdr:to>
      <xdr:col>3</xdr:col>
      <xdr:colOff>106680</xdr:colOff>
      <xdr:row>46</xdr:row>
      <xdr:rowOff>45720</xdr:rowOff>
    </xdr:to>
    <xdr:sp macro="" textlink="">
      <xdr:nvSpPr>
        <xdr:cNvPr id="6" name="Rectangle: Rounded Corners 5">
          <a:extLst>
            <a:ext uri="{FF2B5EF4-FFF2-40B4-BE49-F238E27FC236}">
              <a16:creationId xmlns:a16="http://schemas.microsoft.com/office/drawing/2014/main" id="{65CB4766-AE63-4E8E-A067-9D356AF33517}"/>
            </a:ext>
          </a:extLst>
        </xdr:cNvPr>
        <xdr:cNvSpPr/>
      </xdr:nvSpPr>
      <xdr:spPr>
        <a:xfrm rot="16200000">
          <a:off x="-2861310" y="3661410"/>
          <a:ext cx="7909560" cy="1684020"/>
        </a:xfrm>
        <a:prstGeom prst="roundRect">
          <a:avLst>
            <a:gd name="adj" fmla="val 5556"/>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3</xdr:col>
      <xdr:colOff>365760</xdr:colOff>
      <xdr:row>11</xdr:row>
      <xdr:rowOff>68580</xdr:rowOff>
    </xdr:from>
    <xdr:to>
      <xdr:col>7</xdr:col>
      <xdr:colOff>213360</xdr:colOff>
      <xdr:row>16</xdr:row>
      <xdr:rowOff>68580</xdr:rowOff>
    </xdr:to>
    <xdr:sp macro="" textlink="">
      <xdr:nvSpPr>
        <xdr:cNvPr id="7" name="Rectangle: Rounded Corners 6">
          <a:extLst>
            <a:ext uri="{FF2B5EF4-FFF2-40B4-BE49-F238E27FC236}">
              <a16:creationId xmlns:a16="http://schemas.microsoft.com/office/drawing/2014/main" id="{58BC6B19-0529-416F-926F-659DCB6CEA2E}"/>
            </a:ext>
          </a:extLst>
        </xdr:cNvPr>
        <xdr:cNvSpPr/>
      </xdr:nvSpPr>
      <xdr:spPr>
        <a:xfrm>
          <a:off x="2194560" y="2080260"/>
          <a:ext cx="2286000"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8</xdr:col>
      <xdr:colOff>467360</xdr:colOff>
      <xdr:row>11</xdr:row>
      <xdr:rowOff>53340</xdr:rowOff>
    </xdr:from>
    <xdr:to>
      <xdr:col>12</xdr:col>
      <xdr:colOff>314960</xdr:colOff>
      <xdr:row>16</xdr:row>
      <xdr:rowOff>53340</xdr:rowOff>
    </xdr:to>
    <xdr:sp macro="" textlink="">
      <xdr:nvSpPr>
        <xdr:cNvPr id="8" name="Rectangle: Rounded Corners 7">
          <a:extLst>
            <a:ext uri="{FF2B5EF4-FFF2-40B4-BE49-F238E27FC236}">
              <a16:creationId xmlns:a16="http://schemas.microsoft.com/office/drawing/2014/main" id="{DFDF56C2-7DD5-4629-8309-18999F10EB38}"/>
            </a:ext>
          </a:extLst>
        </xdr:cNvPr>
        <xdr:cNvSpPr/>
      </xdr:nvSpPr>
      <xdr:spPr>
        <a:xfrm>
          <a:off x="5344160" y="2065020"/>
          <a:ext cx="2286000"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13</xdr:col>
      <xdr:colOff>434340</xdr:colOff>
      <xdr:row>11</xdr:row>
      <xdr:rowOff>53340</xdr:rowOff>
    </xdr:from>
    <xdr:to>
      <xdr:col>17</xdr:col>
      <xdr:colOff>416560</xdr:colOff>
      <xdr:row>16</xdr:row>
      <xdr:rowOff>53340</xdr:rowOff>
    </xdr:to>
    <xdr:sp macro="" textlink="">
      <xdr:nvSpPr>
        <xdr:cNvPr id="9" name="Rectangle: Rounded Corners 8">
          <a:extLst>
            <a:ext uri="{FF2B5EF4-FFF2-40B4-BE49-F238E27FC236}">
              <a16:creationId xmlns:a16="http://schemas.microsoft.com/office/drawing/2014/main" id="{EEF72574-14D8-4B38-B8FC-1632BD5A9917}"/>
            </a:ext>
          </a:extLst>
        </xdr:cNvPr>
        <xdr:cNvSpPr/>
      </xdr:nvSpPr>
      <xdr:spPr>
        <a:xfrm>
          <a:off x="8359140" y="2065020"/>
          <a:ext cx="2420620"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xdr:from>
      <xdr:col>18</xdr:col>
      <xdr:colOff>563880</xdr:colOff>
      <xdr:row>11</xdr:row>
      <xdr:rowOff>53340</xdr:rowOff>
    </xdr:from>
    <xdr:to>
      <xdr:col>22</xdr:col>
      <xdr:colOff>518160</xdr:colOff>
      <xdr:row>16</xdr:row>
      <xdr:rowOff>53340</xdr:rowOff>
    </xdr:to>
    <xdr:sp macro="" textlink="">
      <xdr:nvSpPr>
        <xdr:cNvPr id="10" name="Rectangle: Rounded Corners 9">
          <a:extLst>
            <a:ext uri="{FF2B5EF4-FFF2-40B4-BE49-F238E27FC236}">
              <a16:creationId xmlns:a16="http://schemas.microsoft.com/office/drawing/2014/main" id="{D8F31D72-02C4-4EC5-AD56-1F6B4E7A99E7}"/>
            </a:ext>
          </a:extLst>
        </xdr:cNvPr>
        <xdr:cNvSpPr/>
      </xdr:nvSpPr>
      <xdr:spPr>
        <a:xfrm>
          <a:off x="11536680" y="2065020"/>
          <a:ext cx="2392680" cy="914400"/>
        </a:xfrm>
        <a:prstGeom prst="roundRect">
          <a:avLst/>
        </a:prstGeom>
        <a:ln>
          <a:solidFill>
            <a:schemeClr val="accent1">
              <a:lumMod val="60000"/>
              <a:lumOff val="40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US" sz="1100"/>
        </a:p>
      </xdr:txBody>
    </xdr:sp>
    <xdr:clientData/>
  </xdr:twoCellAnchor>
  <xdr:twoCellAnchor editAs="oneCell">
    <xdr:from>
      <xdr:col>3</xdr:col>
      <xdr:colOff>426720</xdr:colOff>
      <xdr:row>3</xdr:row>
      <xdr:rowOff>38100</xdr:rowOff>
    </xdr:from>
    <xdr:to>
      <xdr:col>6</xdr:col>
      <xdr:colOff>586740</xdr:colOff>
      <xdr:row>10</xdr:row>
      <xdr:rowOff>129540</xdr:rowOff>
    </xdr:to>
    <mc:AlternateContent xmlns:mc="http://schemas.openxmlformats.org/markup-compatibility/2006" xmlns:tsle="http://schemas.microsoft.com/office/drawing/2012/timeslicer">
      <mc:Choice Requires="tsle">
        <xdr:graphicFrame macro="">
          <xdr:nvGraphicFramePr>
            <xdr:cNvPr id="11" name="Order Date 1">
              <a:extLst>
                <a:ext uri="{FF2B5EF4-FFF2-40B4-BE49-F238E27FC236}">
                  <a16:creationId xmlns:a16="http://schemas.microsoft.com/office/drawing/2014/main" id="{12772E8A-1D17-4693-9811-271A303334F2}"/>
                </a:ext>
              </a:extLst>
            </xdr:cNvPr>
            <xdr:cNvGraphicFramePr/>
          </xdr:nvGraphicFramePr>
          <xdr:xfrm>
            <a:off x="0" y="0"/>
            <a:ext cx="0" cy="0"/>
          </xdr:xfrm>
          <a:graphic>
            <a:graphicData uri="http://schemas.microsoft.com/office/drawing/2012/timeslicer">
              <tsle:timeslicer name="Order Date 1"/>
            </a:graphicData>
          </a:graphic>
        </xdr:graphicFrame>
      </mc:Choice>
      <mc:Fallback xmlns="">
        <xdr:sp macro="" textlink="">
          <xdr:nvSpPr>
            <xdr:cNvPr id="0" name=""/>
            <xdr:cNvSpPr>
              <a:spLocks noTextEdit="1"/>
            </xdr:cNvSpPr>
          </xdr:nvSpPr>
          <xdr:spPr>
            <a:xfrm>
              <a:off x="2255520" y="586740"/>
              <a:ext cx="198882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7</xdr:col>
      <xdr:colOff>30480</xdr:colOff>
      <xdr:row>3</xdr:row>
      <xdr:rowOff>38100</xdr:rowOff>
    </xdr:from>
    <xdr:to>
      <xdr:col>12</xdr:col>
      <xdr:colOff>91440</xdr:colOff>
      <xdr:row>10</xdr:row>
      <xdr:rowOff>129540</xdr:rowOff>
    </xdr:to>
    <mc:AlternateContent xmlns:mc="http://schemas.openxmlformats.org/markup-compatibility/2006" xmlns:tsle="http://schemas.microsoft.com/office/drawing/2012/timeslicer">
      <mc:Choice Requires="tsle">
        <xdr:graphicFrame macro="">
          <xdr:nvGraphicFramePr>
            <xdr:cNvPr id="12" name="Order Date 2">
              <a:extLst>
                <a:ext uri="{FF2B5EF4-FFF2-40B4-BE49-F238E27FC236}">
                  <a16:creationId xmlns:a16="http://schemas.microsoft.com/office/drawing/2014/main" id="{63AC66FA-BF4C-4E53-98C5-3DA64BFFABCC}"/>
                </a:ext>
              </a:extLst>
            </xdr:cNvPr>
            <xdr:cNvGraphicFramePr/>
          </xdr:nvGraphicFramePr>
          <xdr:xfrm>
            <a:off x="0" y="0"/>
            <a:ext cx="0" cy="0"/>
          </xdr:xfrm>
          <a:graphic>
            <a:graphicData uri="http://schemas.microsoft.com/office/drawing/2012/timeslicer">
              <tsle:timeslicer name="Order Date 2"/>
            </a:graphicData>
          </a:graphic>
        </xdr:graphicFrame>
      </mc:Choice>
      <mc:Fallback xmlns="">
        <xdr:sp macro="" textlink="">
          <xdr:nvSpPr>
            <xdr:cNvPr id="0" name=""/>
            <xdr:cNvSpPr>
              <a:spLocks noTextEdit="1"/>
            </xdr:cNvSpPr>
          </xdr:nvSpPr>
          <xdr:spPr>
            <a:xfrm>
              <a:off x="4297680" y="586740"/>
              <a:ext cx="31089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17</xdr:col>
      <xdr:colOff>259080</xdr:colOff>
      <xdr:row>3</xdr:row>
      <xdr:rowOff>38100</xdr:rowOff>
    </xdr:from>
    <xdr:to>
      <xdr:col>22</xdr:col>
      <xdr:colOff>548640</xdr:colOff>
      <xdr:row>10</xdr:row>
      <xdr:rowOff>129540</xdr:rowOff>
    </xdr:to>
    <mc:AlternateContent xmlns:mc="http://schemas.openxmlformats.org/markup-compatibility/2006" xmlns:tsle="http://schemas.microsoft.com/office/drawing/2012/timeslicer">
      <mc:Choice Requires="tsle">
        <xdr:graphicFrame macro="">
          <xdr:nvGraphicFramePr>
            <xdr:cNvPr id="13" name="Order Date 3">
              <a:extLst>
                <a:ext uri="{FF2B5EF4-FFF2-40B4-BE49-F238E27FC236}">
                  <a16:creationId xmlns:a16="http://schemas.microsoft.com/office/drawing/2014/main" id="{9A055E73-9D44-4842-8C9E-91BBE3EC98CF}"/>
                </a:ext>
              </a:extLst>
            </xdr:cNvPr>
            <xdr:cNvGraphicFramePr/>
          </xdr:nvGraphicFramePr>
          <xdr:xfrm>
            <a:off x="0" y="0"/>
            <a:ext cx="0" cy="0"/>
          </xdr:xfrm>
          <a:graphic>
            <a:graphicData uri="http://schemas.microsoft.com/office/drawing/2012/timeslicer">
              <tsle:timeslicer name="Order Date 3"/>
            </a:graphicData>
          </a:graphic>
        </xdr:graphicFrame>
      </mc:Choice>
      <mc:Fallback xmlns="">
        <xdr:sp macro="" textlink="">
          <xdr:nvSpPr>
            <xdr:cNvPr id="0" name=""/>
            <xdr:cNvSpPr>
              <a:spLocks noTextEdit="1"/>
            </xdr:cNvSpPr>
          </xdr:nvSpPr>
          <xdr:spPr>
            <a:xfrm>
              <a:off x="10622280" y="586740"/>
              <a:ext cx="33375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320040</xdr:colOff>
      <xdr:row>38</xdr:row>
      <xdr:rowOff>114300</xdr:rowOff>
    </xdr:from>
    <xdr:to>
      <xdr:col>3</xdr:col>
      <xdr:colOff>45720</xdr:colOff>
      <xdr:row>45</xdr:row>
      <xdr:rowOff>30479</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79FC7B86-79F4-409E-9D57-C62CC2B6868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320040" y="7063740"/>
              <a:ext cx="1554480" cy="1196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318135</xdr:colOff>
      <xdr:row>3</xdr:row>
      <xdr:rowOff>76201</xdr:rowOff>
    </xdr:from>
    <xdr:to>
      <xdr:col>3</xdr:col>
      <xdr:colOff>59055</xdr:colOff>
      <xdr:row>13</xdr:row>
      <xdr:rowOff>167640</xdr:rowOff>
    </xdr:to>
    <mc:AlternateContent xmlns:mc="http://schemas.openxmlformats.org/markup-compatibility/2006" xmlns:a14="http://schemas.microsoft.com/office/drawing/2010/main">
      <mc:Choice Requires="a14">
        <xdr:graphicFrame macro="">
          <xdr:nvGraphicFramePr>
            <xdr:cNvPr id="15" name="Division">
              <a:extLst>
                <a:ext uri="{FF2B5EF4-FFF2-40B4-BE49-F238E27FC236}">
                  <a16:creationId xmlns:a16="http://schemas.microsoft.com/office/drawing/2014/main" id="{3A23A67D-5E55-41A0-9F73-69B56543DA65}"/>
                </a:ext>
              </a:extLst>
            </xdr:cNvPr>
            <xdr:cNvGraphicFramePr/>
          </xdr:nvGraphicFramePr>
          <xdr:xfrm>
            <a:off x="0" y="0"/>
            <a:ext cx="0" cy="0"/>
          </xdr:xfrm>
          <a:graphic>
            <a:graphicData uri="http://schemas.microsoft.com/office/drawing/2010/slicer">
              <sle:slicer xmlns:sle="http://schemas.microsoft.com/office/drawing/2010/slicer" name="Division"/>
            </a:graphicData>
          </a:graphic>
        </xdr:graphicFrame>
      </mc:Choice>
      <mc:Fallback xmlns="">
        <xdr:sp macro="" textlink="">
          <xdr:nvSpPr>
            <xdr:cNvPr id="0" name=""/>
            <xdr:cNvSpPr>
              <a:spLocks noTextEdit="1"/>
            </xdr:cNvSpPr>
          </xdr:nvSpPr>
          <xdr:spPr>
            <a:xfrm>
              <a:off x="318135" y="624841"/>
              <a:ext cx="1569720" cy="19202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312420</xdr:colOff>
      <xdr:row>30</xdr:row>
      <xdr:rowOff>90431</xdr:rowOff>
    </xdr:from>
    <xdr:to>
      <xdr:col>3</xdr:col>
      <xdr:colOff>68580</xdr:colOff>
      <xdr:row>38</xdr:row>
      <xdr:rowOff>75191</xdr:rowOff>
    </xdr:to>
    <mc:AlternateContent xmlns:mc="http://schemas.openxmlformats.org/markup-compatibility/2006" xmlns:a14="http://schemas.microsoft.com/office/drawing/2010/main">
      <mc:Choice Requires="a14">
        <xdr:graphicFrame macro="">
          <xdr:nvGraphicFramePr>
            <xdr:cNvPr id="16" name="Sales Channel">
              <a:extLst>
                <a:ext uri="{FF2B5EF4-FFF2-40B4-BE49-F238E27FC236}">
                  <a16:creationId xmlns:a16="http://schemas.microsoft.com/office/drawing/2014/main" id="{025CC54E-425A-40FB-B9D3-119B3CC1551B}"/>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mlns="">
        <xdr:sp macro="" textlink="">
          <xdr:nvSpPr>
            <xdr:cNvPr id="0" name=""/>
            <xdr:cNvSpPr>
              <a:spLocks noTextEdit="1"/>
            </xdr:cNvSpPr>
          </xdr:nvSpPr>
          <xdr:spPr>
            <a:xfrm>
              <a:off x="312420" y="5576831"/>
              <a:ext cx="1584960" cy="14478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299085</xdr:colOff>
      <xdr:row>20</xdr:row>
      <xdr:rowOff>142763</xdr:rowOff>
    </xdr:from>
    <xdr:to>
      <xdr:col>3</xdr:col>
      <xdr:colOff>55245</xdr:colOff>
      <xdr:row>30</xdr:row>
      <xdr:rowOff>51322</xdr:rowOff>
    </xdr:to>
    <mc:AlternateContent xmlns:mc="http://schemas.openxmlformats.org/markup-compatibility/2006" xmlns:a14="http://schemas.microsoft.com/office/drawing/2010/main">
      <mc:Choice Requires="a14">
        <xdr:graphicFrame macro="">
          <xdr:nvGraphicFramePr>
            <xdr:cNvPr id="17" name="Product Name">
              <a:extLst>
                <a:ext uri="{FF2B5EF4-FFF2-40B4-BE49-F238E27FC236}">
                  <a16:creationId xmlns:a16="http://schemas.microsoft.com/office/drawing/2014/main" id="{97FABE6D-10B5-4989-BF1C-D6073E8CC904}"/>
                </a:ext>
              </a:extLst>
            </xdr:cNvPr>
            <xdr:cNvGraphicFramePr/>
          </xdr:nvGraphicFramePr>
          <xdr:xfrm>
            <a:off x="0" y="0"/>
            <a:ext cx="0" cy="0"/>
          </xdr:xfrm>
          <a:graphic>
            <a:graphicData uri="http://schemas.microsoft.com/office/drawing/2010/slicer">
              <sle:slicer xmlns:sle="http://schemas.microsoft.com/office/drawing/2010/slicer" name="Product Name"/>
            </a:graphicData>
          </a:graphic>
        </xdr:graphicFrame>
      </mc:Choice>
      <mc:Fallback xmlns="">
        <xdr:sp macro="" textlink="">
          <xdr:nvSpPr>
            <xdr:cNvPr id="0" name=""/>
            <xdr:cNvSpPr>
              <a:spLocks noTextEdit="1"/>
            </xdr:cNvSpPr>
          </xdr:nvSpPr>
          <xdr:spPr>
            <a:xfrm>
              <a:off x="299085" y="3800363"/>
              <a:ext cx="1584960" cy="173735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308610</xdr:colOff>
      <xdr:row>14</xdr:row>
      <xdr:rowOff>27455</xdr:rowOff>
    </xdr:from>
    <xdr:to>
      <xdr:col>3</xdr:col>
      <xdr:colOff>64770</xdr:colOff>
      <xdr:row>20</xdr:row>
      <xdr:rowOff>103654</xdr:rowOff>
    </xdr:to>
    <mc:AlternateContent xmlns:mc="http://schemas.openxmlformats.org/markup-compatibility/2006" xmlns:a14="http://schemas.microsoft.com/office/drawing/2010/main">
      <mc:Choice Requires="a14">
        <xdr:graphicFrame macro="">
          <xdr:nvGraphicFramePr>
            <xdr:cNvPr id="18" name="Category">
              <a:extLst>
                <a:ext uri="{FF2B5EF4-FFF2-40B4-BE49-F238E27FC236}">
                  <a16:creationId xmlns:a16="http://schemas.microsoft.com/office/drawing/2014/main" id="{4475D98C-8006-46EF-A65B-91026B51964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8610" y="2587775"/>
              <a:ext cx="1584960" cy="117347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144780</xdr:colOff>
      <xdr:row>3</xdr:row>
      <xdr:rowOff>38100</xdr:rowOff>
    </xdr:from>
    <xdr:to>
      <xdr:col>17</xdr:col>
      <xdr:colOff>205740</xdr:colOff>
      <xdr:row>10</xdr:row>
      <xdr:rowOff>129540</xdr:rowOff>
    </xdr:to>
    <mc:AlternateContent xmlns:mc="http://schemas.openxmlformats.org/markup-compatibility/2006" xmlns:tsle="http://schemas.microsoft.com/office/drawing/2012/timeslicer">
      <mc:Choice Requires="tsle">
        <xdr:graphicFrame macro="">
          <xdr:nvGraphicFramePr>
            <xdr:cNvPr id="19" name="Order Date">
              <a:extLst>
                <a:ext uri="{FF2B5EF4-FFF2-40B4-BE49-F238E27FC236}">
                  <a16:creationId xmlns:a16="http://schemas.microsoft.com/office/drawing/2014/main" id="{385699BE-82BD-4AFF-96A7-E9EEA68CD1F7}"/>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459980" y="586740"/>
              <a:ext cx="31089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3</xdr:col>
      <xdr:colOff>358140</xdr:colOff>
      <xdr:row>16</xdr:row>
      <xdr:rowOff>121920</xdr:rowOff>
    </xdr:from>
    <xdr:to>
      <xdr:col>13</xdr:col>
      <xdr:colOff>236220</xdr:colOff>
      <xdr:row>31</xdr:row>
      <xdr:rowOff>121920</xdr:rowOff>
    </xdr:to>
    <xdr:graphicFrame macro="">
      <xdr:nvGraphicFramePr>
        <xdr:cNvPr id="24" name="PC01_Revenue_by_Month">
          <a:extLst>
            <a:ext uri="{FF2B5EF4-FFF2-40B4-BE49-F238E27FC236}">
              <a16:creationId xmlns:a16="http://schemas.microsoft.com/office/drawing/2014/main" id="{079EE7DB-0364-4643-AAC3-928D12606C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297180</xdr:colOff>
      <xdr:row>16</xdr:row>
      <xdr:rowOff>121920</xdr:rowOff>
    </xdr:from>
    <xdr:to>
      <xdr:col>22</xdr:col>
      <xdr:colOff>556260</xdr:colOff>
      <xdr:row>31</xdr:row>
      <xdr:rowOff>121920</xdr:rowOff>
    </xdr:to>
    <xdr:graphicFrame macro="">
      <xdr:nvGraphicFramePr>
        <xdr:cNvPr id="25" name="PC02_Revenue_by_Division">
          <a:extLst>
            <a:ext uri="{FF2B5EF4-FFF2-40B4-BE49-F238E27FC236}">
              <a16:creationId xmlns:a16="http://schemas.microsoft.com/office/drawing/2014/main" id="{EC98C443-437F-4C87-BBA3-FFCC65FA79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274320</xdr:colOff>
      <xdr:row>46</xdr:row>
      <xdr:rowOff>175260</xdr:rowOff>
    </xdr:from>
    <xdr:to>
      <xdr:col>7</xdr:col>
      <xdr:colOff>487680</xdr:colOff>
      <xdr:row>61</xdr:row>
      <xdr:rowOff>83820</xdr:rowOff>
    </xdr:to>
    <xdr:graphicFrame macro="">
      <xdr:nvGraphicFramePr>
        <xdr:cNvPr id="26" name="PC03_Revenue_by_Category">
          <a:extLst>
            <a:ext uri="{FF2B5EF4-FFF2-40B4-BE49-F238E27FC236}">
              <a16:creationId xmlns:a16="http://schemas.microsoft.com/office/drawing/2014/main" id="{3CA96D52-EF8F-4BD6-9D9A-40884D628F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576942</xdr:colOff>
      <xdr:row>46</xdr:row>
      <xdr:rowOff>175260</xdr:rowOff>
    </xdr:from>
    <xdr:to>
      <xdr:col>15</xdr:col>
      <xdr:colOff>180702</xdr:colOff>
      <xdr:row>61</xdr:row>
      <xdr:rowOff>83820</xdr:rowOff>
    </xdr:to>
    <xdr:graphicFrame macro="">
      <xdr:nvGraphicFramePr>
        <xdr:cNvPr id="27" name="PC04_Revenue_by_Sales_Channel">
          <a:extLst>
            <a:ext uri="{FF2B5EF4-FFF2-40B4-BE49-F238E27FC236}">
              <a16:creationId xmlns:a16="http://schemas.microsoft.com/office/drawing/2014/main" id="{6B7B770F-0368-45B8-8A01-3198E8C998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269965</xdr:colOff>
      <xdr:row>46</xdr:row>
      <xdr:rowOff>175260</xdr:rowOff>
    </xdr:from>
    <xdr:to>
      <xdr:col>22</xdr:col>
      <xdr:colOff>555170</xdr:colOff>
      <xdr:row>61</xdr:row>
      <xdr:rowOff>83820</xdr:rowOff>
    </xdr:to>
    <xdr:graphicFrame macro="">
      <xdr:nvGraphicFramePr>
        <xdr:cNvPr id="28" name="PC05_Top_3_Products_by_Revenue">
          <a:extLst>
            <a:ext uri="{FF2B5EF4-FFF2-40B4-BE49-F238E27FC236}">
              <a16:creationId xmlns:a16="http://schemas.microsoft.com/office/drawing/2014/main" id="{983BB27B-3768-4115-8479-29A1C94FEE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325582</xdr:colOff>
      <xdr:row>11</xdr:row>
      <xdr:rowOff>152400</xdr:rowOff>
    </xdr:from>
    <xdr:to>
      <xdr:col>7</xdr:col>
      <xdr:colOff>114300</xdr:colOff>
      <xdr:row>15</xdr:row>
      <xdr:rowOff>144780</xdr:rowOff>
    </xdr:to>
    <xdr:grpSp>
      <xdr:nvGrpSpPr>
        <xdr:cNvPr id="37" name="Group 36">
          <a:extLst>
            <a:ext uri="{FF2B5EF4-FFF2-40B4-BE49-F238E27FC236}">
              <a16:creationId xmlns:a16="http://schemas.microsoft.com/office/drawing/2014/main" id="{8CF2C200-DEF8-B294-54A9-AD2E654B6021}"/>
            </a:ext>
          </a:extLst>
        </xdr:cNvPr>
        <xdr:cNvGrpSpPr/>
      </xdr:nvGrpSpPr>
      <xdr:grpSpPr>
        <a:xfrm>
          <a:off x="2154382" y="2164080"/>
          <a:ext cx="2227118" cy="723900"/>
          <a:chOff x="2169622" y="2148840"/>
          <a:chExt cx="2227118" cy="723900"/>
        </a:xfrm>
      </xdr:grpSpPr>
      <xdr:grpSp>
        <xdr:nvGrpSpPr>
          <xdr:cNvPr id="36" name="Group 35">
            <a:extLst>
              <a:ext uri="{FF2B5EF4-FFF2-40B4-BE49-F238E27FC236}">
                <a16:creationId xmlns:a16="http://schemas.microsoft.com/office/drawing/2014/main" id="{BFB55197-107A-1E6C-62DF-9597D95FA2B5}"/>
              </a:ext>
            </a:extLst>
          </xdr:cNvPr>
          <xdr:cNvGrpSpPr/>
        </xdr:nvGrpSpPr>
        <xdr:grpSpPr>
          <a:xfrm>
            <a:off x="2712720" y="2194560"/>
            <a:ext cx="1684020" cy="624840"/>
            <a:chOff x="2720340" y="2179320"/>
            <a:chExt cx="1684020" cy="624840"/>
          </a:xfrm>
        </xdr:grpSpPr>
        <xdr:sp macro="" textlink="'Sales Pivot Table'!$A$18">
          <xdr:nvSpPr>
            <xdr:cNvPr id="30" name="TextBox 29">
              <a:extLst>
                <a:ext uri="{FF2B5EF4-FFF2-40B4-BE49-F238E27FC236}">
                  <a16:creationId xmlns:a16="http://schemas.microsoft.com/office/drawing/2014/main" id="{C9C71FD8-B6E0-ABAB-DCE6-6D65832133D3}"/>
                </a:ext>
              </a:extLst>
            </xdr:cNvPr>
            <xdr:cNvSpPr txBox="1"/>
          </xdr:nvSpPr>
          <xdr:spPr>
            <a:xfrm>
              <a:off x="2720340" y="2438400"/>
              <a:ext cx="168402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D98A06-FD90-47D2-B785-CB4B9A133DE2}" type="TxLink">
                <a:rPr lang="en-US" sz="2000" b="1" i="0" u="none" strike="noStrike">
                  <a:solidFill>
                    <a:srgbClr val="0070C0"/>
                  </a:solidFill>
                  <a:latin typeface="Calibri"/>
                  <a:ea typeface="Calibri"/>
                  <a:cs typeface="Calibri"/>
                </a:rPr>
                <a:pPr algn="ctr"/>
                <a:t> BDT 318.08M</a:t>
              </a:fld>
              <a:endParaRPr lang="en-US" sz="2000" b="1">
                <a:solidFill>
                  <a:srgbClr val="0070C0"/>
                </a:solidFill>
              </a:endParaRPr>
            </a:p>
          </xdr:txBody>
        </xdr:sp>
        <xdr:sp macro="" textlink="'Sales Pivot Table'!$A$18">
          <xdr:nvSpPr>
            <xdr:cNvPr id="31" name="TextBox 30">
              <a:extLst>
                <a:ext uri="{FF2B5EF4-FFF2-40B4-BE49-F238E27FC236}">
                  <a16:creationId xmlns:a16="http://schemas.microsoft.com/office/drawing/2014/main" id="{EED94355-509F-423D-9ECA-C0820ED8E99E}"/>
                </a:ext>
              </a:extLst>
            </xdr:cNvPr>
            <xdr:cNvSpPr txBox="1"/>
          </xdr:nvSpPr>
          <xdr:spPr>
            <a:xfrm>
              <a:off x="2819400" y="2179320"/>
              <a:ext cx="153924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rgbClr val="0070C0"/>
                  </a:solidFill>
                </a:rPr>
                <a:t>Total</a:t>
              </a:r>
              <a:r>
                <a:rPr lang="en-US" sz="1400" b="1" baseline="0">
                  <a:ln>
                    <a:noFill/>
                  </a:ln>
                  <a:solidFill>
                    <a:srgbClr val="0070C0"/>
                  </a:solidFill>
                </a:rPr>
                <a:t> Revenue</a:t>
              </a:r>
              <a:endParaRPr lang="en-US" sz="1400" b="1">
                <a:ln>
                  <a:noFill/>
                </a:ln>
                <a:solidFill>
                  <a:srgbClr val="0070C0"/>
                </a:solidFill>
              </a:endParaRPr>
            </a:p>
          </xdr:txBody>
        </xdr:sp>
      </xdr:grpSp>
      <xdr:pic>
        <xdr:nvPicPr>
          <xdr:cNvPr id="35" name="Graphic 34" descr="Dollar with solid fill">
            <a:extLst>
              <a:ext uri="{FF2B5EF4-FFF2-40B4-BE49-F238E27FC236}">
                <a16:creationId xmlns:a16="http://schemas.microsoft.com/office/drawing/2014/main" id="{749F2E96-8951-64E9-E962-F2BD6120EC6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2169622" y="2148840"/>
            <a:ext cx="825038" cy="723900"/>
          </a:xfrm>
          <a:prstGeom prst="rect">
            <a:avLst/>
          </a:prstGeom>
        </xdr:spPr>
      </xdr:pic>
    </xdr:grpSp>
    <xdr:clientData/>
  </xdr:twoCellAnchor>
  <xdr:twoCellAnchor>
    <xdr:from>
      <xdr:col>8</xdr:col>
      <xdr:colOff>487449</xdr:colOff>
      <xdr:row>11</xdr:row>
      <xdr:rowOff>137160</xdr:rowOff>
    </xdr:from>
    <xdr:to>
      <xdr:col>12</xdr:col>
      <xdr:colOff>263698</xdr:colOff>
      <xdr:row>15</xdr:row>
      <xdr:rowOff>129540</xdr:rowOff>
    </xdr:to>
    <xdr:grpSp>
      <xdr:nvGrpSpPr>
        <xdr:cNvPr id="38" name="Group 37">
          <a:extLst>
            <a:ext uri="{FF2B5EF4-FFF2-40B4-BE49-F238E27FC236}">
              <a16:creationId xmlns:a16="http://schemas.microsoft.com/office/drawing/2014/main" id="{AA7B3053-551B-4FE7-9579-73CE64E672E4}"/>
            </a:ext>
          </a:extLst>
        </xdr:cNvPr>
        <xdr:cNvGrpSpPr/>
      </xdr:nvGrpSpPr>
      <xdr:grpSpPr>
        <a:xfrm>
          <a:off x="5364249" y="2148840"/>
          <a:ext cx="2214649" cy="723900"/>
          <a:chOff x="2220191" y="2148840"/>
          <a:chExt cx="2214649" cy="723900"/>
        </a:xfrm>
      </xdr:grpSpPr>
      <xdr:grpSp>
        <xdr:nvGrpSpPr>
          <xdr:cNvPr id="39" name="Group 38">
            <a:extLst>
              <a:ext uri="{FF2B5EF4-FFF2-40B4-BE49-F238E27FC236}">
                <a16:creationId xmlns:a16="http://schemas.microsoft.com/office/drawing/2014/main" id="{A66EFD7A-881F-16FB-7A5F-BA67F7C6A9BC}"/>
              </a:ext>
            </a:extLst>
          </xdr:cNvPr>
          <xdr:cNvGrpSpPr/>
        </xdr:nvGrpSpPr>
        <xdr:grpSpPr>
          <a:xfrm>
            <a:off x="2750820" y="2194560"/>
            <a:ext cx="1684020" cy="640080"/>
            <a:chOff x="2758440" y="2179320"/>
            <a:chExt cx="1684020" cy="640080"/>
          </a:xfrm>
        </xdr:grpSpPr>
        <xdr:sp macro="" textlink="'Sales Pivot Table'!$C$18">
          <xdr:nvSpPr>
            <xdr:cNvPr id="41" name="TextBox 40">
              <a:extLst>
                <a:ext uri="{FF2B5EF4-FFF2-40B4-BE49-F238E27FC236}">
                  <a16:creationId xmlns:a16="http://schemas.microsoft.com/office/drawing/2014/main" id="{DD972FBF-11CE-EF6C-82E2-08E9A91D66BD}"/>
                </a:ext>
              </a:extLst>
            </xdr:cNvPr>
            <xdr:cNvSpPr txBox="1"/>
          </xdr:nvSpPr>
          <xdr:spPr>
            <a:xfrm>
              <a:off x="2758440" y="2453640"/>
              <a:ext cx="168402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41F29F-FC4D-46F7-8403-7ED01592C187}" type="TxLink">
                <a:rPr lang="en-US" sz="2000" b="1" i="0" u="none" strike="noStrike">
                  <a:solidFill>
                    <a:srgbClr val="0070C0"/>
                  </a:solidFill>
                  <a:latin typeface="Calibri"/>
                  <a:ea typeface="Calibri"/>
                  <a:cs typeface="Calibri"/>
                </a:rPr>
                <a:pPr algn="ctr"/>
                <a:t>1956</a:t>
              </a:fld>
              <a:endParaRPr lang="en-US" sz="2000" b="1">
                <a:solidFill>
                  <a:srgbClr val="0070C0"/>
                </a:solidFill>
              </a:endParaRPr>
            </a:p>
          </xdr:txBody>
        </xdr:sp>
        <xdr:sp macro="" textlink="'Sales Pivot Table'!$A$18">
          <xdr:nvSpPr>
            <xdr:cNvPr id="42" name="TextBox 41">
              <a:extLst>
                <a:ext uri="{FF2B5EF4-FFF2-40B4-BE49-F238E27FC236}">
                  <a16:creationId xmlns:a16="http://schemas.microsoft.com/office/drawing/2014/main" id="{7AA3B8BF-B583-7D92-1C86-F25D6AB7B3FD}"/>
                </a:ext>
              </a:extLst>
            </xdr:cNvPr>
            <xdr:cNvSpPr txBox="1"/>
          </xdr:nvSpPr>
          <xdr:spPr>
            <a:xfrm>
              <a:off x="2819400" y="2179320"/>
              <a:ext cx="1539240"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rgbClr val="0070C0"/>
                  </a:solidFill>
                </a:rPr>
                <a:t>Total</a:t>
              </a:r>
              <a:r>
                <a:rPr lang="en-US" sz="1400" b="1" baseline="0">
                  <a:ln>
                    <a:noFill/>
                  </a:ln>
                  <a:solidFill>
                    <a:srgbClr val="0070C0"/>
                  </a:solidFill>
                </a:rPr>
                <a:t> Orders</a:t>
              </a:r>
            </a:p>
          </xdr:txBody>
        </xdr:sp>
      </xdr:grpSp>
      <xdr:pic>
        <xdr:nvPicPr>
          <xdr:cNvPr id="40" name="Graphic 39" descr="Shopping cart with solid fill">
            <a:extLst>
              <a:ext uri="{FF2B5EF4-FFF2-40B4-BE49-F238E27FC236}">
                <a16:creationId xmlns:a16="http://schemas.microsoft.com/office/drawing/2014/main" id="{4707A06B-90EB-9680-F578-B0BD6517C23E}"/>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a:off x="2220191" y="2148840"/>
            <a:ext cx="723900" cy="723900"/>
          </a:xfrm>
          <a:prstGeom prst="rect">
            <a:avLst/>
          </a:prstGeom>
        </xdr:spPr>
      </xdr:pic>
    </xdr:grpSp>
    <xdr:clientData/>
  </xdr:twoCellAnchor>
  <xdr:twoCellAnchor>
    <xdr:from>
      <xdr:col>13</xdr:col>
      <xdr:colOff>502920</xdr:colOff>
      <xdr:row>11</xdr:row>
      <xdr:rowOff>152400</xdr:rowOff>
    </xdr:from>
    <xdr:to>
      <xdr:col>17</xdr:col>
      <xdr:colOff>400350</xdr:colOff>
      <xdr:row>15</xdr:row>
      <xdr:rowOff>121920</xdr:rowOff>
    </xdr:to>
    <xdr:grpSp>
      <xdr:nvGrpSpPr>
        <xdr:cNvPr id="43" name="Group 42">
          <a:extLst>
            <a:ext uri="{FF2B5EF4-FFF2-40B4-BE49-F238E27FC236}">
              <a16:creationId xmlns:a16="http://schemas.microsoft.com/office/drawing/2014/main" id="{8B4ED1DA-8B06-420E-A5F1-C0A83B7709E3}"/>
            </a:ext>
          </a:extLst>
        </xdr:cNvPr>
        <xdr:cNvGrpSpPr/>
      </xdr:nvGrpSpPr>
      <xdr:grpSpPr>
        <a:xfrm>
          <a:off x="8427720" y="2164080"/>
          <a:ext cx="2335830" cy="701040"/>
          <a:chOff x="2149302" y="2186940"/>
          <a:chExt cx="2335830" cy="701040"/>
        </a:xfrm>
      </xdr:grpSpPr>
      <xdr:grpSp>
        <xdr:nvGrpSpPr>
          <xdr:cNvPr id="44" name="Group 43">
            <a:extLst>
              <a:ext uri="{FF2B5EF4-FFF2-40B4-BE49-F238E27FC236}">
                <a16:creationId xmlns:a16="http://schemas.microsoft.com/office/drawing/2014/main" id="{57419727-FE32-B9CF-DF44-BEC5DEB8C4F1}"/>
              </a:ext>
            </a:extLst>
          </xdr:cNvPr>
          <xdr:cNvGrpSpPr/>
        </xdr:nvGrpSpPr>
        <xdr:grpSpPr>
          <a:xfrm>
            <a:off x="2773680" y="2186940"/>
            <a:ext cx="1711452" cy="647700"/>
            <a:chOff x="2781300" y="2171700"/>
            <a:chExt cx="1711452" cy="647700"/>
          </a:xfrm>
        </xdr:grpSpPr>
        <xdr:sp macro="" textlink="'Sales Pivot Table'!$G$18">
          <xdr:nvSpPr>
            <xdr:cNvPr id="46" name="TextBox 45">
              <a:extLst>
                <a:ext uri="{FF2B5EF4-FFF2-40B4-BE49-F238E27FC236}">
                  <a16:creationId xmlns:a16="http://schemas.microsoft.com/office/drawing/2014/main" id="{FD30D894-97AC-6CA6-92D4-F8ACADF1872B}"/>
                </a:ext>
              </a:extLst>
            </xdr:cNvPr>
            <xdr:cNvSpPr txBox="1"/>
          </xdr:nvSpPr>
          <xdr:spPr>
            <a:xfrm>
              <a:off x="2781300" y="2453640"/>
              <a:ext cx="168402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822D66-4664-47A5-AFB1-E486F87ED512}" type="TxLink">
                <a:rPr lang="en-US" sz="2000" b="1" i="0" u="none" strike="noStrike">
                  <a:solidFill>
                    <a:srgbClr val="0070C0"/>
                  </a:solidFill>
                  <a:latin typeface="Calibri"/>
                  <a:ea typeface="Calibri"/>
                  <a:cs typeface="Calibri"/>
                </a:rPr>
                <a:pPr algn="ctr"/>
                <a:t>6006</a:t>
              </a:fld>
              <a:endParaRPr lang="en-US" sz="2000" b="1">
                <a:solidFill>
                  <a:srgbClr val="0070C0"/>
                </a:solidFill>
              </a:endParaRPr>
            </a:p>
          </xdr:txBody>
        </xdr:sp>
        <xdr:sp macro="" textlink="'Sales Pivot Table'!$A$18">
          <xdr:nvSpPr>
            <xdr:cNvPr id="47" name="TextBox 46">
              <a:extLst>
                <a:ext uri="{FF2B5EF4-FFF2-40B4-BE49-F238E27FC236}">
                  <a16:creationId xmlns:a16="http://schemas.microsoft.com/office/drawing/2014/main" id="{8EB96D54-264A-A3B6-0FDE-9B49F6E5019D}"/>
                </a:ext>
              </a:extLst>
            </xdr:cNvPr>
            <xdr:cNvSpPr txBox="1"/>
          </xdr:nvSpPr>
          <xdr:spPr>
            <a:xfrm>
              <a:off x="2865120" y="2171700"/>
              <a:ext cx="1627632" cy="34747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rgbClr val="0070C0"/>
                  </a:solidFill>
                </a:rPr>
                <a:t>Total</a:t>
              </a:r>
              <a:r>
                <a:rPr lang="en-US" sz="1400" b="1" baseline="0">
                  <a:ln>
                    <a:noFill/>
                  </a:ln>
                  <a:solidFill>
                    <a:srgbClr val="0070C0"/>
                  </a:solidFill>
                </a:rPr>
                <a:t> Quantity Sold</a:t>
              </a:r>
              <a:endParaRPr lang="en-US" sz="1400" b="1">
                <a:ln>
                  <a:noFill/>
                </a:ln>
                <a:solidFill>
                  <a:srgbClr val="0070C0"/>
                </a:solidFill>
              </a:endParaRPr>
            </a:p>
          </xdr:txBody>
        </xdr:sp>
      </xdr:grpSp>
      <xdr:pic>
        <xdr:nvPicPr>
          <xdr:cNvPr id="45" name="Graphic 44" descr="Cardboard boxes">
            <a:extLst>
              <a:ext uri="{FF2B5EF4-FFF2-40B4-BE49-F238E27FC236}">
                <a16:creationId xmlns:a16="http://schemas.microsoft.com/office/drawing/2014/main" id="{A9F4A423-282F-79C1-605F-B4270FDC2F7E}"/>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xdr:blipFill>
        <xdr:spPr>
          <a:xfrm>
            <a:off x="2149302" y="2232660"/>
            <a:ext cx="731520" cy="655320"/>
          </a:xfrm>
          <a:prstGeom prst="rect">
            <a:avLst/>
          </a:prstGeom>
        </xdr:spPr>
      </xdr:pic>
    </xdr:grpSp>
    <xdr:clientData/>
  </xdr:twoCellAnchor>
  <xdr:twoCellAnchor>
    <xdr:from>
      <xdr:col>19</xdr:col>
      <xdr:colOff>15240</xdr:colOff>
      <xdr:row>11</xdr:row>
      <xdr:rowOff>99060</xdr:rowOff>
    </xdr:from>
    <xdr:to>
      <xdr:col>22</xdr:col>
      <xdr:colOff>512618</xdr:colOff>
      <xdr:row>15</xdr:row>
      <xdr:rowOff>144780</xdr:rowOff>
    </xdr:to>
    <xdr:grpSp>
      <xdr:nvGrpSpPr>
        <xdr:cNvPr id="48" name="Group 47">
          <a:extLst>
            <a:ext uri="{FF2B5EF4-FFF2-40B4-BE49-F238E27FC236}">
              <a16:creationId xmlns:a16="http://schemas.microsoft.com/office/drawing/2014/main" id="{CEC0451A-FC86-434C-AF72-B7C6657D0EFA}"/>
            </a:ext>
          </a:extLst>
        </xdr:cNvPr>
        <xdr:cNvGrpSpPr/>
      </xdr:nvGrpSpPr>
      <xdr:grpSpPr>
        <a:xfrm>
          <a:off x="11597640" y="2110740"/>
          <a:ext cx="2326178" cy="777240"/>
          <a:chOff x="2177242" y="2110740"/>
          <a:chExt cx="2326178" cy="777240"/>
        </a:xfrm>
      </xdr:grpSpPr>
      <xdr:grpSp>
        <xdr:nvGrpSpPr>
          <xdr:cNvPr id="49" name="Group 48">
            <a:extLst>
              <a:ext uri="{FF2B5EF4-FFF2-40B4-BE49-F238E27FC236}">
                <a16:creationId xmlns:a16="http://schemas.microsoft.com/office/drawing/2014/main" id="{DC35AF4C-D866-37E0-77F7-48BA38FF9AF2}"/>
              </a:ext>
            </a:extLst>
          </xdr:cNvPr>
          <xdr:cNvGrpSpPr/>
        </xdr:nvGrpSpPr>
        <xdr:grpSpPr>
          <a:xfrm>
            <a:off x="2750820" y="2194560"/>
            <a:ext cx="1752600" cy="640080"/>
            <a:chOff x="2758440" y="2179320"/>
            <a:chExt cx="1752600" cy="640080"/>
          </a:xfrm>
        </xdr:grpSpPr>
        <xdr:sp macro="" textlink="'Sales Pivot Table'!$E$18">
          <xdr:nvSpPr>
            <xdr:cNvPr id="51" name="TextBox 50">
              <a:extLst>
                <a:ext uri="{FF2B5EF4-FFF2-40B4-BE49-F238E27FC236}">
                  <a16:creationId xmlns:a16="http://schemas.microsoft.com/office/drawing/2014/main" id="{DBEEAA9F-47DD-918E-71E1-CFC8292A0424}"/>
                </a:ext>
              </a:extLst>
            </xdr:cNvPr>
            <xdr:cNvSpPr txBox="1"/>
          </xdr:nvSpPr>
          <xdr:spPr>
            <a:xfrm>
              <a:off x="2758440" y="2453640"/>
              <a:ext cx="168402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BF0FD6-306C-493A-953F-6B3A6941C71C}" type="TxLink">
                <a:rPr lang="en-US" sz="2000" b="1" i="0" u="none" strike="noStrike">
                  <a:solidFill>
                    <a:srgbClr val="0070C0"/>
                  </a:solidFill>
                  <a:latin typeface="Calibri"/>
                  <a:ea typeface="Calibri"/>
                  <a:cs typeface="Calibri"/>
                </a:rPr>
                <a:pPr algn="ctr"/>
                <a:t> BDT 162.62K</a:t>
              </a:fld>
              <a:endParaRPr lang="en-US" sz="2000" b="1">
                <a:solidFill>
                  <a:srgbClr val="0070C0"/>
                </a:solidFill>
              </a:endParaRPr>
            </a:p>
          </xdr:txBody>
        </xdr:sp>
        <xdr:sp macro="" textlink="'Sales Pivot Table'!$A$18">
          <xdr:nvSpPr>
            <xdr:cNvPr id="52" name="TextBox 51">
              <a:extLst>
                <a:ext uri="{FF2B5EF4-FFF2-40B4-BE49-F238E27FC236}">
                  <a16:creationId xmlns:a16="http://schemas.microsoft.com/office/drawing/2014/main" id="{E7E7C84B-FE1B-2DFA-3B78-8D52A4574A66}"/>
                </a:ext>
              </a:extLst>
            </xdr:cNvPr>
            <xdr:cNvSpPr txBox="1"/>
          </xdr:nvSpPr>
          <xdr:spPr>
            <a:xfrm>
              <a:off x="2779222" y="2179320"/>
              <a:ext cx="1731818" cy="3505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b="1">
                  <a:ln>
                    <a:noFill/>
                  </a:ln>
                  <a:solidFill>
                    <a:srgbClr val="0070C0"/>
                  </a:solidFill>
                </a:rPr>
                <a:t>Average</a:t>
              </a:r>
              <a:r>
                <a:rPr lang="en-US" sz="1400" b="1" baseline="0">
                  <a:ln>
                    <a:noFill/>
                  </a:ln>
                  <a:solidFill>
                    <a:srgbClr val="0070C0"/>
                  </a:solidFill>
                </a:rPr>
                <a:t> Order Value</a:t>
              </a:r>
              <a:endParaRPr lang="en-US" sz="1400" b="1">
                <a:ln>
                  <a:noFill/>
                </a:ln>
                <a:solidFill>
                  <a:srgbClr val="0070C0"/>
                </a:solidFill>
              </a:endParaRPr>
            </a:p>
          </xdr:txBody>
        </xdr:sp>
      </xdr:grpSp>
      <xdr:pic>
        <xdr:nvPicPr>
          <xdr:cNvPr id="50" name="Graphic 49" descr="Employee badge with solid fill">
            <a:extLst>
              <a:ext uri="{FF2B5EF4-FFF2-40B4-BE49-F238E27FC236}">
                <a16:creationId xmlns:a16="http://schemas.microsoft.com/office/drawing/2014/main" id="{5A692EFB-E917-7D98-6F89-FAE1D50B06FD}"/>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2177242" y="2110740"/>
            <a:ext cx="685800" cy="777240"/>
          </a:xfrm>
          <a:prstGeom prst="rect">
            <a:avLst/>
          </a:prstGeom>
        </xdr:spPr>
      </xdr:pic>
    </xdr:grpSp>
    <xdr:clientData/>
  </xdr:twoCellAnchor>
  <xdr:twoCellAnchor>
    <xdr:from>
      <xdr:col>3</xdr:col>
      <xdr:colOff>365760</xdr:colOff>
      <xdr:row>32</xdr:row>
      <xdr:rowOff>53340</xdr:rowOff>
    </xdr:from>
    <xdr:to>
      <xdr:col>13</xdr:col>
      <xdr:colOff>243840</xdr:colOff>
      <xdr:row>46</xdr:row>
      <xdr:rowOff>68580</xdr:rowOff>
    </xdr:to>
    <xdr:graphicFrame macro="">
      <xdr:nvGraphicFramePr>
        <xdr:cNvPr id="20" name="Chart 19">
          <a:extLst>
            <a:ext uri="{FF2B5EF4-FFF2-40B4-BE49-F238E27FC236}">
              <a16:creationId xmlns:a16="http://schemas.microsoft.com/office/drawing/2014/main" id="{0CE66334-6BAF-4BFF-8F85-8ABA17953C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13</xdr:col>
      <xdr:colOff>297180</xdr:colOff>
      <xdr:row>32</xdr:row>
      <xdr:rowOff>53340</xdr:rowOff>
    </xdr:from>
    <xdr:to>
      <xdr:col>22</xdr:col>
      <xdr:colOff>563880</xdr:colOff>
      <xdr:row>46</xdr:row>
      <xdr:rowOff>68580</xdr:rowOff>
    </xdr:to>
    <xdr:graphicFrame macro="">
      <xdr:nvGraphicFramePr>
        <xdr:cNvPr id="21" name="Chart 20">
          <a:extLst>
            <a:ext uri="{FF2B5EF4-FFF2-40B4-BE49-F238E27FC236}">
              <a16:creationId xmlns:a16="http://schemas.microsoft.com/office/drawing/2014/main" id="{04B56A12-6F50-4908-8E2C-45F8CF2FBF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Navidul Hoque" refreshedDate="46288.714791666665" createdVersion="8" refreshedVersion="8" minRefreshableVersion="3" recordCount="287" xr:uid="{88F58D2E-3672-409F-9AE1-118E33ADDCD4}">
  <cacheSource type="worksheet">
    <worksheetSource name="Customer_Segmentation"/>
  </cacheSource>
  <cacheFields count="9">
    <cacheField name="Customer ID" numFmtId="0">
      <sharedItems count="287">
        <s v="CUST0001"/>
        <s v="CUST0002"/>
        <s v="CUST0003"/>
        <s v="CUST0004"/>
        <s v="CUST0005"/>
        <s v="CUST0006"/>
        <s v="CUST0007"/>
        <s v="CUST0008"/>
        <s v="CUST0009"/>
        <s v="CUST0010"/>
        <s v="CUST0011"/>
        <s v="CUST0012"/>
        <s v="CUST0013"/>
        <s v="CUST0014"/>
        <s v="CUST0015"/>
        <s v="CUST0016"/>
        <s v="CUST0017"/>
        <s v="CUST0018"/>
        <s v="CUST0019"/>
        <s v="CUST0020"/>
        <s v="CUST0021"/>
        <s v="CUST0022"/>
        <s v="CUST0023"/>
        <s v="CUST0024"/>
        <s v="CUST0025"/>
        <s v="CUST0026"/>
        <s v="CUST0027"/>
        <s v="CUST0028"/>
        <s v="CUST0029"/>
        <s v="CUST0030"/>
        <s v="CUST0031"/>
        <s v="CUST0032"/>
        <s v="CUST0034"/>
        <s v="CUST0035"/>
        <s v="CUST0036"/>
        <s v="CUST0037"/>
        <s v="CUST0038"/>
        <s v="CUST0039"/>
        <s v="CUST0040"/>
        <s v="CUST0041"/>
        <s v="CUST0042"/>
        <s v="CUST0043"/>
        <s v="CUST0044"/>
        <s v="CUST0045"/>
        <s v="CUST0046"/>
        <s v="CUST0047"/>
        <s v="CUST0048"/>
        <s v="CUST0049"/>
        <s v="CUST0050"/>
        <s v="CUST0051"/>
        <s v="CUST0052"/>
        <s v="CUST0053"/>
        <s v="CUST0054"/>
        <s v="CUST0055"/>
        <s v="CUST0056"/>
        <s v="CUST0057"/>
        <s v="CUST0058"/>
        <s v="CUST0059"/>
        <s v="CUST0060"/>
        <s v="CUST0061"/>
        <s v="CUST0062"/>
        <s v="CUST0063"/>
        <s v="CUST0064"/>
        <s v="CUST0065"/>
        <s v="CUST0066"/>
        <s v="CUST0067"/>
        <s v="CUST0068"/>
        <s v="CUST0069"/>
        <s v="CUST0070"/>
        <s v="CUST0071"/>
        <s v="CUST0072"/>
        <s v="CUST0073"/>
        <s v="CUST0074"/>
        <s v="CUST0075"/>
        <s v="CUST0076"/>
        <s v="CUST0077"/>
        <s v="CUST0078"/>
        <s v="CUST0079"/>
        <s v="CUST0080"/>
        <s v="CUST0081"/>
        <s v="CUST0082"/>
        <s v="CUST0083"/>
        <s v="CUST0085"/>
        <s v="CUST0086"/>
        <s v="CUST0087"/>
        <s v="CUST0088"/>
        <s v="CUST0089"/>
        <s v="CUST0090"/>
        <s v="CUST0091"/>
        <s v="CUST0092"/>
        <s v="CUST0093"/>
        <s v="CUST0094"/>
        <s v="CUST0095"/>
        <s v="CUST0096"/>
        <s v="CUST0097"/>
        <s v="CUST0098"/>
        <s v="CUST0099"/>
        <s v="CUST0100"/>
        <s v="CUST0101"/>
        <s v="CUST0102"/>
        <s v="CUST0103"/>
        <s v="CUST0104"/>
        <s v="CUST0105"/>
        <s v="CUST0106"/>
        <s v="CUST0107"/>
        <s v="CUST0109"/>
        <s v="CUST0111"/>
        <s v="CUST0112"/>
        <s v="CUST0113"/>
        <s v="CUST0114"/>
        <s v="CUST0115"/>
        <s v="CUST0116"/>
        <s v="CUST0117"/>
        <s v="CUST0118"/>
        <s v="CUST0120"/>
        <s v="CUST0121"/>
        <s v="CUST0122"/>
        <s v="CUST0123"/>
        <s v="CUST0124"/>
        <s v="CUST0125"/>
        <s v="CUST0126"/>
        <s v="CUST0127"/>
        <s v="CUST0128"/>
        <s v="CUST0129"/>
        <s v="CUST0130"/>
        <s v="CUST0131"/>
        <s v="CUST0133"/>
        <s v="CUST0134"/>
        <s v="CUST0135"/>
        <s v="CUST0136"/>
        <s v="CUST0137"/>
        <s v="CUST0138"/>
        <s v="CUST0139"/>
        <s v="CUST0140"/>
        <s v="CUST0141"/>
        <s v="CUST0142"/>
        <s v="CUST0143"/>
        <s v="CUST0144"/>
        <s v="CUST0145"/>
        <s v="CUST0146"/>
        <s v="CUST0147"/>
        <s v="CUST0148"/>
        <s v="CUST0149"/>
        <s v="CUST0150"/>
        <s v="CUST0152"/>
        <s v="CUST0153"/>
        <s v="CUST0154"/>
        <s v="CUST0155"/>
        <s v="CUST0156"/>
        <s v="CUST0157"/>
        <s v="CUST0158"/>
        <s v="CUST0159"/>
        <s v="CUST0160"/>
        <s v="CUST0161"/>
        <s v="CUST0162"/>
        <s v="CUST0163"/>
        <s v="CUST0164"/>
        <s v="CUST0165"/>
        <s v="CUST0166"/>
        <s v="CUST0167"/>
        <s v="CUST0168"/>
        <s v="CUST0169"/>
        <s v="CUST0170"/>
        <s v="CUST0171"/>
        <s v="CUST0172"/>
        <s v="CUST0173"/>
        <s v="CUST0174"/>
        <s v="CUST0176"/>
        <s v="CUST0177"/>
        <s v="CUST0178"/>
        <s v="CUST0179"/>
        <s v="CUST0180"/>
        <s v="CUST0181"/>
        <s v="CUST0182"/>
        <s v="CUST0183"/>
        <s v="CUST0184"/>
        <s v="CUST0185"/>
        <s v="CUST0186"/>
        <s v="CUST0187"/>
        <s v="CUST0188"/>
        <s v="CUST0189"/>
        <s v="CUST0190"/>
        <s v="CUST0191"/>
        <s v="CUST0192"/>
        <s v="CUST0193"/>
        <s v="CUST0194"/>
        <s v="CUST0195"/>
        <s v="CUST0196"/>
        <s v="CUST0197"/>
        <s v="CUST0198"/>
        <s v="CUST0199"/>
        <s v="CUST0200"/>
        <s v="CUST0201"/>
        <s v="CUST0202"/>
        <s v="CUST0203"/>
        <s v="CUST0204"/>
        <s v="CUST0205"/>
        <s v="CUST0206"/>
        <s v="CUST0207"/>
        <s v="CUST0208"/>
        <s v="CUST0209"/>
        <s v="CUST0210"/>
        <s v="CUST0211"/>
        <s v="CUST0212"/>
        <s v="CUST0213"/>
        <s v="CUST0214"/>
        <s v="CUST0215"/>
        <s v="CUST0216"/>
        <s v="CUST0217"/>
        <s v="CUST0218"/>
        <s v="CUST0219"/>
        <s v="CUST0220"/>
        <s v="CUST0221"/>
        <s v="CUST0222"/>
        <s v="CUST0223"/>
        <s v="CUST0224"/>
        <s v="CUST0225"/>
        <s v="CUST0226"/>
        <s v="CUST0227"/>
        <s v="CUST0228"/>
        <s v="CUST0229"/>
        <s v="CUST0232"/>
        <s v="CUST0233"/>
        <s v="CUST0234"/>
        <s v="CUST0235"/>
        <s v="CUST0236"/>
        <s v="CUST0237"/>
        <s v="CUST0238"/>
        <s v="CUST0239"/>
        <s v="CUST0240"/>
        <s v="CUST0241"/>
        <s v="CUST0242"/>
        <s v="CUST0243"/>
        <s v="CUST0244"/>
        <s v="CUST0245"/>
        <s v="CUST0246"/>
        <s v="CUST0247"/>
        <s v="CUST0248"/>
        <s v="CUST0249"/>
        <s v="CUST0250"/>
        <s v="CUST0251"/>
        <s v="CUST0252"/>
        <s v="CUST0253"/>
        <s v="CUST0255"/>
        <s v="CUST0256"/>
        <s v="CUST0257"/>
        <s v="CUST0258"/>
        <s v="CUST0259"/>
        <s v="CUST0260"/>
        <s v="CUST0261"/>
        <s v="CUST0262"/>
        <s v="CUST0263"/>
        <s v="CUST0264"/>
        <s v="CUST0265"/>
        <s v="CUST0266"/>
        <s v="CUST0267"/>
        <s v="CUST0268"/>
        <s v="CUST0269"/>
        <s v="CUST0270"/>
        <s v="CUST0271"/>
        <s v="CUST0272"/>
        <s v="CUST0273"/>
        <s v="CUST0274"/>
        <s v="CUST0276"/>
        <s v="CUST0278"/>
        <s v="CUST0279"/>
        <s v="CUST0280"/>
        <s v="CUST0281"/>
        <s v="CUST0282"/>
        <s v="CUST0283"/>
        <s v="CUST0284"/>
        <s v="CUST0285"/>
        <s v="CUST0286"/>
        <s v="CUST0287"/>
        <s v="CUST0288"/>
        <s v="CUST0289"/>
        <s v="CUST0290"/>
        <s v="CUST0291"/>
        <s v="CUST0292"/>
        <s v="CUST0293"/>
        <s v="CUST0294"/>
        <s v="CUST0295"/>
        <s v="CUST0296"/>
        <s v="CUST0297"/>
        <s v="CUST0298"/>
        <s v="CUST0299"/>
        <s v="CUST0300"/>
      </sharedItems>
    </cacheField>
    <cacheField name="Division" numFmtId="0">
      <sharedItems count="8">
        <s v="Chattogram"/>
        <s v="Rajshahi"/>
        <s v="Dhaka"/>
        <s v="Rangpur"/>
        <s v="Khulna"/>
        <s v="Barishal"/>
        <s v="Sylhet"/>
        <s v="Mymensingh"/>
      </sharedItems>
    </cacheField>
    <cacheField name="Recency" numFmtId="0">
      <sharedItems containsSemiMixedTypes="0" containsString="0" containsNumber="1" containsInteger="1" minValue="1" maxValue="596"/>
    </cacheField>
    <cacheField name="Frequency" numFmtId="1">
      <sharedItems containsSemiMixedTypes="0" containsString="0" containsNumber="1" containsInteger="1" minValue="1" maxValue="14"/>
    </cacheField>
    <cacheField name="Monetary" numFmtId="0">
      <sharedItems containsSemiMixedTypes="0" containsString="0" containsNumber="1" containsInteger="1" minValue="45510" maxValue="4280400"/>
    </cacheField>
    <cacheField name="R Score" numFmtId="0">
      <sharedItems containsSemiMixedTypes="0" containsString="0" containsNumber="1" containsInteger="1" minValue="1" maxValue="5"/>
    </cacheField>
    <cacheField name="F Score" numFmtId="0">
      <sharedItems containsSemiMixedTypes="0" containsString="0" containsNumber="1" containsInteger="1" minValue="1" maxValue="5"/>
    </cacheField>
    <cacheField name="M Score" numFmtId="0">
      <sharedItems containsSemiMixedTypes="0" containsString="0" containsNumber="1" containsInteger="1" minValue="1" maxValue="5"/>
    </cacheField>
    <cacheField name="Customer Segment" numFmtId="0">
      <sharedItems count="7">
        <s v="At Risk"/>
        <s v="Loyal Customers"/>
        <s v="Lost/Churned"/>
        <s v="Champions"/>
        <s v="New Customers"/>
        <s v="Potential Loyal"/>
        <s v="Low Engagement"/>
      </sharedItems>
    </cacheField>
  </cacheFields>
  <extLst>
    <ext xmlns:x14="http://schemas.microsoft.com/office/spreadsheetml/2009/9/main" uri="{725AE2AE-9491-48be-B2B4-4EB974FC3084}">
      <x14:pivotCacheDefinition pivotCacheId="1638906466"/>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Md.Navidul Hoque" refreshedDate="46293.856310416668" missingItemsLimit="0" createdVersion="8" refreshedVersion="8" minRefreshableVersion="3" recordCount="1956" xr:uid="{7CB02FF6-1F6D-45A8-BFE7-53BF15E229A4}">
  <cacheSource type="worksheet">
    <worksheetSource name="Sales_Data"/>
  </cacheSource>
  <cacheFields count="18">
    <cacheField name="Order ID" numFmtId="0">
      <sharedItems/>
    </cacheField>
    <cacheField name="Customer ID" numFmtId="0">
      <sharedItems/>
    </cacheField>
    <cacheField name="Gender" numFmtId="0">
      <sharedItems count="3">
        <s v="Male"/>
        <s v="Female"/>
        <s v="TIE - Review"/>
      </sharedItems>
    </cacheField>
    <cacheField name="Division" numFmtId="0">
      <sharedItems count="8">
        <s v="Dhaka"/>
        <s v="Chattogram"/>
        <s v="Rajshahi"/>
        <s v="Mymensingh"/>
        <s v="Rangpur"/>
        <s v="Khulna"/>
        <s v="Barishal"/>
        <s v="Sylhet"/>
      </sharedItems>
    </cacheField>
    <cacheField name="Age" numFmtId="0">
      <sharedItems containsSemiMixedTypes="0" containsString="0" containsNumber="1" containsInteger="1" minValue="18" maxValue="69"/>
    </cacheField>
    <cacheField name="Sales Channel" numFmtId="0">
      <sharedItems count="4">
        <s v="Online"/>
        <s v="Retail Store"/>
        <s v="Marketplace"/>
        <s v="Corporate Sales"/>
      </sharedItems>
    </cacheField>
    <cacheField name="Product Name" numFmtId="0">
      <sharedItems count="7">
        <s v="Monitor"/>
        <s v="Headphones"/>
        <s v="Laptop"/>
        <s v="Smartwatch"/>
        <s v="Keyboard"/>
        <s v="Mouse"/>
        <s v="Smartphone"/>
      </sharedItems>
    </cacheField>
    <cacheField name="Category" numFmtId="0">
      <sharedItems count="3">
        <s v="Electronics"/>
        <s v="Accessories"/>
        <s v="Wearables"/>
      </sharedItems>
    </cacheField>
    <cacheField name="Unit Price" numFmtId="0">
      <sharedItems containsSemiMixedTypes="0" containsString="0" containsNumber="1" containsInteger="1" minValue="3690" maxValue="184500"/>
    </cacheField>
    <cacheField name="Quantity" numFmtId="0">
      <sharedItems containsSemiMixedTypes="0" containsString="0" containsNumber="1" containsInteger="1" minValue="1" maxValue="5"/>
    </cacheField>
    <cacheField name="Total Price" numFmtId="1">
      <sharedItems containsSemiMixedTypes="0" containsString="0" containsNumber="1" containsInteger="1" minValue="3690" maxValue="922500"/>
    </cacheField>
    <cacheField name="Order Date" numFmtId="14">
      <sharedItems containsSemiMixedTypes="0" containsNonDate="0" containsDate="1" containsString="0" minDate="2023-01-01T00:00:00" maxDate="2025-01-01T00:00:00" count="672">
        <d v="2023-12-08T00:00:00"/>
        <d v="2023-04-09T00:00:00"/>
        <d v="2023-08-28T00:00:00"/>
        <d v="2023-01-18T00:00:00"/>
        <d v="2023-01-19T00:00:00"/>
        <d v="2023-01-11T00:00:00"/>
        <d v="2023-10-23T00:00:00"/>
        <d v="2023-06-15T00:00:00"/>
        <d v="2023-02-25T00:00:00"/>
        <d v="2023-04-23T00:00:00"/>
        <d v="2023-06-01T00:00:00"/>
        <d v="2023-09-13T00:00:00"/>
        <d v="2023-02-17T00:00:00"/>
        <d v="2023-12-10T00:00:00"/>
        <d v="2023-06-29T00:00:00"/>
        <d v="2023-07-14T00:00:00"/>
        <d v="2023-05-13T00:00:00"/>
        <d v="2023-06-09T00:00:00"/>
        <d v="2023-06-21T00:00:00"/>
        <d v="2023-11-26T00:00:00"/>
        <d v="2023-11-08T00:00:00"/>
        <d v="2023-12-27T00:00:00"/>
        <d v="2023-06-06T00:00:00"/>
        <d v="2023-10-28T00:00:00"/>
        <d v="2023-12-30T00:00:00"/>
        <d v="2023-12-04T00:00:00"/>
        <d v="2023-02-01T00:00:00"/>
        <d v="2023-08-14T00:00:00"/>
        <d v="2023-12-07T00:00:00"/>
        <d v="2023-06-28T00:00:00"/>
        <d v="2023-11-17T00:00:00"/>
        <d v="2023-01-25T00:00:00"/>
        <d v="2023-09-05T00:00:00"/>
        <d v="2023-09-17T00:00:00"/>
        <d v="2023-12-25T00:00:00"/>
        <d v="2023-01-14T00:00:00"/>
        <d v="2023-08-01T00:00:00"/>
        <d v="2023-02-12T00:00:00"/>
        <d v="2023-05-18T00:00:00"/>
        <d v="2023-10-03T00:00:00"/>
        <d v="2023-08-30T00:00:00"/>
        <d v="2023-09-15T00:00:00"/>
        <d v="2023-02-14T00:00:00"/>
        <d v="2023-02-27T00:00:00"/>
        <d v="2023-08-13T00:00:00"/>
        <d v="2023-05-09T00:00:00"/>
        <d v="2023-12-23T00:00:00"/>
        <d v="2023-09-01T00:00:00"/>
        <d v="2023-04-16T00:00:00"/>
        <d v="2023-12-13T00:00:00"/>
        <d v="2023-03-27T00:00:00"/>
        <d v="2023-11-16T00:00:00"/>
        <d v="2023-06-14T00:00:00"/>
        <d v="2023-01-26T00:00:00"/>
        <d v="2023-09-29T00:00:00"/>
        <d v="2023-03-14T00:00:00"/>
        <d v="2023-12-14T00:00:00"/>
        <d v="2023-08-08T00:00:00"/>
        <d v="2023-04-12T00:00:00"/>
        <d v="2023-02-21T00:00:00"/>
        <d v="2023-11-03T00:00:00"/>
        <d v="2023-01-16T00:00:00"/>
        <d v="2024-03-12T00:00:00"/>
        <d v="2023-02-05T00:00:00"/>
        <d v="2023-02-07T00:00:00"/>
        <d v="2023-04-03T00:00:00"/>
        <d v="2023-07-25T00:00:00"/>
        <d v="2023-10-01T00:00:00"/>
        <d v="2023-03-19T00:00:00"/>
        <d v="2023-10-05T00:00:00"/>
        <d v="2023-04-11T00:00:00"/>
        <d v="2023-09-11T00:00:00"/>
        <d v="2023-03-16T00:00:00"/>
        <d v="2023-11-21T00:00:00"/>
        <d v="2023-12-03T00:00:00"/>
        <d v="2023-02-08T00:00:00"/>
        <d v="2023-12-22T00:00:00"/>
        <d v="2023-10-24T00:00:00"/>
        <d v="2023-08-20T00:00:00"/>
        <d v="2023-05-20T00:00:00"/>
        <d v="2023-02-18T00:00:00"/>
        <d v="2024-05-11T00:00:00"/>
        <d v="2023-08-02T00:00:00"/>
        <d v="2023-04-19T00:00:00"/>
        <d v="2023-03-08T00:00:00"/>
        <d v="2023-07-04T00:00:00"/>
        <d v="2023-03-24T00:00:00"/>
        <d v="2023-02-02T00:00:00"/>
        <d v="2023-05-23T00:00:00"/>
        <d v="2023-08-12T00:00:00"/>
        <d v="2023-01-24T00:00:00"/>
        <d v="2023-09-14T00:00:00"/>
        <d v="2023-11-12T00:00:00"/>
        <d v="2024-01-27T00:00:00"/>
        <d v="2024-10-11T00:00:00"/>
        <d v="2023-05-06T00:00:00"/>
        <d v="2023-01-03T00:00:00"/>
        <d v="2023-10-12T00:00:00"/>
        <d v="2023-06-26T00:00:00"/>
        <d v="2023-05-26T00:00:00"/>
        <d v="2023-07-06T00:00:00"/>
        <d v="2023-06-20T00:00:00"/>
        <d v="2023-02-11T00:00:00"/>
        <d v="2023-03-22T00:00:00"/>
        <d v="2023-09-10T00:00:00"/>
        <d v="2023-02-22T00:00:00"/>
        <d v="2023-10-10T00:00:00"/>
        <d v="2023-05-29T00:00:00"/>
        <d v="2023-08-22T00:00:00"/>
        <d v="2023-05-10T00:00:00"/>
        <d v="2023-11-06T00:00:00"/>
        <d v="2023-02-06T00:00:00"/>
        <d v="2023-11-18T00:00:00"/>
        <d v="2023-01-13T00:00:00"/>
        <d v="2023-04-21T00:00:00"/>
        <d v="2023-06-04T00:00:00"/>
        <d v="2023-09-26T00:00:00"/>
        <d v="2023-11-23T00:00:00"/>
        <d v="2023-05-03T00:00:00"/>
        <d v="2023-08-27T00:00:00"/>
        <d v="2023-05-15T00:00:00"/>
        <d v="2023-05-16T00:00:00"/>
        <d v="2023-03-18T00:00:00"/>
        <d v="2023-09-19T00:00:00"/>
        <d v="2023-09-25T00:00:00"/>
        <d v="2023-05-07T00:00:00"/>
        <d v="2023-01-05T00:00:00"/>
        <d v="2023-11-07T00:00:00"/>
        <d v="2023-06-24T00:00:00"/>
        <d v="2023-03-04T00:00:00"/>
        <d v="2023-07-19T00:00:00"/>
        <d v="2023-04-24T00:00:00"/>
        <d v="2023-05-01T00:00:00"/>
        <d v="2024-10-22T00:00:00"/>
        <d v="2023-07-21T00:00:00"/>
        <d v="2023-10-11T00:00:00"/>
        <d v="2023-08-16T00:00:00"/>
        <d v="2023-04-14T00:00:00"/>
        <d v="2023-12-06T00:00:00"/>
        <d v="2023-08-31T00:00:00"/>
        <d v="2023-09-02T00:00:00"/>
        <d v="2023-04-06T00:00:00"/>
        <d v="2023-12-29T00:00:00"/>
        <d v="2023-10-21T00:00:00"/>
        <d v="2023-10-09T00:00:00"/>
        <d v="2023-05-27T00:00:00"/>
        <d v="2023-03-12T00:00:00"/>
        <d v="2023-06-18T00:00:00"/>
        <d v="2023-11-24T00:00:00"/>
        <d v="2023-08-05T00:00:00"/>
        <d v="2023-01-23T00:00:00"/>
        <d v="2023-06-22T00:00:00"/>
        <d v="2023-04-18T00:00:00"/>
        <d v="2023-01-28T00:00:00"/>
        <d v="2023-05-08T00:00:00"/>
        <d v="2023-06-07T00:00:00"/>
        <d v="2023-02-24T00:00:00"/>
        <d v="2023-02-16T00:00:00"/>
        <d v="2023-08-07T00:00:00"/>
        <d v="2023-04-04T00:00:00"/>
        <d v="2023-09-28T00:00:00"/>
        <d v="2023-08-21T00:00:00"/>
        <d v="2023-03-13T00:00:00"/>
        <d v="2023-02-28T00:00:00"/>
        <d v="2023-07-26T00:00:00"/>
        <d v="2023-07-02T00:00:00"/>
        <d v="2023-10-17T00:00:00"/>
        <d v="2023-10-18T00:00:00"/>
        <d v="2023-07-20T00:00:00"/>
        <d v="2023-04-08T00:00:00"/>
        <d v="2023-01-08T00:00:00"/>
        <d v="2023-08-15T00:00:00"/>
        <d v="2023-09-18T00:00:00"/>
        <d v="2023-02-15T00:00:00"/>
        <d v="2023-11-28T00:00:00"/>
        <d v="2023-07-29T00:00:00"/>
        <d v="2023-07-10T00:00:00"/>
        <d v="2023-10-25T00:00:00"/>
        <d v="2023-06-12T00:00:00"/>
        <d v="2023-07-22T00:00:00"/>
        <d v="2023-06-25T00:00:00"/>
        <d v="2023-11-29T00:00:00"/>
        <d v="2023-05-17T00:00:00"/>
        <d v="2023-09-23T00:00:00"/>
        <d v="2023-02-19T00:00:00"/>
        <d v="2023-11-05T00:00:00"/>
        <d v="2023-01-15T00:00:00"/>
        <d v="2023-05-11T00:00:00"/>
        <d v="2023-03-17T00:00:00"/>
        <d v="2023-10-16T00:00:00"/>
        <d v="2023-07-17T00:00:00"/>
        <d v="2023-06-30T00:00:00"/>
        <d v="2023-07-09T00:00:00"/>
        <d v="2023-01-17T00:00:00"/>
        <d v="2023-01-10T00:00:00"/>
        <d v="2023-03-25T00:00:00"/>
        <d v="2023-01-29T00:00:00"/>
        <d v="2023-09-16T00:00:00"/>
        <d v="2023-03-21T00:00:00"/>
        <d v="2024-10-12T00:00:00"/>
        <d v="2023-12-01T00:00:00"/>
        <d v="2023-01-27T00:00:00"/>
        <d v="2023-09-04T00:00:00"/>
        <d v="2023-09-24T00:00:00"/>
        <d v="2023-09-08T00:00:00"/>
        <d v="2023-03-15T00:00:00"/>
        <d v="2024-05-09T00:00:00"/>
        <d v="2023-06-08T00:00:00"/>
        <d v="2023-07-23T00:00:00"/>
        <d v="2023-10-08T00:00:00"/>
        <d v="2023-05-25T00:00:00"/>
        <d v="2023-04-28T00:00:00"/>
        <d v="2023-11-01T00:00:00"/>
        <d v="2023-08-03T00:00:00"/>
        <d v="2023-03-03T00:00:00"/>
        <d v="2023-10-31T00:00:00"/>
        <d v="2023-08-11T00:00:00"/>
        <d v="2023-11-25T00:00:00"/>
        <d v="2023-10-20T00:00:00"/>
        <d v="2023-11-27T00:00:00"/>
        <d v="2023-10-22T00:00:00"/>
        <d v="2023-02-10T00:00:00"/>
        <d v="2023-05-21T00:00:00"/>
        <d v="2023-06-17T00:00:00"/>
        <d v="2023-03-30T00:00:00"/>
        <d v="2023-10-07T00:00:00"/>
        <d v="2023-11-02T00:00:00"/>
        <d v="2023-09-21T00:00:00"/>
        <d v="2024-07-16T00:00:00"/>
        <d v="2023-08-23T00:00:00"/>
        <d v="2023-08-06T00:00:00"/>
        <d v="2023-01-01T00:00:00"/>
        <d v="2023-10-02T00:00:00"/>
        <d v="2023-04-29T00:00:00"/>
        <d v="2023-07-24T00:00:00"/>
        <d v="2023-02-13T00:00:00"/>
        <d v="2023-06-23T00:00:00"/>
        <d v="2023-07-28T00:00:00"/>
        <d v="2023-10-30T00:00:00"/>
        <d v="2023-11-10T00:00:00"/>
        <d v="2024-08-06T00:00:00"/>
        <d v="2023-06-03T00:00:00"/>
        <d v="2023-10-06T00:00:00"/>
        <d v="2023-05-02T00:00:00"/>
        <d v="2023-11-20T00:00:00"/>
        <d v="2023-08-10T00:00:00"/>
        <d v="2023-04-05T00:00:00"/>
        <d v="2023-07-05T00:00:00"/>
        <d v="2023-01-20T00:00:00"/>
        <d v="2024-02-16T00:00:00"/>
        <d v="2023-02-03T00:00:00"/>
        <d v="2023-11-22T00:00:00"/>
        <d v="2023-04-26T00:00:00"/>
        <d v="2023-04-10T00:00:00"/>
        <d v="2023-03-07T00:00:00"/>
        <d v="2023-01-02T00:00:00"/>
        <d v="2023-04-25T00:00:00"/>
        <d v="2023-06-11T00:00:00"/>
        <d v="2023-09-30T00:00:00"/>
        <d v="2023-08-18T00:00:00"/>
        <d v="2023-04-07T00:00:00"/>
        <d v="2023-05-24T00:00:00"/>
        <d v="2023-10-19T00:00:00"/>
        <d v="2023-02-09T00:00:00"/>
        <d v="2024-11-16T00:00:00"/>
        <d v="2023-03-02T00:00:00"/>
        <d v="2023-03-09T00:00:00"/>
        <d v="2023-01-07T00:00:00"/>
        <d v="2023-12-16T00:00:00"/>
        <d v="2023-09-12T00:00:00"/>
        <d v="2023-12-21T00:00:00"/>
        <d v="2023-06-05T00:00:00"/>
        <d v="2023-07-12T00:00:00"/>
        <d v="2023-09-22T00:00:00"/>
        <d v="2023-11-15T00:00:00"/>
        <d v="2023-12-26T00:00:00"/>
        <d v="2023-11-11T00:00:00"/>
        <d v="2024-09-30T00:00:00"/>
        <d v="2023-03-11T00:00:00"/>
        <d v="2023-12-12T00:00:00"/>
        <d v="2023-01-22T00:00:00"/>
        <d v="2023-12-31T00:00:00"/>
        <d v="2023-09-09T00:00:00"/>
        <d v="2023-04-15T00:00:00"/>
        <d v="2023-10-26T00:00:00"/>
        <d v="2023-07-16T00:00:00"/>
        <d v="2023-01-04T00:00:00"/>
        <d v="2023-07-15T00:00:00"/>
        <d v="2023-05-22T00:00:00"/>
        <d v="2023-12-17T00:00:00"/>
        <d v="2024-02-25T00:00:00"/>
        <d v="2023-11-04T00:00:00"/>
        <d v="2023-11-13T00:00:00"/>
        <d v="2023-03-20T00:00:00"/>
        <d v="2023-12-18T00:00:00"/>
        <d v="2023-01-09T00:00:00"/>
        <d v="2023-05-05T00:00:00"/>
        <d v="2023-04-20T00:00:00"/>
        <d v="2023-12-19T00:00:00"/>
        <d v="2023-07-03T00:00:00"/>
        <d v="2023-10-15T00:00:00"/>
        <d v="2023-06-10T00:00:00"/>
        <d v="2023-09-03T00:00:00"/>
        <d v="2023-04-02T00:00:00"/>
        <d v="2023-09-06T00:00:00"/>
        <d v="2023-11-09T00:00:00"/>
        <d v="2023-02-23T00:00:00"/>
        <d v="2023-06-02T00:00:00"/>
        <d v="2023-01-31T00:00:00"/>
        <d v="2023-05-04T00:00:00"/>
        <d v="2023-11-14T00:00:00"/>
        <d v="2024-10-10T00:00:00"/>
        <d v="2024-12-16T00:00:00"/>
        <d v="2023-02-20T00:00:00"/>
        <d v="2023-04-13T00:00:00"/>
        <d v="2023-03-06T00:00:00"/>
        <d v="2023-03-31T00:00:00"/>
        <d v="2023-12-09T00:00:00"/>
        <d v="2023-07-30T00:00:00"/>
        <d v="2023-05-28T00:00:00"/>
        <d v="2024-07-18T00:00:00"/>
        <d v="2023-01-12T00:00:00"/>
        <d v="2023-08-17T00:00:00"/>
        <d v="2023-12-02T00:00:00"/>
        <d v="2023-03-05T00:00:00"/>
        <d v="2023-07-13T00:00:00"/>
        <d v="2023-01-21T00:00:00"/>
        <d v="2023-08-19T00:00:00"/>
        <d v="2023-05-30T00:00:00"/>
        <d v="2023-06-13T00:00:00"/>
        <d v="2023-12-28T00:00:00"/>
        <d v="2023-09-27T00:00:00"/>
        <d v="2023-03-10T00:00:00"/>
        <d v="2023-06-27T00:00:00"/>
        <d v="2023-10-27T00:00:00"/>
        <d v="2023-07-18T00:00:00"/>
        <d v="2023-05-12T00:00:00"/>
        <d v="2023-04-27T00:00:00"/>
        <d v="2023-07-31T00:00:00"/>
        <d v="2023-02-26T00:00:00"/>
        <d v="2023-07-08T00:00:00"/>
        <d v="2023-01-06T00:00:00"/>
        <d v="2023-07-01T00:00:00"/>
        <d v="2024-08-23T00:00:00"/>
        <d v="2023-01-30T00:00:00"/>
        <d v="2024-04-14T00:00:00"/>
        <d v="2023-08-24T00:00:00"/>
        <d v="2023-05-14T00:00:00"/>
        <d v="2023-11-30T00:00:00"/>
        <d v="2023-03-28T00:00:00"/>
        <d v="2023-12-24T00:00:00"/>
        <d v="2023-11-19T00:00:00"/>
        <d v="2023-06-16T00:00:00"/>
        <d v="2023-03-26T00:00:00"/>
        <d v="2024-09-13T00:00:00"/>
        <d v="2023-07-11T00:00:00"/>
        <d v="2023-08-26T00:00:00"/>
        <d v="2023-04-01T00:00:00"/>
        <d v="2024-04-11T00:00:00"/>
        <d v="2024-08-01T00:00:00"/>
        <d v="2024-09-11T00:00:00"/>
        <d v="2024-09-28T00:00:00"/>
        <d v="2024-07-22T00:00:00"/>
        <d v="2024-06-25T00:00:00"/>
        <d v="2024-03-02T00:00:00"/>
        <d v="2024-03-14T00:00:00"/>
        <d v="2024-08-26T00:00:00"/>
        <d v="2024-03-20T00:00:00"/>
        <d v="2024-12-21T00:00:00"/>
        <d v="2024-11-29T00:00:00"/>
        <d v="2024-10-31T00:00:00"/>
        <d v="2024-03-23T00:00:00"/>
        <d v="2024-08-28T00:00:00"/>
        <d v="2024-12-19T00:00:00"/>
        <d v="2024-11-13T00:00:00"/>
        <d v="2024-07-24T00:00:00"/>
        <d v="2024-01-25T00:00:00"/>
        <d v="2024-01-20T00:00:00"/>
        <d v="2024-06-21T00:00:00"/>
        <d v="2024-11-24T00:00:00"/>
        <d v="2024-04-06T00:00:00"/>
        <d v="2024-01-17T00:00:00"/>
        <d v="2024-05-31T00:00:00"/>
        <d v="2024-08-31T00:00:00"/>
        <d v="2024-11-22T00:00:00"/>
        <d v="2024-09-01T00:00:00"/>
        <d v="2024-04-24T00:00:00"/>
        <d v="2024-11-04T00:00:00"/>
        <d v="2024-08-11T00:00:00"/>
        <d v="2024-01-30T00:00:00"/>
        <d v="2024-01-31T00:00:00"/>
        <d v="2024-04-29T00:00:00"/>
        <d v="2024-02-24T00:00:00"/>
        <d v="2024-01-14T00:00:00"/>
        <d v="2024-02-08T00:00:00"/>
        <d v="2024-01-12T00:00:00"/>
        <d v="2024-02-28T00:00:00"/>
        <d v="2024-03-01T00:00:00"/>
        <d v="2024-01-26T00:00:00"/>
        <d v="2024-01-07T00:00:00"/>
        <d v="2024-09-26T00:00:00"/>
        <d v="2024-08-09T00:00:00"/>
        <d v="2024-03-26T00:00:00"/>
        <d v="2024-08-02T00:00:00"/>
        <d v="2024-09-03T00:00:00"/>
        <d v="2024-06-15T00:00:00"/>
        <d v="2024-08-17T00:00:00"/>
        <d v="2024-06-28T00:00:00"/>
        <d v="2024-09-09T00:00:00"/>
        <d v="2024-06-17T00:00:00"/>
        <d v="2024-01-13T00:00:00"/>
        <d v="2024-04-03T00:00:00"/>
        <d v="2024-06-24T00:00:00"/>
        <d v="2024-02-18T00:00:00"/>
        <d v="2024-12-31T00:00:00"/>
        <d v="2024-12-10T00:00:00"/>
        <d v="2024-09-22T00:00:00"/>
        <d v="2024-12-12T00:00:00"/>
        <d v="2024-09-18T00:00:00"/>
        <d v="2024-04-19T00:00:00"/>
        <d v="2024-12-03T00:00:00"/>
        <d v="2024-05-06T00:00:00"/>
        <d v="2024-08-20T00:00:00"/>
        <d v="2024-07-02T00:00:00"/>
        <d v="2024-01-04T00:00:00"/>
        <d v="2024-03-25T00:00:00"/>
        <d v="2024-11-01T00:00:00"/>
        <d v="2024-05-03T00:00:00"/>
        <d v="2024-10-30T00:00:00"/>
        <d v="2024-08-13T00:00:00"/>
        <d v="2024-03-08T00:00:00"/>
        <d v="2024-10-28T00:00:00"/>
        <d v="2024-11-06T00:00:00"/>
        <d v="2024-09-29T00:00:00"/>
        <d v="2024-03-09T00:00:00"/>
        <d v="2024-10-21T00:00:00"/>
        <d v="2024-12-25T00:00:00"/>
        <d v="2024-09-17T00:00:00"/>
        <d v="2024-08-12T00:00:00"/>
        <d v="2024-07-13T00:00:00"/>
        <d v="2024-12-20T00:00:00"/>
        <d v="2024-06-04T00:00:00"/>
        <d v="2024-05-02T00:00:00"/>
        <d v="2024-11-21T00:00:00"/>
        <d v="2024-04-13T00:00:00"/>
        <d v="2024-03-03T00:00:00"/>
        <d v="2024-06-10T00:00:00"/>
        <d v="2024-02-23T00:00:00"/>
        <d v="2024-08-16T00:00:00"/>
        <d v="2024-12-02T00:00:00"/>
        <d v="2024-09-05T00:00:00"/>
        <d v="2024-11-08T00:00:00"/>
        <d v="2024-12-08T00:00:00"/>
        <d v="2024-02-29T00:00:00"/>
        <d v="2024-09-06T00:00:00"/>
        <d v="2024-04-23T00:00:00"/>
        <d v="2024-12-14T00:00:00"/>
        <d v="2024-06-03T00:00:00"/>
        <d v="2024-10-27T00:00:00"/>
        <d v="2024-12-30T00:00:00"/>
        <d v="2024-10-15T00:00:00"/>
        <d v="2024-10-18T00:00:00"/>
        <d v="2024-04-15T00:00:00"/>
        <d v="2024-11-14T00:00:00"/>
        <d v="2024-11-18T00:00:00"/>
        <d v="2024-01-28T00:00:00"/>
        <d v="2024-01-24T00:00:00"/>
        <d v="2024-06-05T00:00:00"/>
        <d v="2024-10-16T00:00:00"/>
        <d v="2024-04-02T00:00:00"/>
        <d v="2024-05-29T00:00:00"/>
        <d v="2024-07-11T00:00:00"/>
        <d v="2024-01-09T00:00:00"/>
        <d v="2024-08-27T00:00:00"/>
        <d v="2024-03-06T00:00:00"/>
        <d v="2024-02-13T00:00:00"/>
        <d v="2024-04-21T00:00:00"/>
        <d v="2024-06-20T00:00:00"/>
        <d v="2024-12-15T00:00:00"/>
        <d v="2024-01-11T00:00:00"/>
        <d v="2024-06-16T00:00:00"/>
        <d v="2024-11-15T00:00:00"/>
        <d v="2024-07-03T00:00:00"/>
        <d v="2024-09-23T00:00:00"/>
        <d v="2024-08-07T00:00:00"/>
        <d v="2024-02-19T00:00:00"/>
        <d v="2024-07-15T00:00:00"/>
        <d v="2024-12-18T00:00:00"/>
        <d v="2024-02-27T00:00:00"/>
        <d v="2024-03-11T00:00:00"/>
        <d v="2024-04-09T00:00:00"/>
        <d v="2024-07-10T00:00:00"/>
        <d v="2024-11-19T00:00:00"/>
        <d v="2024-12-11T00:00:00"/>
        <d v="2024-10-20T00:00:00"/>
        <d v="2024-05-16T00:00:00"/>
        <d v="2024-05-07T00:00:00"/>
        <d v="2024-01-15T00:00:00"/>
        <d v="2024-07-17T00:00:00"/>
        <d v="2024-04-22T00:00:00"/>
        <d v="2024-10-02T00:00:00"/>
        <d v="2024-06-18T00:00:00"/>
        <d v="2024-08-05T00:00:00"/>
        <d v="2024-06-13T00:00:00"/>
        <d v="2024-06-11T00:00:00"/>
        <d v="2024-12-05T00:00:00"/>
        <d v="2024-07-12T00:00:00"/>
        <d v="2024-01-10T00:00:00"/>
        <d v="2024-12-26T00:00:00"/>
        <d v="2024-05-04T00:00:00"/>
        <d v="2024-09-14T00:00:00"/>
        <d v="2024-07-28T00:00:00"/>
        <d v="2024-03-28T00:00:00"/>
        <d v="2024-11-10T00:00:00"/>
        <d v="2024-07-21T00:00:00"/>
        <d v="2024-02-09T00:00:00"/>
        <d v="2024-04-16T00:00:00"/>
        <d v="2024-07-25T00:00:00"/>
        <d v="2024-08-14T00:00:00"/>
        <d v="2024-05-17T00:00:00"/>
        <d v="2024-06-26T00:00:00"/>
        <d v="2024-06-09T00:00:00"/>
        <d v="2024-01-22T00:00:00"/>
        <d v="2024-11-27T00:00:00"/>
        <d v="2024-07-04T00:00:00"/>
        <d v="2024-01-01T00:00:00"/>
        <d v="2024-04-12T00:00:00"/>
        <d v="2024-03-30T00:00:00"/>
        <d v="2024-03-18T00:00:00"/>
        <d v="2024-03-17T00:00:00"/>
        <d v="2024-01-19T00:00:00"/>
        <d v="2024-10-03T00:00:00"/>
        <d v="2024-11-23T00:00:00"/>
        <d v="2024-11-05T00:00:00"/>
        <d v="2024-10-04T00:00:00"/>
        <d v="2024-08-08T00:00:00"/>
        <d v="2024-07-08T00:00:00"/>
        <d v="2024-11-20T00:00:00"/>
        <d v="2024-08-18T00:00:00"/>
        <d v="2024-09-08T00:00:00"/>
        <d v="2024-07-09T00:00:00"/>
        <d v="2024-01-21T00:00:00"/>
        <d v="2024-05-14T00:00:00"/>
        <d v="2024-09-19T00:00:00"/>
        <d v="2024-03-10T00:00:00"/>
        <d v="2024-11-30T00:00:00"/>
        <d v="2024-08-15T00:00:00"/>
        <d v="2024-11-17T00:00:00"/>
        <d v="2024-06-22T00:00:00"/>
        <d v="2024-03-21T00:00:00"/>
        <d v="2024-08-30T00:00:00"/>
        <d v="2024-09-07T00:00:00"/>
        <d v="2024-08-25T00:00:00"/>
        <d v="2024-01-29T00:00:00"/>
        <d v="2024-04-30T00:00:00"/>
        <d v="2024-07-27T00:00:00"/>
        <d v="2024-06-02T00:00:00"/>
        <d v="2024-05-26T00:00:00"/>
        <d v="2024-05-12T00:00:00"/>
        <d v="2024-04-28T00:00:00"/>
        <d v="2024-03-05T00:00:00"/>
        <d v="2024-09-20T00:00:00"/>
        <d v="2024-12-07T00:00:00"/>
        <d v="2024-03-15T00:00:00"/>
        <d v="2024-01-03T00:00:00"/>
        <d v="2024-06-23T00:00:00"/>
        <d v="2024-10-13T00:00:00"/>
        <d v="2024-09-12T00:00:00"/>
        <d v="2024-05-23T00:00:00"/>
        <d v="2024-09-04T00:00:00"/>
        <d v="2024-10-26T00:00:00"/>
        <d v="2024-06-06T00:00:00"/>
        <d v="2024-02-22T00:00:00"/>
        <d v="2024-07-23T00:00:00"/>
        <d v="2024-10-19T00:00:00"/>
        <d v="2024-04-01T00:00:00"/>
        <d v="2024-10-17T00:00:00"/>
        <d v="2024-02-04T00:00:00"/>
        <d v="2024-07-07T00:00:00"/>
        <d v="2024-05-20T00:00:00"/>
        <d v="2024-06-29T00:00:00"/>
        <d v="2024-11-28T00:00:00"/>
        <d v="2024-05-21T00:00:00"/>
        <d v="2024-06-30T00:00:00"/>
        <d v="2024-05-28T00:00:00"/>
        <d v="2024-02-12T00:00:00"/>
        <d v="2024-04-27T00:00:00"/>
        <d v="2024-07-26T00:00:00"/>
        <d v="2024-08-22T00:00:00"/>
        <d v="2024-08-29T00:00:00"/>
        <d v="2024-02-03T00:00:00"/>
        <d v="2024-09-02T00:00:00"/>
        <d v="2024-12-23T00:00:00"/>
        <d v="2024-11-03T00:00:00"/>
        <d v="2024-05-18T00:00:00"/>
        <d v="2024-12-17T00:00:00"/>
        <d v="2024-01-06T00:00:00"/>
        <d v="2024-02-10T00:00:00"/>
        <d v="2024-02-01T00:00:00"/>
        <d v="2024-05-05T00:00:00"/>
        <d v="2024-05-01T00:00:00"/>
        <d v="2024-04-04T00:00:00"/>
        <d v="2024-12-22T00:00:00"/>
        <d v="2024-12-09T00:00:00"/>
        <d v="2024-11-09T00:00:00"/>
        <d v="2024-06-19T00:00:00"/>
        <d v="2024-03-31T00:00:00"/>
        <d v="2024-08-10T00:00:00"/>
        <d v="2024-02-11T00:00:00"/>
        <d v="2024-10-05T00:00:00"/>
        <d v="2024-05-24T00:00:00"/>
        <d v="2024-12-04T00:00:00"/>
        <d v="2024-12-06T00:00:00"/>
        <d v="2024-10-14T00:00:00"/>
        <d v="2024-11-26T00:00:00"/>
        <d v="2024-06-14T00:00:00"/>
        <d v="2024-11-11T00:00:00"/>
        <d v="2024-10-29T00:00:00"/>
        <d v="2024-03-27T00:00:00"/>
        <d v="2024-01-23T00:00:00"/>
        <d v="2024-03-13T00:00:00"/>
        <d v="2024-03-07T00:00:00"/>
        <d v="2024-05-22T00:00:00"/>
        <d v="2024-12-24T00:00:00"/>
        <d v="2024-09-10T00:00:00"/>
        <d v="2024-08-19T00:00:00"/>
        <d v="2024-02-05T00:00:00"/>
        <d v="2024-09-25T00:00:00"/>
        <d v="2024-12-13T00:00:00"/>
        <d v="2024-02-02T00:00:00"/>
        <d v="2024-09-21T00:00:00"/>
        <d v="2024-06-27T00:00:00"/>
        <d v="2024-02-26T00:00:00"/>
        <d v="2024-09-27T00:00:00"/>
        <d v="2024-11-25T00:00:00"/>
        <d v="2024-02-17T00:00:00"/>
        <d v="2024-08-24T00:00:00"/>
        <d v="2024-04-10T00:00:00"/>
        <d v="2024-02-07T00:00:00"/>
        <d v="2024-08-03T00:00:00"/>
        <d v="2024-12-27T00:00:00"/>
        <d v="2024-05-27T00:00:00"/>
        <d v="2024-10-06T00:00:00"/>
        <d v="2024-01-02T00:00:00"/>
        <d v="2024-06-12T00:00:00"/>
        <d v="2024-02-21T00:00:00"/>
        <d v="2024-04-05T00:00:00"/>
        <d v="2024-10-24T00:00:00"/>
        <d v="2024-04-18T00:00:00"/>
        <d v="2024-01-08T00:00:00"/>
        <d v="2024-06-01T00:00:00"/>
        <d v="2024-02-20T00:00:00"/>
        <d v="2024-10-08T00:00:00"/>
        <d v="2024-04-26T00:00:00"/>
        <d v="2024-05-19T00:00:00"/>
        <d v="2024-07-01T00:00:00"/>
        <d v="2024-12-28T00:00:00"/>
        <d v="2024-09-15T00:00:00"/>
        <d v="2024-10-09T00:00:00"/>
        <d v="2024-12-01T00:00:00"/>
        <d v="2024-10-01T00:00:00"/>
        <d v="2024-07-05T00:00:00"/>
        <d v="2024-05-13T00:00:00"/>
        <d v="2024-07-29T00:00:00"/>
        <d v="2024-03-24T00:00:00"/>
        <d v="2024-11-07T00:00:00"/>
        <d v="2024-07-19T00:00:00"/>
        <d v="2024-05-15T00:00:00"/>
        <d v="2024-07-31T00:00:00"/>
        <d v="2024-05-25T00:00:00"/>
        <d v="2024-02-14T00:00:00"/>
        <d v="2024-12-29T00:00:00"/>
      </sharedItems>
      <fieldGroup par="17"/>
    </cacheField>
    <cacheField name="Week Days" numFmtId="0">
      <sharedItems/>
    </cacheField>
    <cacheField name="Day Type" numFmtId="0">
      <sharedItems/>
    </cacheField>
    <cacheField name="Days (Order Date)" numFmtId="0" databaseField="0">
      <fieldGroup base="11">
        <rangePr groupBy="days" startDate="2023-01-01T00:00:00" endDate="2025-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5"/>
        </groupItems>
      </fieldGroup>
    </cacheField>
    <cacheField name="Months (Order Date)" numFmtId="0" databaseField="0">
      <fieldGroup base="11">
        <rangePr groupBy="months" startDate="2023-01-01T00:00:00" endDate="2025-01-01T00:00:00"/>
        <groupItems count="14">
          <s v="&lt;1/1/2023"/>
          <s v="Jan"/>
          <s v="Feb"/>
          <s v="Mar"/>
          <s v="Apr"/>
          <s v="May"/>
          <s v="Jun"/>
          <s v="Jul"/>
          <s v="Aug"/>
          <s v="Sep"/>
          <s v="Oct"/>
          <s v="Nov"/>
          <s v="Dec"/>
          <s v="&gt;1/1/2025"/>
        </groupItems>
      </fieldGroup>
    </cacheField>
    <cacheField name="Quarters (Order Date)" numFmtId="0" databaseField="0">
      <fieldGroup base="11">
        <rangePr groupBy="quarters" startDate="2023-01-01T00:00:00" endDate="2025-01-01T00:00:00"/>
        <groupItems count="6">
          <s v="&lt;1/1/2023"/>
          <s v="Qtr1"/>
          <s v="Qtr2"/>
          <s v="Qtr3"/>
          <s v="Qtr4"/>
          <s v="&gt;1/1/2025"/>
        </groupItems>
      </fieldGroup>
    </cacheField>
    <cacheField name="Years (Order Date)" numFmtId="0" databaseField="0">
      <fieldGroup base="1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9284789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x v="0"/>
    <x v="0"/>
    <n v="168"/>
    <n v="5"/>
    <n v="2247210"/>
    <n v="2"/>
    <n v="2"/>
    <n v="5"/>
    <x v="0"/>
  </r>
  <r>
    <x v="1"/>
    <x v="1"/>
    <n v="43"/>
    <n v="7"/>
    <n v="387450"/>
    <n v="4"/>
    <n v="4"/>
    <n v="1"/>
    <x v="1"/>
  </r>
  <r>
    <x v="2"/>
    <x v="2"/>
    <n v="157"/>
    <n v="5"/>
    <n v="798270"/>
    <n v="2"/>
    <n v="2"/>
    <n v="2"/>
    <x v="2"/>
  </r>
  <r>
    <x v="3"/>
    <x v="0"/>
    <n v="138"/>
    <n v="9"/>
    <n v="857310"/>
    <n v="2"/>
    <n v="5"/>
    <n v="3"/>
    <x v="0"/>
  </r>
  <r>
    <x v="4"/>
    <x v="3"/>
    <n v="106"/>
    <n v="5"/>
    <n v="339480"/>
    <n v="2"/>
    <n v="2"/>
    <n v="1"/>
    <x v="2"/>
  </r>
  <r>
    <x v="5"/>
    <x v="2"/>
    <n v="263"/>
    <n v="7"/>
    <n v="1389900"/>
    <n v="1"/>
    <n v="4"/>
    <n v="4"/>
    <x v="0"/>
  </r>
  <r>
    <x v="6"/>
    <x v="4"/>
    <n v="12"/>
    <n v="11"/>
    <n v="1678950"/>
    <n v="5"/>
    <n v="5"/>
    <n v="5"/>
    <x v="3"/>
  </r>
  <r>
    <x v="7"/>
    <x v="5"/>
    <n v="140"/>
    <n v="8"/>
    <n v="457560"/>
    <n v="2"/>
    <n v="4"/>
    <n v="1"/>
    <x v="0"/>
  </r>
  <r>
    <x v="8"/>
    <x v="2"/>
    <n v="12"/>
    <n v="5"/>
    <n v="506760"/>
    <n v="5"/>
    <n v="2"/>
    <n v="2"/>
    <x v="4"/>
  </r>
  <r>
    <x v="9"/>
    <x v="1"/>
    <n v="34"/>
    <n v="10"/>
    <n v="1439100"/>
    <n v="4"/>
    <n v="5"/>
    <n v="4"/>
    <x v="3"/>
  </r>
  <r>
    <x v="10"/>
    <x v="2"/>
    <n v="33"/>
    <n v="8"/>
    <n v="931110"/>
    <n v="4"/>
    <n v="4"/>
    <n v="3"/>
    <x v="1"/>
  </r>
  <r>
    <x v="11"/>
    <x v="0"/>
    <n v="103"/>
    <n v="7"/>
    <n v="687570"/>
    <n v="2"/>
    <n v="4"/>
    <n v="2"/>
    <x v="0"/>
  </r>
  <r>
    <x v="12"/>
    <x v="6"/>
    <n v="58"/>
    <n v="6"/>
    <n v="621150"/>
    <n v="3"/>
    <n v="3"/>
    <n v="2"/>
    <x v="5"/>
  </r>
  <r>
    <x v="13"/>
    <x v="2"/>
    <n v="203"/>
    <n v="5"/>
    <n v="116850"/>
    <n v="1"/>
    <n v="2"/>
    <n v="1"/>
    <x v="2"/>
  </r>
  <r>
    <x v="14"/>
    <x v="4"/>
    <n v="97"/>
    <n v="4"/>
    <n v="1011060"/>
    <n v="3"/>
    <n v="1"/>
    <n v="3"/>
    <x v="5"/>
  </r>
  <r>
    <x v="15"/>
    <x v="7"/>
    <n v="21"/>
    <n v="8"/>
    <n v="1359150"/>
    <n v="5"/>
    <n v="4"/>
    <n v="4"/>
    <x v="3"/>
  </r>
  <r>
    <x v="16"/>
    <x v="2"/>
    <n v="20"/>
    <n v="6"/>
    <n v="1654350"/>
    <n v="5"/>
    <n v="3"/>
    <n v="5"/>
    <x v="5"/>
  </r>
  <r>
    <x v="17"/>
    <x v="1"/>
    <n v="54"/>
    <n v="7"/>
    <n v="815490"/>
    <n v="3"/>
    <n v="4"/>
    <n v="2"/>
    <x v="1"/>
  </r>
  <r>
    <x v="18"/>
    <x v="2"/>
    <n v="64"/>
    <n v="8"/>
    <n v="713400"/>
    <n v="3"/>
    <n v="4"/>
    <n v="2"/>
    <x v="1"/>
  </r>
  <r>
    <x v="19"/>
    <x v="0"/>
    <n v="27"/>
    <n v="6"/>
    <n v="634680"/>
    <n v="4"/>
    <n v="3"/>
    <n v="2"/>
    <x v="5"/>
  </r>
  <r>
    <x v="20"/>
    <x v="6"/>
    <n v="137"/>
    <n v="4"/>
    <n v="111930"/>
    <n v="2"/>
    <n v="1"/>
    <n v="1"/>
    <x v="2"/>
  </r>
  <r>
    <x v="21"/>
    <x v="2"/>
    <n v="13"/>
    <n v="11"/>
    <n v="1145130"/>
    <n v="5"/>
    <n v="5"/>
    <n v="3"/>
    <x v="1"/>
  </r>
  <r>
    <x v="22"/>
    <x v="0"/>
    <n v="31"/>
    <n v="8"/>
    <n v="1488300"/>
    <n v="4"/>
    <n v="4"/>
    <n v="4"/>
    <x v="3"/>
  </r>
  <r>
    <x v="23"/>
    <x v="3"/>
    <n v="40"/>
    <n v="5"/>
    <n v="504300"/>
    <n v="4"/>
    <n v="2"/>
    <n v="2"/>
    <x v="4"/>
  </r>
  <r>
    <x v="24"/>
    <x v="2"/>
    <n v="229"/>
    <n v="6"/>
    <n v="375150"/>
    <n v="1"/>
    <n v="3"/>
    <n v="1"/>
    <x v="0"/>
  </r>
  <r>
    <x v="25"/>
    <x v="4"/>
    <n v="2"/>
    <n v="8"/>
    <n v="1075020"/>
    <n v="5"/>
    <n v="4"/>
    <n v="3"/>
    <x v="1"/>
  </r>
  <r>
    <x v="26"/>
    <x v="5"/>
    <n v="65"/>
    <n v="9"/>
    <n v="1484610"/>
    <n v="3"/>
    <n v="5"/>
    <n v="4"/>
    <x v="1"/>
  </r>
  <r>
    <x v="27"/>
    <x v="0"/>
    <n v="7"/>
    <n v="11"/>
    <n v="1924950"/>
    <n v="5"/>
    <n v="5"/>
    <n v="5"/>
    <x v="3"/>
  </r>
  <r>
    <x v="28"/>
    <x v="1"/>
    <n v="14"/>
    <n v="8"/>
    <n v="1398510"/>
    <n v="5"/>
    <n v="4"/>
    <n v="4"/>
    <x v="3"/>
  </r>
  <r>
    <x v="29"/>
    <x v="2"/>
    <n v="48"/>
    <n v="4"/>
    <n v="578100"/>
    <n v="3"/>
    <n v="1"/>
    <n v="2"/>
    <x v="6"/>
  </r>
  <r>
    <x v="30"/>
    <x v="0"/>
    <n v="81"/>
    <n v="14"/>
    <n v="3036870"/>
    <n v="3"/>
    <n v="5"/>
    <n v="5"/>
    <x v="1"/>
  </r>
  <r>
    <x v="31"/>
    <x v="3"/>
    <n v="64"/>
    <n v="9"/>
    <n v="1222620"/>
    <n v="3"/>
    <n v="5"/>
    <n v="4"/>
    <x v="1"/>
  </r>
  <r>
    <x v="32"/>
    <x v="4"/>
    <n v="279"/>
    <n v="4"/>
    <n v="1869600"/>
    <n v="1"/>
    <n v="1"/>
    <n v="5"/>
    <x v="0"/>
  </r>
  <r>
    <x v="33"/>
    <x v="5"/>
    <n v="48"/>
    <n v="3"/>
    <n v="45510"/>
    <n v="3"/>
    <n v="1"/>
    <n v="1"/>
    <x v="6"/>
  </r>
  <r>
    <x v="34"/>
    <x v="2"/>
    <n v="16"/>
    <n v="7"/>
    <n v="861000"/>
    <n v="5"/>
    <n v="4"/>
    <n v="3"/>
    <x v="1"/>
  </r>
  <r>
    <x v="35"/>
    <x v="1"/>
    <n v="29"/>
    <n v="8"/>
    <n v="1635900"/>
    <n v="4"/>
    <n v="4"/>
    <n v="5"/>
    <x v="3"/>
  </r>
  <r>
    <x v="36"/>
    <x v="2"/>
    <n v="1"/>
    <n v="11"/>
    <n v="956940"/>
    <n v="5"/>
    <n v="5"/>
    <n v="3"/>
    <x v="1"/>
  </r>
  <r>
    <x v="37"/>
    <x v="0"/>
    <n v="242"/>
    <n v="6"/>
    <n v="750300"/>
    <n v="1"/>
    <n v="3"/>
    <n v="2"/>
    <x v="0"/>
  </r>
  <r>
    <x v="38"/>
    <x v="6"/>
    <n v="1"/>
    <n v="7"/>
    <n v="1431720"/>
    <n v="5"/>
    <n v="4"/>
    <n v="4"/>
    <x v="3"/>
  </r>
  <r>
    <x v="39"/>
    <x v="2"/>
    <n v="25"/>
    <n v="5"/>
    <n v="2201700"/>
    <n v="4"/>
    <n v="2"/>
    <n v="5"/>
    <x v="4"/>
  </r>
  <r>
    <x v="40"/>
    <x v="0"/>
    <n v="55"/>
    <n v="9"/>
    <n v="1325940"/>
    <n v="3"/>
    <n v="5"/>
    <n v="4"/>
    <x v="1"/>
  </r>
  <r>
    <x v="41"/>
    <x v="7"/>
    <n v="58"/>
    <n v="7"/>
    <n v="1124220"/>
    <n v="3"/>
    <n v="4"/>
    <n v="3"/>
    <x v="1"/>
  </r>
  <r>
    <x v="42"/>
    <x v="2"/>
    <n v="61"/>
    <n v="14"/>
    <n v="1519050"/>
    <n v="3"/>
    <n v="5"/>
    <n v="4"/>
    <x v="1"/>
  </r>
  <r>
    <x v="43"/>
    <x v="1"/>
    <n v="12"/>
    <n v="6"/>
    <n v="757680"/>
    <n v="5"/>
    <n v="3"/>
    <n v="2"/>
    <x v="5"/>
  </r>
  <r>
    <x v="44"/>
    <x v="2"/>
    <n v="101"/>
    <n v="7"/>
    <n v="1421880"/>
    <n v="2"/>
    <n v="4"/>
    <n v="4"/>
    <x v="0"/>
  </r>
  <r>
    <x v="45"/>
    <x v="0"/>
    <n v="39"/>
    <n v="10"/>
    <n v="2301330"/>
    <n v="4"/>
    <n v="5"/>
    <n v="5"/>
    <x v="3"/>
  </r>
  <r>
    <x v="46"/>
    <x v="6"/>
    <n v="148"/>
    <n v="7"/>
    <n v="369000"/>
    <n v="2"/>
    <n v="4"/>
    <n v="1"/>
    <x v="0"/>
  </r>
  <r>
    <x v="47"/>
    <x v="2"/>
    <n v="353"/>
    <n v="3"/>
    <n v="356700"/>
    <n v="1"/>
    <n v="1"/>
    <n v="1"/>
    <x v="2"/>
  </r>
  <r>
    <x v="48"/>
    <x v="0"/>
    <n v="1"/>
    <n v="8"/>
    <n v="1207860"/>
    <n v="5"/>
    <n v="4"/>
    <n v="4"/>
    <x v="3"/>
  </r>
  <r>
    <x v="49"/>
    <x v="3"/>
    <n v="79"/>
    <n v="6"/>
    <n v="959400"/>
    <n v="3"/>
    <n v="3"/>
    <n v="3"/>
    <x v="5"/>
  </r>
  <r>
    <x v="50"/>
    <x v="2"/>
    <n v="14"/>
    <n v="13"/>
    <n v="797040"/>
    <n v="5"/>
    <n v="5"/>
    <n v="2"/>
    <x v="1"/>
  </r>
  <r>
    <x v="51"/>
    <x v="4"/>
    <n v="245"/>
    <n v="8"/>
    <n v="1259520"/>
    <n v="1"/>
    <n v="4"/>
    <n v="4"/>
    <x v="0"/>
  </r>
  <r>
    <x v="52"/>
    <x v="5"/>
    <n v="69"/>
    <n v="7"/>
    <n v="646980"/>
    <n v="3"/>
    <n v="4"/>
    <n v="2"/>
    <x v="1"/>
  </r>
  <r>
    <x v="53"/>
    <x v="0"/>
    <n v="41"/>
    <n v="9"/>
    <n v="541200"/>
    <n v="4"/>
    <n v="5"/>
    <n v="2"/>
    <x v="1"/>
  </r>
  <r>
    <x v="54"/>
    <x v="1"/>
    <n v="33"/>
    <n v="4"/>
    <n v="565800"/>
    <n v="4"/>
    <n v="1"/>
    <n v="2"/>
    <x v="4"/>
  </r>
  <r>
    <x v="55"/>
    <x v="2"/>
    <n v="44"/>
    <n v="3"/>
    <n v="227550"/>
    <n v="4"/>
    <n v="1"/>
    <n v="1"/>
    <x v="4"/>
  </r>
  <r>
    <x v="56"/>
    <x v="0"/>
    <n v="360"/>
    <n v="7"/>
    <n v="1119300"/>
    <n v="1"/>
    <n v="4"/>
    <n v="3"/>
    <x v="0"/>
  </r>
  <r>
    <x v="57"/>
    <x v="3"/>
    <n v="44"/>
    <n v="7"/>
    <n v="899130"/>
    <n v="4"/>
    <n v="4"/>
    <n v="3"/>
    <x v="1"/>
  </r>
  <r>
    <x v="58"/>
    <x v="2"/>
    <n v="186"/>
    <n v="7"/>
    <n v="1635900"/>
    <n v="1"/>
    <n v="4"/>
    <n v="5"/>
    <x v="0"/>
  </r>
  <r>
    <x v="59"/>
    <x v="4"/>
    <n v="78"/>
    <n v="7"/>
    <n v="301350"/>
    <n v="3"/>
    <n v="4"/>
    <n v="1"/>
    <x v="1"/>
  </r>
  <r>
    <x v="60"/>
    <x v="7"/>
    <n v="34"/>
    <n v="7"/>
    <n v="1225080"/>
    <n v="4"/>
    <n v="4"/>
    <n v="4"/>
    <x v="3"/>
  </r>
  <r>
    <x v="61"/>
    <x v="2"/>
    <n v="255"/>
    <n v="7"/>
    <n v="1265670"/>
    <n v="1"/>
    <n v="4"/>
    <n v="4"/>
    <x v="0"/>
  </r>
  <r>
    <x v="62"/>
    <x v="1"/>
    <n v="11"/>
    <n v="13"/>
    <n v="2765040"/>
    <n v="5"/>
    <n v="5"/>
    <n v="5"/>
    <x v="3"/>
  </r>
  <r>
    <x v="63"/>
    <x v="2"/>
    <n v="352"/>
    <n v="6"/>
    <n v="817950"/>
    <n v="1"/>
    <n v="3"/>
    <n v="2"/>
    <x v="0"/>
  </r>
  <r>
    <x v="64"/>
    <x v="0"/>
    <n v="442"/>
    <n v="5"/>
    <n v="552270"/>
    <n v="1"/>
    <n v="2"/>
    <n v="2"/>
    <x v="2"/>
  </r>
  <r>
    <x v="65"/>
    <x v="6"/>
    <n v="9"/>
    <n v="5"/>
    <n v="1167270"/>
    <n v="5"/>
    <n v="2"/>
    <n v="4"/>
    <x v="4"/>
  </r>
  <r>
    <x v="66"/>
    <x v="2"/>
    <n v="117"/>
    <n v="5"/>
    <n v="1079940"/>
    <n v="2"/>
    <n v="2"/>
    <n v="3"/>
    <x v="0"/>
  </r>
  <r>
    <x v="67"/>
    <x v="0"/>
    <n v="80"/>
    <n v="6"/>
    <n v="1688790"/>
    <n v="3"/>
    <n v="3"/>
    <n v="5"/>
    <x v="5"/>
  </r>
  <r>
    <x v="68"/>
    <x v="7"/>
    <n v="58"/>
    <n v="8"/>
    <n v="1944630"/>
    <n v="3"/>
    <n v="4"/>
    <n v="5"/>
    <x v="1"/>
  </r>
  <r>
    <x v="69"/>
    <x v="2"/>
    <n v="143"/>
    <n v="9"/>
    <n v="814260"/>
    <n v="2"/>
    <n v="5"/>
    <n v="2"/>
    <x v="0"/>
  </r>
  <r>
    <x v="70"/>
    <x v="4"/>
    <n v="304"/>
    <n v="3"/>
    <n v="184500"/>
    <n v="1"/>
    <n v="1"/>
    <n v="1"/>
    <x v="2"/>
  </r>
  <r>
    <x v="71"/>
    <x v="2"/>
    <n v="228"/>
    <n v="6"/>
    <n v="467400"/>
    <n v="1"/>
    <n v="3"/>
    <n v="1"/>
    <x v="0"/>
  </r>
  <r>
    <x v="72"/>
    <x v="0"/>
    <n v="108"/>
    <n v="2"/>
    <n v="172200"/>
    <n v="2"/>
    <n v="1"/>
    <n v="1"/>
    <x v="2"/>
  </r>
  <r>
    <x v="73"/>
    <x v="6"/>
    <n v="112"/>
    <n v="4"/>
    <n v="633450"/>
    <n v="2"/>
    <n v="1"/>
    <n v="2"/>
    <x v="2"/>
  </r>
  <r>
    <x v="74"/>
    <x v="2"/>
    <n v="5"/>
    <n v="8"/>
    <n v="300120"/>
    <n v="5"/>
    <n v="4"/>
    <n v="1"/>
    <x v="1"/>
  </r>
  <r>
    <x v="75"/>
    <x v="0"/>
    <n v="25"/>
    <n v="8"/>
    <n v="611310"/>
    <n v="4"/>
    <n v="4"/>
    <n v="2"/>
    <x v="1"/>
  </r>
  <r>
    <x v="76"/>
    <x v="3"/>
    <n v="3"/>
    <n v="7"/>
    <n v="1242300"/>
    <n v="5"/>
    <n v="4"/>
    <n v="4"/>
    <x v="3"/>
  </r>
  <r>
    <x v="77"/>
    <x v="2"/>
    <n v="131"/>
    <n v="5"/>
    <n v="1020900"/>
    <n v="2"/>
    <n v="2"/>
    <n v="3"/>
    <x v="0"/>
  </r>
  <r>
    <x v="78"/>
    <x v="4"/>
    <n v="117"/>
    <n v="10"/>
    <n v="1943400"/>
    <n v="2"/>
    <n v="5"/>
    <n v="5"/>
    <x v="0"/>
  </r>
  <r>
    <x v="79"/>
    <x v="5"/>
    <n v="49"/>
    <n v="9"/>
    <n v="2392350"/>
    <n v="3"/>
    <n v="5"/>
    <n v="5"/>
    <x v="1"/>
  </r>
  <r>
    <x v="80"/>
    <x v="2"/>
    <n v="158"/>
    <n v="5"/>
    <n v="683880"/>
    <n v="2"/>
    <n v="2"/>
    <n v="2"/>
    <x v="2"/>
  </r>
  <r>
    <x v="81"/>
    <x v="1"/>
    <n v="161"/>
    <n v="7"/>
    <n v="432960"/>
    <n v="2"/>
    <n v="4"/>
    <n v="1"/>
    <x v="0"/>
  </r>
  <r>
    <x v="82"/>
    <x v="0"/>
    <n v="177"/>
    <n v="5"/>
    <n v="793350"/>
    <n v="1"/>
    <n v="2"/>
    <n v="2"/>
    <x v="2"/>
  </r>
  <r>
    <x v="83"/>
    <x v="6"/>
    <n v="59"/>
    <n v="7"/>
    <n v="1143900"/>
    <n v="3"/>
    <n v="4"/>
    <n v="3"/>
    <x v="1"/>
  </r>
  <r>
    <x v="84"/>
    <x v="2"/>
    <n v="22"/>
    <n v="7"/>
    <n v="757680"/>
    <n v="5"/>
    <n v="4"/>
    <n v="2"/>
    <x v="1"/>
  </r>
  <r>
    <x v="85"/>
    <x v="4"/>
    <n v="118"/>
    <n v="8"/>
    <n v="2669100"/>
    <n v="2"/>
    <n v="4"/>
    <n v="5"/>
    <x v="0"/>
  </r>
  <r>
    <x v="86"/>
    <x v="7"/>
    <n v="354"/>
    <n v="3"/>
    <n v="158670"/>
    <n v="1"/>
    <n v="1"/>
    <n v="1"/>
    <x v="2"/>
  </r>
  <r>
    <x v="87"/>
    <x v="2"/>
    <n v="122"/>
    <n v="5"/>
    <n v="1414500"/>
    <n v="2"/>
    <n v="2"/>
    <n v="4"/>
    <x v="0"/>
  </r>
  <r>
    <x v="88"/>
    <x v="1"/>
    <n v="1"/>
    <n v="13"/>
    <n v="2200470"/>
    <n v="5"/>
    <n v="5"/>
    <n v="5"/>
    <x v="3"/>
  </r>
  <r>
    <x v="89"/>
    <x v="2"/>
    <n v="18"/>
    <n v="6"/>
    <n v="1001220"/>
    <n v="5"/>
    <n v="3"/>
    <n v="3"/>
    <x v="5"/>
  </r>
  <r>
    <x v="90"/>
    <x v="0"/>
    <n v="175"/>
    <n v="5"/>
    <n v="354240"/>
    <n v="1"/>
    <n v="2"/>
    <n v="1"/>
    <x v="2"/>
  </r>
  <r>
    <x v="91"/>
    <x v="6"/>
    <n v="128"/>
    <n v="8"/>
    <n v="549810"/>
    <n v="2"/>
    <n v="4"/>
    <n v="2"/>
    <x v="0"/>
  </r>
  <r>
    <x v="92"/>
    <x v="2"/>
    <n v="46"/>
    <n v="14"/>
    <n v="3940920"/>
    <n v="4"/>
    <n v="5"/>
    <n v="5"/>
    <x v="3"/>
  </r>
  <r>
    <x v="93"/>
    <x v="0"/>
    <n v="47"/>
    <n v="6"/>
    <n v="1167270"/>
    <n v="4"/>
    <n v="3"/>
    <n v="4"/>
    <x v="5"/>
  </r>
  <r>
    <x v="94"/>
    <x v="3"/>
    <n v="205"/>
    <n v="4"/>
    <n v="651900"/>
    <n v="1"/>
    <n v="1"/>
    <n v="2"/>
    <x v="2"/>
  </r>
  <r>
    <x v="95"/>
    <x v="2"/>
    <n v="10"/>
    <n v="5"/>
    <n v="1028280"/>
    <n v="5"/>
    <n v="2"/>
    <n v="3"/>
    <x v="4"/>
  </r>
  <r>
    <x v="96"/>
    <x v="4"/>
    <n v="38"/>
    <n v="7"/>
    <n v="1221390"/>
    <n v="4"/>
    <n v="4"/>
    <n v="4"/>
    <x v="3"/>
  </r>
  <r>
    <x v="97"/>
    <x v="2"/>
    <n v="129"/>
    <n v="7"/>
    <n v="1153740"/>
    <n v="2"/>
    <n v="4"/>
    <n v="3"/>
    <x v="0"/>
  </r>
  <r>
    <x v="98"/>
    <x v="0"/>
    <n v="27"/>
    <n v="6"/>
    <n v="1107000"/>
    <n v="4"/>
    <n v="3"/>
    <n v="3"/>
    <x v="5"/>
  </r>
  <r>
    <x v="99"/>
    <x v="1"/>
    <n v="438"/>
    <n v="1"/>
    <n v="110700"/>
    <n v="1"/>
    <n v="1"/>
    <n v="1"/>
    <x v="2"/>
  </r>
  <r>
    <x v="100"/>
    <x v="2"/>
    <n v="28"/>
    <n v="6"/>
    <n v="361620"/>
    <n v="4"/>
    <n v="3"/>
    <n v="1"/>
    <x v="5"/>
  </r>
  <r>
    <x v="101"/>
    <x v="0"/>
    <n v="23"/>
    <n v="7"/>
    <n v="190650"/>
    <n v="4"/>
    <n v="4"/>
    <n v="1"/>
    <x v="1"/>
  </r>
  <r>
    <x v="102"/>
    <x v="3"/>
    <n v="98"/>
    <n v="8"/>
    <n v="688800"/>
    <n v="3"/>
    <n v="4"/>
    <n v="2"/>
    <x v="1"/>
  </r>
  <r>
    <x v="103"/>
    <x v="2"/>
    <n v="159"/>
    <n v="9"/>
    <n v="1686330"/>
    <n v="2"/>
    <n v="5"/>
    <n v="5"/>
    <x v="0"/>
  </r>
  <r>
    <x v="104"/>
    <x v="4"/>
    <n v="76"/>
    <n v="5"/>
    <n v="1322250"/>
    <n v="3"/>
    <n v="2"/>
    <n v="4"/>
    <x v="5"/>
  </r>
  <r>
    <x v="105"/>
    <x v="2"/>
    <n v="9"/>
    <n v="12"/>
    <n v="1820400"/>
    <n v="5"/>
    <n v="5"/>
    <n v="5"/>
    <x v="3"/>
  </r>
  <r>
    <x v="106"/>
    <x v="2"/>
    <n v="596"/>
    <n v="1"/>
    <n v="110700"/>
    <n v="1"/>
    <n v="1"/>
    <n v="1"/>
    <x v="2"/>
  </r>
  <r>
    <x v="107"/>
    <x v="0"/>
    <n v="159"/>
    <n v="7"/>
    <n v="1771200"/>
    <n v="2"/>
    <n v="4"/>
    <n v="5"/>
    <x v="0"/>
  </r>
  <r>
    <x v="108"/>
    <x v="6"/>
    <n v="27"/>
    <n v="6"/>
    <n v="1008600"/>
    <n v="4"/>
    <n v="3"/>
    <n v="3"/>
    <x v="5"/>
  </r>
  <r>
    <x v="109"/>
    <x v="2"/>
    <n v="219"/>
    <n v="7"/>
    <n v="477240"/>
    <n v="1"/>
    <n v="4"/>
    <n v="1"/>
    <x v="0"/>
  </r>
  <r>
    <x v="110"/>
    <x v="4"/>
    <n v="529"/>
    <n v="3"/>
    <n v="195570"/>
    <n v="1"/>
    <n v="1"/>
    <n v="1"/>
    <x v="2"/>
  </r>
  <r>
    <x v="111"/>
    <x v="7"/>
    <n v="16"/>
    <n v="9"/>
    <n v="771210"/>
    <n v="5"/>
    <n v="5"/>
    <n v="2"/>
    <x v="1"/>
  </r>
  <r>
    <x v="112"/>
    <x v="2"/>
    <n v="280"/>
    <n v="3"/>
    <n v="977850"/>
    <n v="1"/>
    <n v="1"/>
    <n v="3"/>
    <x v="0"/>
  </r>
  <r>
    <x v="113"/>
    <x v="1"/>
    <n v="105"/>
    <n v="5"/>
    <n v="719550"/>
    <n v="2"/>
    <n v="2"/>
    <n v="2"/>
    <x v="2"/>
  </r>
  <r>
    <x v="114"/>
    <x v="0"/>
    <n v="121"/>
    <n v="7"/>
    <n v="1210320"/>
    <n v="2"/>
    <n v="4"/>
    <n v="4"/>
    <x v="0"/>
  </r>
  <r>
    <x v="115"/>
    <x v="6"/>
    <n v="242"/>
    <n v="3"/>
    <n v="166050"/>
    <n v="1"/>
    <n v="1"/>
    <n v="1"/>
    <x v="2"/>
  </r>
  <r>
    <x v="116"/>
    <x v="2"/>
    <n v="9"/>
    <n v="9"/>
    <n v="1810560"/>
    <n v="5"/>
    <n v="5"/>
    <n v="5"/>
    <x v="3"/>
  </r>
  <r>
    <x v="117"/>
    <x v="0"/>
    <n v="355"/>
    <n v="3"/>
    <n v="1020900"/>
    <n v="1"/>
    <n v="1"/>
    <n v="3"/>
    <x v="0"/>
  </r>
  <r>
    <x v="118"/>
    <x v="3"/>
    <n v="9"/>
    <n v="10"/>
    <n v="1383750"/>
    <n v="5"/>
    <n v="5"/>
    <n v="4"/>
    <x v="3"/>
  </r>
  <r>
    <x v="119"/>
    <x v="2"/>
    <n v="47"/>
    <n v="7"/>
    <n v="1537500"/>
    <n v="4"/>
    <n v="4"/>
    <n v="4"/>
    <x v="3"/>
  </r>
  <r>
    <x v="120"/>
    <x v="4"/>
    <n v="63"/>
    <n v="12"/>
    <n v="1382520"/>
    <n v="3"/>
    <n v="5"/>
    <n v="4"/>
    <x v="1"/>
  </r>
  <r>
    <x v="121"/>
    <x v="5"/>
    <n v="37"/>
    <n v="7"/>
    <n v="768750"/>
    <n v="4"/>
    <n v="4"/>
    <n v="2"/>
    <x v="1"/>
  </r>
  <r>
    <x v="122"/>
    <x v="0"/>
    <n v="128"/>
    <n v="11"/>
    <n v="1323480"/>
    <n v="2"/>
    <n v="5"/>
    <n v="4"/>
    <x v="0"/>
  </r>
  <r>
    <x v="123"/>
    <x v="1"/>
    <n v="141"/>
    <n v="11"/>
    <n v="3057780"/>
    <n v="2"/>
    <n v="5"/>
    <n v="5"/>
    <x v="0"/>
  </r>
  <r>
    <x v="124"/>
    <x v="2"/>
    <n v="44"/>
    <n v="11"/>
    <n v="838860"/>
    <n v="4"/>
    <n v="5"/>
    <n v="2"/>
    <x v="1"/>
  </r>
  <r>
    <x v="125"/>
    <x v="0"/>
    <n v="19"/>
    <n v="13"/>
    <n v="3100830"/>
    <n v="5"/>
    <n v="5"/>
    <n v="5"/>
    <x v="3"/>
  </r>
  <r>
    <x v="126"/>
    <x v="2"/>
    <n v="25"/>
    <n v="9"/>
    <n v="1937250"/>
    <n v="4"/>
    <n v="5"/>
    <n v="5"/>
    <x v="3"/>
  </r>
  <r>
    <x v="127"/>
    <x v="4"/>
    <n v="49"/>
    <n v="8"/>
    <n v="2273040"/>
    <n v="3"/>
    <n v="4"/>
    <n v="5"/>
    <x v="1"/>
  </r>
  <r>
    <x v="128"/>
    <x v="5"/>
    <n v="37"/>
    <n v="7"/>
    <n v="1519050"/>
    <n v="4"/>
    <n v="4"/>
    <n v="4"/>
    <x v="3"/>
  </r>
  <r>
    <x v="129"/>
    <x v="2"/>
    <n v="246"/>
    <n v="5"/>
    <n v="246000"/>
    <n v="1"/>
    <n v="2"/>
    <n v="1"/>
    <x v="2"/>
  </r>
  <r>
    <x v="130"/>
    <x v="1"/>
    <n v="35"/>
    <n v="11"/>
    <n v="2250900"/>
    <n v="4"/>
    <n v="5"/>
    <n v="5"/>
    <x v="3"/>
  </r>
  <r>
    <x v="131"/>
    <x v="2"/>
    <n v="97"/>
    <n v="6"/>
    <n v="1722000"/>
    <n v="3"/>
    <n v="3"/>
    <n v="5"/>
    <x v="5"/>
  </r>
  <r>
    <x v="132"/>
    <x v="0"/>
    <n v="26"/>
    <n v="12"/>
    <n v="3954450"/>
    <n v="4"/>
    <n v="5"/>
    <n v="5"/>
    <x v="3"/>
  </r>
  <r>
    <x v="133"/>
    <x v="6"/>
    <n v="53"/>
    <n v="8"/>
    <n v="300120"/>
    <n v="3"/>
    <n v="4"/>
    <n v="1"/>
    <x v="1"/>
  </r>
  <r>
    <x v="134"/>
    <x v="2"/>
    <n v="11"/>
    <n v="5"/>
    <n v="1024590"/>
    <n v="5"/>
    <n v="2"/>
    <n v="3"/>
    <x v="4"/>
  </r>
  <r>
    <x v="135"/>
    <x v="0"/>
    <n v="38"/>
    <n v="10"/>
    <n v="725700"/>
    <n v="4"/>
    <n v="5"/>
    <n v="2"/>
    <x v="1"/>
  </r>
  <r>
    <x v="136"/>
    <x v="7"/>
    <n v="246"/>
    <n v="2"/>
    <n v="270600"/>
    <n v="1"/>
    <n v="1"/>
    <n v="1"/>
    <x v="2"/>
  </r>
  <r>
    <x v="137"/>
    <x v="2"/>
    <n v="10"/>
    <n v="8"/>
    <n v="2163570"/>
    <n v="5"/>
    <n v="4"/>
    <n v="5"/>
    <x v="3"/>
  </r>
  <r>
    <x v="138"/>
    <x v="1"/>
    <n v="76"/>
    <n v="5"/>
    <n v="381300"/>
    <n v="3"/>
    <n v="2"/>
    <n v="1"/>
    <x v="6"/>
  </r>
  <r>
    <x v="139"/>
    <x v="2"/>
    <n v="17"/>
    <n v="3"/>
    <n v="666660"/>
    <n v="5"/>
    <n v="1"/>
    <n v="2"/>
    <x v="4"/>
  </r>
  <r>
    <x v="140"/>
    <x v="0"/>
    <n v="15"/>
    <n v="6"/>
    <n v="238620"/>
    <n v="5"/>
    <n v="3"/>
    <n v="1"/>
    <x v="5"/>
  </r>
  <r>
    <x v="141"/>
    <x v="6"/>
    <n v="25"/>
    <n v="10"/>
    <n v="1041810"/>
    <n v="4"/>
    <n v="5"/>
    <n v="3"/>
    <x v="1"/>
  </r>
  <r>
    <x v="142"/>
    <x v="2"/>
    <n v="121"/>
    <n v="6"/>
    <n v="842550"/>
    <n v="2"/>
    <n v="3"/>
    <n v="2"/>
    <x v="0"/>
  </r>
  <r>
    <x v="143"/>
    <x v="0"/>
    <n v="21"/>
    <n v="8"/>
    <n v="1103310"/>
    <n v="5"/>
    <n v="4"/>
    <n v="3"/>
    <x v="1"/>
  </r>
  <r>
    <x v="144"/>
    <x v="2"/>
    <n v="101"/>
    <n v="7"/>
    <n v="889290"/>
    <n v="2"/>
    <n v="4"/>
    <n v="3"/>
    <x v="0"/>
  </r>
  <r>
    <x v="145"/>
    <x v="4"/>
    <n v="117"/>
    <n v="5"/>
    <n v="511680"/>
    <n v="2"/>
    <n v="2"/>
    <n v="2"/>
    <x v="2"/>
  </r>
  <r>
    <x v="146"/>
    <x v="5"/>
    <n v="177"/>
    <n v="6"/>
    <n v="292740"/>
    <n v="1"/>
    <n v="3"/>
    <n v="1"/>
    <x v="0"/>
  </r>
  <r>
    <x v="147"/>
    <x v="0"/>
    <n v="44"/>
    <n v="7"/>
    <n v="1180800"/>
    <n v="4"/>
    <n v="4"/>
    <n v="4"/>
    <x v="3"/>
  </r>
  <r>
    <x v="148"/>
    <x v="1"/>
    <n v="161"/>
    <n v="8"/>
    <n v="1881900"/>
    <n v="2"/>
    <n v="4"/>
    <n v="5"/>
    <x v="0"/>
  </r>
  <r>
    <x v="149"/>
    <x v="2"/>
    <n v="32"/>
    <n v="7"/>
    <n v="1992600"/>
    <n v="4"/>
    <n v="4"/>
    <n v="5"/>
    <x v="3"/>
  </r>
  <r>
    <x v="150"/>
    <x v="0"/>
    <n v="2"/>
    <n v="7"/>
    <n v="1332090"/>
    <n v="5"/>
    <n v="4"/>
    <n v="4"/>
    <x v="3"/>
  </r>
  <r>
    <x v="151"/>
    <x v="3"/>
    <n v="144"/>
    <n v="8"/>
    <n v="846240"/>
    <n v="2"/>
    <n v="4"/>
    <n v="2"/>
    <x v="0"/>
  </r>
  <r>
    <x v="152"/>
    <x v="2"/>
    <n v="353"/>
    <n v="7"/>
    <n v="1740450"/>
    <n v="1"/>
    <n v="4"/>
    <n v="5"/>
    <x v="0"/>
  </r>
  <r>
    <x v="153"/>
    <x v="4"/>
    <n v="66"/>
    <n v="10"/>
    <n v="854850"/>
    <n v="3"/>
    <n v="5"/>
    <n v="3"/>
    <x v="1"/>
  </r>
  <r>
    <x v="154"/>
    <x v="7"/>
    <n v="177"/>
    <n v="6"/>
    <n v="1672800"/>
    <n v="1"/>
    <n v="3"/>
    <n v="5"/>
    <x v="0"/>
  </r>
  <r>
    <x v="155"/>
    <x v="2"/>
    <n v="94"/>
    <n v="7"/>
    <n v="578100"/>
    <n v="3"/>
    <n v="4"/>
    <n v="2"/>
    <x v="1"/>
  </r>
  <r>
    <x v="156"/>
    <x v="1"/>
    <n v="16"/>
    <n v="4"/>
    <n v="430500"/>
    <n v="5"/>
    <n v="1"/>
    <n v="1"/>
    <x v="4"/>
  </r>
  <r>
    <x v="157"/>
    <x v="2"/>
    <n v="30"/>
    <n v="8"/>
    <n v="1446480"/>
    <n v="4"/>
    <n v="4"/>
    <n v="4"/>
    <x v="3"/>
  </r>
  <r>
    <x v="158"/>
    <x v="0"/>
    <n v="85"/>
    <n v="6"/>
    <n v="709710"/>
    <n v="3"/>
    <n v="3"/>
    <n v="2"/>
    <x v="5"/>
  </r>
  <r>
    <x v="159"/>
    <x v="6"/>
    <n v="20"/>
    <n v="6"/>
    <n v="559650"/>
    <n v="5"/>
    <n v="3"/>
    <n v="2"/>
    <x v="5"/>
  </r>
  <r>
    <x v="160"/>
    <x v="2"/>
    <n v="7"/>
    <n v="10"/>
    <n v="787200"/>
    <n v="5"/>
    <n v="5"/>
    <n v="2"/>
    <x v="1"/>
  </r>
  <r>
    <x v="161"/>
    <x v="0"/>
    <n v="75"/>
    <n v="2"/>
    <n v="73800"/>
    <n v="3"/>
    <n v="1"/>
    <n v="1"/>
    <x v="6"/>
  </r>
  <r>
    <x v="162"/>
    <x v="7"/>
    <n v="69"/>
    <n v="4"/>
    <n v="104550"/>
    <n v="3"/>
    <n v="1"/>
    <n v="1"/>
    <x v="6"/>
  </r>
  <r>
    <x v="163"/>
    <x v="2"/>
    <n v="339"/>
    <n v="2"/>
    <n v="553500"/>
    <n v="1"/>
    <n v="1"/>
    <n v="2"/>
    <x v="2"/>
  </r>
  <r>
    <x v="164"/>
    <x v="4"/>
    <n v="48"/>
    <n v="7"/>
    <n v="339480"/>
    <n v="3"/>
    <n v="4"/>
    <n v="1"/>
    <x v="1"/>
  </r>
  <r>
    <x v="165"/>
    <x v="2"/>
    <n v="15"/>
    <n v="12"/>
    <n v="2739210"/>
    <n v="5"/>
    <n v="5"/>
    <n v="5"/>
    <x v="3"/>
  </r>
  <r>
    <x v="166"/>
    <x v="0"/>
    <n v="24"/>
    <n v="12"/>
    <n v="1030740"/>
    <n v="4"/>
    <n v="5"/>
    <n v="3"/>
    <x v="1"/>
  </r>
  <r>
    <x v="167"/>
    <x v="2"/>
    <n v="44"/>
    <n v="7"/>
    <n v="1672800"/>
    <n v="4"/>
    <n v="4"/>
    <n v="5"/>
    <x v="3"/>
  </r>
  <r>
    <x v="168"/>
    <x v="0"/>
    <n v="140"/>
    <n v="7"/>
    <n v="800730"/>
    <n v="2"/>
    <n v="4"/>
    <n v="2"/>
    <x v="0"/>
  </r>
  <r>
    <x v="169"/>
    <x v="3"/>
    <n v="178"/>
    <n v="8"/>
    <n v="1746600"/>
    <n v="1"/>
    <n v="4"/>
    <n v="5"/>
    <x v="0"/>
  </r>
  <r>
    <x v="170"/>
    <x v="2"/>
    <n v="61"/>
    <n v="5"/>
    <n v="947100"/>
    <n v="3"/>
    <n v="2"/>
    <n v="3"/>
    <x v="5"/>
  </r>
  <r>
    <x v="171"/>
    <x v="4"/>
    <n v="7"/>
    <n v="12"/>
    <n v="1448940"/>
    <n v="5"/>
    <n v="5"/>
    <n v="4"/>
    <x v="3"/>
  </r>
  <r>
    <x v="172"/>
    <x v="5"/>
    <n v="112"/>
    <n v="3"/>
    <n v="270600"/>
    <n v="2"/>
    <n v="1"/>
    <n v="1"/>
    <x v="2"/>
  </r>
  <r>
    <x v="173"/>
    <x v="2"/>
    <n v="239"/>
    <n v="7"/>
    <n v="1067640"/>
    <n v="1"/>
    <n v="4"/>
    <n v="3"/>
    <x v="0"/>
  </r>
  <r>
    <x v="174"/>
    <x v="1"/>
    <n v="53"/>
    <n v="6"/>
    <n v="1125450"/>
    <n v="3"/>
    <n v="3"/>
    <n v="3"/>
    <x v="5"/>
  </r>
  <r>
    <x v="175"/>
    <x v="2"/>
    <n v="101"/>
    <n v="5"/>
    <n v="656820"/>
    <n v="2"/>
    <n v="2"/>
    <n v="2"/>
    <x v="2"/>
  </r>
  <r>
    <x v="176"/>
    <x v="0"/>
    <n v="260"/>
    <n v="6"/>
    <n v="1457550"/>
    <n v="1"/>
    <n v="3"/>
    <n v="4"/>
    <x v="0"/>
  </r>
  <r>
    <x v="177"/>
    <x v="6"/>
    <n v="33"/>
    <n v="12"/>
    <n v="1474770"/>
    <n v="4"/>
    <n v="5"/>
    <n v="4"/>
    <x v="3"/>
  </r>
  <r>
    <x v="178"/>
    <x v="2"/>
    <n v="83"/>
    <n v="3"/>
    <n v="953250"/>
    <n v="3"/>
    <n v="1"/>
    <n v="3"/>
    <x v="5"/>
  </r>
  <r>
    <x v="179"/>
    <x v="4"/>
    <n v="113"/>
    <n v="8"/>
    <n v="1621140"/>
    <n v="2"/>
    <n v="4"/>
    <n v="4"/>
    <x v="0"/>
  </r>
  <r>
    <x v="180"/>
    <x v="7"/>
    <n v="109"/>
    <n v="8"/>
    <n v="1301340"/>
    <n v="2"/>
    <n v="4"/>
    <n v="4"/>
    <x v="0"/>
  </r>
  <r>
    <x v="181"/>
    <x v="2"/>
    <n v="79"/>
    <n v="5"/>
    <n v="768750"/>
    <n v="3"/>
    <n v="2"/>
    <n v="2"/>
    <x v="6"/>
  </r>
  <r>
    <x v="182"/>
    <x v="1"/>
    <n v="247"/>
    <n v="2"/>
    <n v="861000"/>
    <n v="1"/>
    <n v="1"/>
    <n v="3"/>
    <x v="0"/>
  </r>
  <r>
    <x v="183"/>
    <x v="2"/>
    <n v="94"/>
    <n v="4"/>
    <n v="1073790"/>
    <n v="3"/>
    <n v="1"/>
    <n v="3"/>
    <x v="5"/>
  </r>
  <r>
    <x v="184"/>
    <x v="0"/>
    <n v="23"/>
    <n v="5"/>
    <n v="926190"/>
    <n v="4"/>
    <n v="2"/>
    <n v="3"/>
    <x v="4"/>
  </r>
  <r>
    <x v="185"/>
    <x v="6"/>
    <n v="47"/>
    <n v="7"/>
    <n v="1046730"/>
    <n v="4"/>
    <n v="4"/>
    <n v="3"/>
    <x v="1"/>
  </r>
  <r>
    <x v="186"/>
    <x v="2"/>
    <n v="23"/>
    <n v="8"/>
    <n v="455100"/>
    <n v="4"/>
    <n v="4"/>
    <n v="1"/>
    <x v="1"/>
  </r>
  <r>
    <x v="187"/>
    <x v="0"/>
    <n v="247"/>
    <n v="10"/>
    <n v="1637130"/>
    <n v="1"/>
    <n v="5"/>
    <n v="5"/>
    <x v="0"/>
  </r>
  <r>
    <x v="188"/>
    <x v="3"/>
    <n v="39"/>
    <n v="8"/>
    <n v="2164800"/>
    <n v="4"/>
    <n v="4"/>
    <n v="5"/>
    <x v="3"/>
  </r>
  <r>
    <x v="189"/>
    <x v="2"/>
    <n v="161"/>
    <n v="6"/>
    <n v="1790880"/>
    <n v="2"/>
    <n v="3"/>
    <n v="5"/>
    <x v="0"/>
  </r>
  <r>
    <x v="190"/>
    <x v="4"/>
    <n v="67"/>
    <n v="8"/>
    <n v="1113150"/>
    <n v="3"/>
    <n v="4"/>
    <n v="3"/>
    <x v="1"/>
  </r>
  <r>
    <x v="191"/>
    <x v="2"/>
    <n v="181"/>
    <n v="8"/>
    <n v="2626050"/>
    <n v="1"/>
    <n v="4"/>
    <n v="5"/>
    <x v="0"/>
  </r>
  <r>
    <x v="192"/>
    <x v="0"/>
    <n v="75"/>
    <n v="10"/>
    <n v="1118070"/>
    <n v="3"/>
    <n v="5"/>
    <n v="3"/>
    <x v="1"/>
  </r>
  <r>
    <x v="193"/>
    <x v="1"/>
    <n v="93"/>
    <n v="6"/>
    <n v="1081170"/>
    <n v="3"/>
    <n v="3"/>
    <n v="3"/>
    <x v="5"/>
  </r>
  <r>
    <x v="194"/>
    <x v="2"/>
    <n v="2"/>
    <n v="10"/>
    <n v="2303790"/>
    <n v="5"/>
    <n v="5"/>
    <n v="5"/>
    <x v="3"/>
  </r>
  <r>
    <x v="195"/>
    <x v="0"/>
    <n v="1"/>
    <n v="13"/>
    <n v="4280400"/>
    <n v="5"/>
    <n v="5"/>
    <n v="5"/>
    <x v="3"/>
  </r>
  <r>
    <x v="196"/>
    <x v="3"/>
    <n v="57"/>
    <n v="5"/>
    <n v="166050"/>
    <n v="3"/>
    <n v="2"/>
    <n v="1"/>
    <x v="6"/>
  </r>
  <r>
    <x v="197"/>
    <x v="2"/>
    <n v="17"/>
    <n v="5"/>
    <n v="1107000"/>
    <n v="5"/>
    <n v="2"/>
    <n v="3"/>
    <x v="4"/>
  </r>
  <r>
    <x v="198"/>
    <x v="4"/>
    <n v="21"/>
    <n v="4"/>
    <n v="731850"/>
    <n v="5"/>
    <n v="1"/>
    <n v="2"/>
    <x v="4"/>
  </r>
  <r>
    <x v="199"/>
    <x v="5"/>
    <n v="93"/>
    <n v="9"/>
    <n v="654360"/>
    <n v="3"/>
    <n v="5"/>
    <n v="2"/>
    <x v="1"/>
  </r>
  <r>
    <x v="200"/>
    <x v="2"/>
    <n v="139"/>
    <n v="4"/>
    <n v="485850"/>
    <n v="2"/>
    <n v="1"/>
    <n v="1"/>
    <x v="2"/>
  </r>
  <r>
    <x v="201"/>
    <x v="1"/>
    <n v="112"/>
    <n v="5"/>
    <n v="584250"/>
    <n v="2"/>
    <n v="2"/>
    <n v="2"/>
    <x v="2"/>
  </r>
  <r>
    <x v="202"/>
    <x v="2"/>
    <n v="138"/>
    <n v="9"/>
    <n v="1394820"/>
    <n v="2"/>
    <n v="5"/>
    <n v="4"/>
    <x v="0"/>
  </r>
  <r>
    <x v="203"/>
    <x v="0"/>
    <n v="42"/>
    <n v="6"/>
    <n v="1311180"/>
    <n v="4"/>
    <n v="3"/>
    <n v="4"/>
    <x v="5"/>
  </r>
  <r>
    <x v="204"/>
    <x v="6"/>
    <n v="311"/>
    <n v="3"/>
    <n v="277980"/>
    <n v="1"/>
    <n v="1"/>
    <n v="1"/>
    <x v="2"/>
  </r>
  <r>
    <x v="205"/>
    <x v="2"/>
    <n v="457"/>
    <n v="1"/>
    <n v="73800"/>
    <n v="1"/>
    <n v="1"/>
    <n v="1"/>
    <x v="2"/>
  </r>
  <r>
    <x v="206"/>
    <x v="4"/>
    <n v="33"/>
    <n v="3"/>
    <n v="226320"/>
    <n v="4"/>
    <n v="1"/>
    <n v="1"/>
    <x v="4"/>
  </r>
  <r>
    <x v="207"/>
    <x v="7"/>
    <n v="28"/>
    <n v="11"/>
    <n v="900360"/>
    <n v="4"/>
    <n v="5"/>
    <n v="3"/>
    <x v="1"/>
  </r>
  <r>
    <x v="208"/>
    <x v="2"/>
    <n v="193"/>
    <n v="3"/>
    <n v="222630"/>
    <n v="1"/>
    <n v="1"/>
    <n v="1"/>
    <x v="2"/>
  </r>
  <r>
    <x v="209"/>
    <x v="1"/>
    <n v="53"/>
    <n v="11"/>
    <n v="2719530"/>
    <n v="3"/>
    <n v="5"/>
    <n v="5"/>
    <x v="1"/>
  </r>
  <r>
    <x v="210"/>
    <x v="2"/>
    <n v="167"/>
    <n v="7"/>
    <n v="1661730"/>
    <n v="2"/>
    <n v="4"/>
    <n v="5"/>
    <x v="0"/>
  </r>
  <r>
    <x v="211"/>
    <x v="0"/>
    <n v="49"/>
    <n v="6"/>
    <n v="940950"/>
    <n v="3"/>
    <n v="3"/>
    <n v="3"/>
    <x v="5"/>
  </r>
  <r>
    <x v="212"/>
    <x v="6"/>
    <n v="13"/>
    <n v="7"/>
    <n v="659280"/>
    <n v="5"/>
    <n v="4"/>
    <n v="2"/>
    <x v="1"/>
  </r>
  <r>
    <x v="213"/>
    <x v="2"/>
    <n v="83"/>
    <n v="5"/>
    <n v="1717080"/>
    <n v="3"/>
    <n v="2"/>
    <n v="5"/>
    <x v="5"/>
  </r>
  <r>
    <x v="214"/>
    <x v="0"/>
    <n v="235"/>
    <n v="4"/>
    <n v="972930"/>
    <n v="1"/>
    <n v="1"/>
    <n v="3"/>
    <x v="0"/>
  </r>
  <r>
    <x v="215"/>
    <x v="3"/>
    <n v="71"/>
    <n v="5"/>
    <n v="1126680"/>
    <n v="3"/>
    <n v="2"/>
    <n v="3"/>
    <x v="5"/>
  </r>
  <r>
    <x v="216"/>
    <x v="2"/>
    <n v="13"/>
    <n v="8"/>
    <n v="1077480"/>
    <n v="5"/>
    <n v="4"/>
    <n v="3"/>
    <x v="1"/>
  </r>
  <r>
    <x v="217"/>
    <x v="4"/>
    <n v="34"/>
    <n v="5"/>
    <n v="842550"/>
    <n v="4"/>
    <n v="2"/>
    <n v="2"/>
    <x v="4"/>
  </r>
  <r>
    <x v="218"/>
    <x v="5"/>
    <n v="134"/>
    <n v="8"/>
    <n v="730620"/>
    <n v="2"/>
    <n v="4"/>
    <n v="2"/>
    <x v="0"/>
  </r>
  <r>
    <x v="219"/>
    <x v="0"/>
    <n v="38"/>
    <n v="10"/>
    <n v="1282890"/>
    <n v="4"/>
    <n v="5"/>
    <n v="4"/>
    <x v="3"/>
  </r>
  <r>
    <x v="220"/>
    <x v="1"/>
    <n v="144"/>
    <n v="6"/>
    <n v="207870"/>
    <n v="2"/>
    <n v="3"/>
    <n v="1"/>
    <x v="0"/>
  </r>
  <r>
    <x v="221"/>
    <x v="3"/>
    <n v="43"/>
    <n v="9"/>
    <n v="1535040"/>
    <n v="4"/>
    <n v="5"/>
    <n v="4"/>
    <x v="3"/>
  </r>
  <r>
    <x v="222"/>
    <x v="2"/>
    <n v="82"/>
    <n v="5"/>
    <n v="282900"/>
    <n v="3"/>
    <n v="2"/>
    <n v="1"/>
    <x v="6"/>
  </r>
  <r>
    <x v="223"/>
    <x v="4"/>
    <n v="188"/>
    <n v="4"/>
    <n v="1057800"/>
    <n v="1"/>
    <n v="1"/>
    <n v="3"/>
    <x v="0"/>
  </r>
  <r>
    <x v="224"/>
    <x v="5"/>
    <n v="200"/>
    <n v="7"/>
    <n v="330870"/>
    <n v="1"/>
    <n v="4"/>
    <n v="1"/>
    <x v="0"/>
  </r>
  <r>
    <x v="225"/>
    <x v="2"/>
    <n v="262"/>
    <n v="4"/>
    <n v="1488300"/>
    <n v="1"/>
    <n v="1"/>
    <n v="4"/>
    <x v="0"/>
  </r>
  <r>
    <x v="226"/>
    <x v="1"/>
    <n v="29"/>
    <n v="5"/>
    <n v="1168500"/>
    <n v="4"/>
    <n v="2"/>
    <n v="4"/>
    <x v="4"/>
  </r>
  <r>
    <x v="227"/>
    <x v="2"/>
    <n v="117"/>
    <n v="6"/>
    <n v="334560"/>
    <n v="2"/>
    <n v="3"/>
    <n v="1"/>
    <x v="0"/>
  </r>
  <r>
    <x v="228"/>
    <x v="0"/>
    <n v="267"/>
    <n v="5"/>
    <n v="1408350"/>
    <n v="1"/>
    <n v="2"/>
    <n v="4"/>
    <x v="0"/>
  </r>
  <r>
    <x v="229"/>
    <x v="6"/>
    <n v="31"/>
    <n v="10"/>
    <n v="1795800"/>
    <n v="4"/>
    <n v="5"/>
    <n v="5"/>
    <x v="3"/>
  </r>
  <r>
    <x v="230"/>
    <x v="2"/>
    <n v="22"/>
    <n v="7"/>
    <n v="1194330"/>
    <n v="5"/>
    <n v="4"/>
    <n v="4"/>
    <x v="3"/>
  </r>
  <r>
    <x v="231"/>
    <x v="0"/>
    <n v="110"/>
    <n v="7"/>
    <n v="2287800"/>
    <n v="2"/>
    <n v="4"/>
    <n v="5"/>
    <x v="0"/>
  </r>
  <r>
    <x v="232"/>
    <x v="7"/>
    <n v="18"/>
    <n v="7"/>
    <n v="1137750"/>
    <n v="5"/>
    <n v="4"/>
    <n v="3"/>
    <x v="1"/>
  </r>
  <r>
    <x v="233"/>
    <x v="2"/>
    <n v="95"/>
    <n v="8"/>
    <n v="2607600"/>
    <n v="3"/>
    <n v="4"/>
    <n v="5"/>
    <x v="1"/>
  </r>
  <r>
    <x v="234"/>
    <x v="1"/>
    <n v="91"/>
    <n v="7"/>
    <n v="1559640"/>
    <n v="3"/>
    <n v="4"/>
    <n v="4"/>
    <x v="1"/>
  </r>
  <r>
    <x v="235"/>
    <x v="2"/>
    <n v="262"/>
    <n v="4"/>
    <n v="1205400"/>
    <n v="1"/>
    <n v="1"/>
    <n v="4"/>
    <x v="0"/>
  </r>
  <r>
    <x v="236"/>
    <x v="0"/>
    <n v="127"/>
    <n v="6"/>
    <n v="1626060"/>
    <n v="2"/>
    <n v="3"/>
    <n v="4"/>
    <x v="0"/>
  </r>
  <r>
    <x v="237"/>
    <x v="6"/>
    <n v="7"/>
    <n v="5"/>
    <n v="831480"/>
    <n v="5"/>
    <n v="2"/>
    <n v="2"/>
    <x v="4"/>
  </r>
  <r>
    <x v="238"/>
    <x v="2"/>
    <n v="24"/>
    <n v="5"/>
    <n v="1161120"/>
    <n v="4"/>
    <n v="2"/>
    <n v="3"/>
    <x v="4"/>
  </r>
  <r>
    <x v="239"/>
    <x v="0"/>
    <n v="38"/>
    <n v="5"/>
    <n v="571950"/>
    <n v="4"/>
    <n v="2"/>
    <n v="2"/>
    <x v="4"/>
  </r>
  <r>
    <x v="240"/>
    <x v="3"/>
    <n v="220"/>
    <n v="6"/>
    <n v="1175880"/>
    <n v="1"/>
    <n v="3"/>
    <n v="4"/>
    <x v="0"/>
  </r>
  <r>
    <x v="241"/>
    <x v="2"/>
    <n v="30"/>
    <n v="6"/>
    <n v="418200"/>
    <n v="4"/>
    <n v="3"/>
    <n v="1"/>
    <x v="5"/>
  </r>
  <r>
    <x v="242"/>
    <x v="4"/>
    <n v="170"/>
    <n v="8"/>
    <n v="1100850"/>
    <n v="2"/>
    <n v="4"/>
    <n v="3"/>
    <x v="0"/>
  </r>
  <r>
    <x v="243"/>
    <x v="0"/>
    <n v="112"/>
    <n v="6"/>
    <n v="1537500"/>
    <n v="2"/>
    <n v="3"/>
    <n v="4"/>
    <x v="0"/>
  </r>
  <r>
    <x v="244"/>
    <x v="1"/>
    <n v="159"/>
    <n v="6"/>
    <n v="1057800"/>
    <n v="2"/>
    <n v="3"/>
    <n v="3"/>
    <x v="0"/>
  </r>
  <r>
    <x v="245"/>
    <x v="2"/>
    <n v="71"/>
    <n v="5"/>
    <n v="161130"/>
    <n v="3"/>
    <n v="2"/>
    <n v="1"/>
    <x v="6"/>
  </r>
  <r>
    <x v="246"/>
    <x v="0"/>
    <n v="44"/>
    <n v="6"/>
    <n v="885600"/>
    <n v="4"/>
    <n v="3"/>
    <n v="3"/>
    <x v="5"/>
  </r>
  <r>
    <x v="247"/>
    <x v="3"/>
    <n v="12"/>
    <n v="6"/>
    <n v="1039350"/>
    <n v="5"/>
    <n v="3"/>
    <n v="3"/>
    <x v="5"/>
  </r>
  <r>
    <x v="248"/>
    <x v="2"/>
    <n v="29"/>
    <n v="6"/>
    <n v="295200"/>
    <n v="4"/>
    <n v="3"/>
    <n v="1"/>
    <x v="5"/>
  </r>
  <r>
    <x v="249"/>
    <x v="4"/>
    <n v="419"/>
    <n v="2"/>
    <n v="933570"/>
    <n v="1"/>
    <n v="1"/>
    <n v="3"/>
    <x v="0"/>
  </r>
  <r>
    <x v="250"/>
    <x v="7"/>
    <n v="142"/>
    <n v="4"/>
    <n v="119310"/>
    <n v="2"/>
    <n v="1"/>
    <n v="1"/>
    <x v="2"/>
  </r>
  <r>
    <x v="251"/>
    <x v="2"/>
    <n v="364"/>
    <n v="5"/>
    <n v="307500"/>
    <n v="1"/>
    <n v="2"/>
    <n v="1"/>
    <x v="2"/>
  </r>
  <r>
    <x v="252"/>
    <x v="1"/>
    <n v="121"/>
    <n v="9"/>
    <n v="870840"/>
    <n v="2"/>
    <n v="5"/>
    <n v="3"/>
    <x v="0"/>
  </r>
  <r>
    <x v="253"/>
    <x v="2"/>
    <n v="37"/>
    <n v="5"/>
    <n v="210330"/>
    <n v="4"/>
    <n v="2"/>
    <n v="1"/>
    <x v="4"/>
  </r>
  <r>
    <x v="254"/>
    <x v="0"/>
    <n v="309"/>
    <n v="5"/>
    <n v="762600"/>
    <n v="1"/>
    <n v="2"/>
    <n v="2"/>
    <x v="2"/>
  </r>
  <r>
    <x v="255"/>
    <x v="6"/>
    <n v="72"/>
    <n v="3"/>
    <n v="1168500"/>
    <n v="3"/>
    <n v="1"/>
    <n v="4"/>
    <x v="5"/>
  </r>
  <r>
    <x v="256"/>
    <x v="2"/>
    <n v="270"/>
    <n v="11"/>
    <n v="2028270"/>
    <n v="1"/>
    <n v="5"/>
    <n v="5"/>
    <x v="0"/>
  </r>
  <r>
    <x v="257"/>
    <x v="0"/>
    <n v="74"/>
    <n v="8"/>
    <n v="2521500"/>
    <n v="3"/>
    <n v="4"/>
    <n v="5"/>
    <x v="1"/>
  </r>
  <r>
    <x v="258"/>
    <x v="7"/>
    <n v="53"/>
    <n v="10"/>
    <n v="1254600"/>
    <n v="3"/>
    <n v="5"/>
    <n v="4"/>
    <x v="1"/>
  </r>
  <r>
    <x v="259"/>
    <x v="2"/>
    <n v="30"/>
    <n v="9"/>
    <n v="453870"/>
    <n v="4"/>
    <n v="5"/>
    <n v="1"/>
    <x v="1"/>
  </r>
  <r>
    <x v="260"/>
    <x v="4"/>
    <n v="25"/>
    <n v="7"/>
    <n v="1867140"/>
    <n v="4"/>
    <n v="4"/>
    <n v="5"/>
    <x v="3"/>
  </r>
  <r>
    <x v="261"/>
    <x v="2"/>
    <n v="326"/>
    <n v="5"/>
    <n v="552270"/>
    <n v="1"/>
    <n v="2"/>
    <n v="2"/>
    <x v="2"/>
  </r>
  <r>
    <x v="262"/>
    <x v="0"/>
    <n v="24"/>
    <n v="6"/>
    <n v="1894200"/>
    <n v="4"/>
    <n v="3"/>
    <n v="5"/>
    <x v="5"/>
  </r>
  <r>
    <x v="263"/>
    <x v="2"/>
    <n v="6"/>
    <n v="10"/>
    <n v="1473540"/>
    <n v="5"/>
    <n v="5"/>
    <n v="4"/>
    <x v="3"/>
  </r>
  <r>
    <x v="264"/>
    <x v="3"/>
    <n v="10"/>
    <n v="5"/>
    <n v="264450"/>
    <n v="5"/>
    <n v="2"/>
    <n v="1"/>
    <x v="4"/>
  </r>
  <r>
    <x v="265"/>
    <x v="2"/>
    <n v="94"/>
    <n v="6"/>
    <n v="907740"/>
    <n v="3"/>
    <n v="3"/>
    <n v="3"/>
    <x v="5"/>
  </r>
  <r>
    <x v="266"/>
    <x v="4"/>
    <n v="14"/>
    <n v="9"/>
    <n v="762600"/>
    <n v="5"/>
    <n v="5"/>
    <n v="2"/>
    <x v="1"/>
  </r>
  <r>
    <x v="267"/>
    <x v="5"/>
    <n v="401"/>
    <n v="8"/>
    <n v="2195550"/>
    <n v="1"/>
    <n v="4"/>
    <n v="5"/>
    <x v="0"/>
  </r>
  <r>
    <x v="268"/>
    <x v="2"/>
    <n v="17"/>
    <n v="7"/>
    <n v="1414500"/>
    <n v="5"/>
    <n v="4"/>
    <n v="4"/>
    <x v="3"/>
  </r>
  <r>
    <x v="269"/>
    <x v="1"/>
    <n v="265"/>
    <n v="5"/>
    <n v="1271820"/>
    <n v="1"/>
    <n v="2"/>
    <n v="4"/>
    <x v="0"/>
  </r>
  <r>
    <x v="270"/>
    <x v="2"/>
    <n v="37"/>
    <n v="8"/>
    <n v="1022130"/>
    <n v="4"/>
    <n v="4"/>
    <n v="3"/>
    <x v="1"/>
  </r>
  <r>
    <x v="271"/>
    <x v="0"/>
    <n v="191"/>
    <n v="6"/>
    <n v="584250"/>
    <n v="1"/>
    <n v="3"/>
    <n v="2"/>
    <x v="0"/>
  </r>
  <r>
    <x v="272"/>
    <x v="6"/>
    <n v="232"/>
    <n v="3"/>
    <n v="270600"/>
    <n v="1"/>
    <n v="1"/>
    <n v="1"/>
    <x v="2"/>
  </r>
  <r>
    <x v="273"/>
    <x v="2"/>
    <n v="12"/>
    <n v="7"/>
    <n v="1840080"/>
    <n v="5"/>
    <n v="4"/>
    <n v="5"/>
    <x v="3"/>
  </r>
  <r>
    <x v="274"/>
    <x v="4"/>
    <n v="224"/>
    <n v="8"/>
    <n v="2097150"/>
    <n v="1"/>
    <n v="4"/>
    <n v="5"/>
    <x v="0"/>
  </r>
  <r>
    <x v="275"/>
    <x v="7"/>
    <n v="118"/>
    <n v="5"/>
    <n v="1291500"/>
    <n v="2"/>
    <n v="2"/>
    <n v="4"/>
    <x v="0"/>
  </r>
  <r>
    <x v="276"/>
    <x v="2"/>
    <n v="65"/>
    <n v="6"/>
    <n v="789660"/>
    <n v="3"/>
    <n v="3"/>
    <n v="2"/>
    <x v="5"/>
  </r>
  <r>
    <x v="277"/>
    <x v="1"/>
    <n v="134"/>
    <n v="5"/>
    <n v="876990"/>
    <n v="2"/>
    <n v="2"/>
    <n v="3"/>
    <x v="0"/>
  </r>
  <r>
    <x v="278"/>
    <x v="2"/>
    <n v="8"/>
    <n v="9"/>
    <n v="1244760"/>
    <n v="5"/>
    <n v="5"/>
    <n v="4"/>
    <x v="3"/>
  </r>
  <r>
    <x v="279"/>
    <x v="0"/>
    <n v="4"/>
    <n v="7"/>
    <n v="1788420"/>
    <n v="5"/>
    <n v="4"/>
    <n v="5"/>
    <x v="3"/>
  </r>
  <r>
    <x v="280"/>
    <x v="6"/>
    <n v="169"/>
    <n v="8"/>
    <n v="1232460"/>
    <n v="2"/>
    <n v="4"/>
    <n v="4"/>
    <x v="0"/>
  </r>
  <r>
    <x v="281"/>
    <x v="2"/>
    <n v="14"/>
    <n v="9"/>
    <n v="1912650"/>
    <n v="5"/>
    <n v="5"/>
    <n v="5"/>
    <x v="3"/>
  </r>
  <r>
    <x v="282"/>
    <x v="0"/>
    <n v="120"/>
    <n v="7"/>
    <n v="714630"/>
    <n v="2"/>
    <n v="4"/>
    <n v="2"/>
    <x v="0"/>
  </r>
  <r>
    <x v="283"/>
    <x v="3"/>
    <n v="175"/>
    <n v="3"/>
    <n v="166050"/>
    <n v="1"/>
    <n v="1"/>
    <n v="1"/>
    <x v="2"/>
  </r>
  <r>
    <x v="284"/>
    <x v="2"/>
    <n v="21"/>
    <n v="10"/>
    <n v="2303790"/>
    <n v="5"/>
    <n v="5"/>
    <n v="5"/>
    <x v="3"/>
  </r>
  <r>
    <x v="285"/>
    <x v="4"/>
    <n v="7"/>
    <n v="9"/>
    <n v="1261980"/>
    <n v="5"/>
    <n v="5"/>
    <n v="4"/>
    <x v="3"/>
  </r>
  <r>
    <x v="286"/>
    <x v="2"/>
    <n v="142"/>
    <n v="4"/>
    <n v="503070"/>
    <n v="2"/>
    <n v="1"/>
    <n v="1"/>
    <x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956">
  <r>
    <s v="ORD-00001"/>
    <s v="CUST0268"/>
    <x v="0"/>
    <x v="0"/>
    <n v="21"/>
    <x v="0"/>
    <x v="0"/>
    <x v="0"/>
    <n v="36900"/>
    <n v="5"/>
    <n v="184500"/>
    <x v="0"/>
    <s v="Friday"/>
    <s v="Weekend"/>
  </r>
  <r>
    <s v="ORD-00002"/>
    <s v="CUST0046"/>
    <x v="1"/>
    <x v="0"/>
    <n v="22"/>
    <x v="1"/>
    <x v="1"/>
    <x v="1"/>
    <n v="12300"/>
    <n v="2"/>
    <n v="24600"/>
    <x v="1"/>
    <s v="Sunday"/>
    <s v="Weekday"/>
  </r>
  <r>
    <s v="ORD-00003"/>
    <s v="CUST0169"/>
    <x v="1"/>
    <x v="1"/>
    <n v="54"/>
    <x v="0"/>
    <x v="0"/>
    <x v="0"/>
    <n v="36900"/>
    <n v="1"/>
    <n v="36900"/>
    <x v="2"/>
    <s v="Monday"/>
    <s v="Weekday"/>
  </r>
  <r>
    <s v="ORD-00004"/>
    <s v="CUST0002"/>
    <x v="0"/>
    <x v="2"/>
    <n v="23"/>
    <x v="0"/>
    <x v="1"/>
    <x v="1"/>
    <n v="12300"/>
    <n v="5"/>
    <n v="61500"/>
    <x v="3"/>
    <s v="Wednesday"/>
    <s v="Weekday"/>
  </r>
  <r>
    <s v="ORD-00005"/>
    <s v="CUST0173"/>
    <x v="0"/>
    <x v="0"/>
    <n v="65"/>
    <x v="2"/>
    <x v="2"/>
    <x v="0"/>
    <n v="184500"/>
    <n v="3"/>
    <n v="553500"/>
    <x v="4"/>
    <s v="Thursday"/>
    <s v="Weekday"/>
  </r>
  <r>
    <s v="ORD-00006"/>
    <s v="CUST0147"/>
    <x v="0"/>
    <x v="1"/>
    <n v="64"/>
    <x v="1"/>
    <x v="3"/>
    <x v="2"/>
    <n v="24600"/>
    <n v="2"/>
    <n v="49200"/>
    <x v="5"/>
    <s v="Wednesday"/>
    <s v="Weekday"/>
  </r>
  <r>
    <s v="ORD-00007"/>
    <s v="CUST0262"/>
    <x v="0"/>
    <x v="3"/>
    <n v="27"/>
    <x v="1"/>
    <x v="3"/>
    <x v="2"/>
    <n v="24600"/>
    <n v="1"/>
    <n v="24600"/>
    <x v="6"/>
    <s v="Monday"/>
    <s v="Weekday"/>
  </r>
  <r>
    <s v="ORD-00008"/>
    <s v="CUST0159"/>
    <x v="0"/>
    <x v="4"/>
    <n v="18"/>
    <x v="1"/>
    <x v="4"/>
    <x v="1"/>
    <n v="6150"/>
    <n v="2"/>
    <n v="12300"/>
    <x v="7"/>
    <s v="Thursday"/>
    <s v="Weekday"/>
  </r>
  <r>
    <s v="ORD-00009"/>
    <s v="CUST0046"/>
    <x v="1"/>
    <x v="0"/>
    <n v="22"/>
    <x v="0"/>
    <x v="5"/>
    <x v="1"/>
    <n v="3690"/>
    <n v="1"/>
    <n v="3690"/>
    <x v="8"/>
    <s v="Saturday"/>
    <s v="Weekend"/>
  </r>
  <r>
    <s v="ORD-00010"/>
    <s v="CUST0023"/>
    <x v="0"/>
    <x v="1"/>
    <n v="29"/>
    <x v="1"/>
    <x v="1"/>
    <x v="1"/>
    <n v="12300"/>
    <n v="3"/>
    <n v="36900"/>
    <x v="9"/>
    <s v="Sunday"/>
    <s v="Weekday"/>
  </r>
  <r>
    <s v="ORD-00011"/>
    <s v="CUST0201"/>
    <x v="1"/>
    <x v="1"/>
    <n v="49"/>
    <x v="1"/>
    <x v="1"/>
    <x v="1"/>
    <n v="12300"/>
    <n v="2"/>
    <n v="24600"/>
    <x v="10"/>
    <s v="Thursday"/>
    <s v="Weekday"/>
  </r>
  <r>
    <s v="ORD-00012"/>
    <s v="CUST0283"/>
    <x v="1"/>
    <x v="2"/>
    <n v="67"/>
    <x v="1"/>
    <x v="5"/>
    <x v="1"/>
    <n v="3690"/>
    <n v="3"/>
    <n v="11070"/>
    <x v="11"/>
    <s v="Wednesday"/>
    <s v="Weekday"/>
  </r>
  <r>
    <s v="ORD-00013"/>
    <s v="CUST0199"/>
    <x v="2"/>
    <x v="5"/>
    <n v="41"/>
    <x v="2"/>
    <x v="4"/>
    <x v="1"/>
    <n v="6150"/>
    <n v="5"/>
    <n v="30750"/>
    <x v="12"/>
    <s v="Friday"/>
    <s v="Weekend"/>
  </r>
  <r>
    <s v="ORD-00014"/>
    <s v="CUST0039"/>
    <x v="0"/>
    <x v="1"/>
    <n v="60"/>
    <x v="1"/>
    <x v="4"/>
    <x v="1"/>
    <n v="6150"/>
    <n v="4"/>
    <n v="24600"/>
    <x v="13"/>
    <s v="Sunday"/>
    <s v="Weekday"/>
  </r>
  <r>
    <s v="ORD-00015"/>
    <s v="CUST0276"/>
    <x v="0"/>
    <x v="0"/>
    <n v="66"/>
    <x v="0"/>
    <x v="5"/>
    <x v="1"/>
    <n v="3690"/>
    <n v="1"/>
    <n v="3690"/>
    <x v="14"/>
    <s v="Thursday"/>
    <s v="Weekday"/>
  </r>
  <r>
    <s v="ORD-00016"/>
    <s v="CUST0143"/>
    <x v="1"/>
    <x v="3"/>
    <n v="36"/>
    <x v="2"/>
    <x v="3"/>
    <x v="2"/>
    <n v="24600"/>
    <n v="3"/>
    <n v="73800"/>
    <x v="15"/>
    <s v="Friday"/>
    <s v="Weekend"/>
  </r>
  <r>
    <s v="ORD-00017"/>
    <s v="CUST0139"/>
    <x v="0"/>
    <x v="1"/>
    <n v="57"/>
    <x v="1"/>
    <x v="2"/>
    <x v="0"/>
    <n v="184500"/>
    <n v="4"/>
    <n v="738000"/>
    <x v="16"/>
    <s v="Saturday"/>
    <s v="Weekend"/>
  </r>
  <r>
    <s v="ORD-00018"/>
    <s v="CUST0210"/>
    <x v="0"/>
    <x v="2"/>
    <n v="30"/>
    <x v="1"/>
    <x v="6"/>
    <x v="0"/>
    <n v="98400"/>
    <n v="2"/>
    <n v="196800"/>
    <x v="17"/>
    <s v="Friday"/>
    <s v="Weekend"/>
  </r>
  <r>
    <s v="ORD-00019"/>
    <s v="CUST0293"/>
    <x v="0"/>
    <x v="1"/>
    <n v="32"/>
    <x v="2"/>
    <x v="3"/>
    <x v="2"/>
    <n v="24600"/>
    <n v="5"/>
    <n v="123000"/>
    <x v="18"/>
    <s v="Wednesday"/>
    <s v="Weekday"/>
  </r>
  <r>
    <s v="ORD-00020"/>
    <s v="CUST0049"/>
    <x v="1"/>
    <x v="0"/>
    <n v="59"/>
    <x v="1"/>
    <x v="0"/>
    <x v="0"/>
    <n v="36900"/>
    <n v="4"/>
    <n v="147600"/>
    <x v="19"/>
    <s v="Sunday"/>
    <s v="Weekday"/>
  </r>
  <r>
    <s v="ORD-00021"/>
    <s v="CUST0283"/>
    <x v="1"/>
    <x v="2"/>
    <n v="67"/>
    <x v="0"/>
    <x v="6"/>
    <x v="0"/>
    <n v="98400"/>
    <n v="5"/>
    <n v="492000"/>
    <x v="20"/>
    <s v="Wednesday"/>
    <s v="Weekday"/>
  </r>
  <r>
    <s v="ORD-00022"/>
    <s v="CUST0196"/>
    <x v="1"/>
    <x v="1"/>
    <n v="37"/>
    <x v="0"/>
    <x v="5"/>
    <x v="1"/>
    <n v="3690"/>
    <n v="3"/>
    <n v="11070"/>
    <x v="21"/>
    <s v="Wednesday"/>
    <s v="Weekday"/>
  </r>
  <r>
    <s v="ORD-00023"/>
    <s v="CUST0050"/>
    <x v="2"/>
    <x v="1"/>
    <n v="40"/>
    <x v="1"/>
    <x v="5"/>
    <x v="1"/>
    <n v="3690"/>
    <n v="3"/>
    <n v="11070"/>
    <x v="22"/>
    <s v="Tuesday"/>
    <s v="Weekday"/>
  </r>
  <r>
    <s v="ORD-00024"/>
    <s v="CUST0007"/>
    <x v="1"/>
    <x v="5"/>
    <n v="52"/>
    <x v="0"/>
    <x v="1"/>
    <x v="1"/>
    <n v="12300"/>
    <n v="2"/>
    <n v="24600"/>
    <x v="23"/>
    <s v="Saturday"/>
    <s v="Weekend"/>
  </r>
  <r>
    <s v="ORD-00025"/>
    <s v="CUST0242"/>
    <x v="0"/>
    <x v="1"/>
    <n v="58"/>
    <x v="2"/>
    <x v="6"/>
    <x v="0"/>
    <n v="98400"/>
    <n v="4"/>
    <n v="393600"/>
    <x v="24"/>
    <s v="Saturday"/>
    <s v="Weekend"/>
  </r>
  <r>
    <s v="ORD-00026"/>
    <s v="CUST0042"/>
    <x v="1"/>
    <x v="1"/>
    <n v="57"/>
    <x v="1"/>
    <x v="4"/>
    <x v="1"/>
    <n v="6150"/>
    <n v="1"/>
    <n v="6150"/>
    <x v="25"/>
    <s v="Monday"/>
    <s v="Weekday"/>
  </r>
  <r>
    <s v="ORD-00027"/>
    <s v="CUST0264"/>
    <x v="1"/>
    <x v="2"/>
    <n v="59"/>
    <x v="2"/>
    <x v="6"/>
    <x v="0"/>
    <n v="98400"/>
    <n v="2"/>
    <n v="196800"/>
    <x v="26"/>
    <s v="Wednesday"/>
    <s v="Weekday"/>
  </r>
  <r>
    <s v="ORD-00028"/>
    <s v="CUST0053"/>
    <x v="1"/>
    <x v="5"/>
    <n v="25"/>
    <x v="0"/>
    <x v="3"/>
    <x v="2"/>
    <n v="24600"/>
    <n v="1"/>
    <n v="24600"/>
    <x v="27"/>
    <s v="Monday"/>
    <s v="Weekday"/>
  </r>
  <r>
    <s v="ORD-00029"/>
    <s v="CUST0154"/>
    <x v="2"/>
    <x v="6"/>
    <n v="31"/>
    <x v="1"/>
    <x v="6"/>
    <x v="0"/>
    <n v="98400"/>
    <n v="1"/>
    <n v="98400"/>
    <x v="28"/>
    <s v="Thursday"/>
    <s v="Weekday"/>
  </r>
  <r>
    <s v="ORD-00030"/>
    <s v="CUST0190"/>
    <x v="0"/>
    <x v="0"/>
    <n v="28"/>
    <x v="2"/>
    <x v="4"/>
    <x v="1"/>
    <n v="6150"/>
    <n v="4"/>
    <n v="24600"/>
    <x v="29"/>
    <s v="Wednesday"/>
    <s v="Weekday"/>
  </r>
  <r>
    <s v="ORD-00031"/>
    <s v="CUST0038"/>
    <x v="0"/>
    <x v="0"/>
    <n v="57"/>
    <x v="0"/>
    <x v="0"/>
    <x v="0"/>
    <n v="36900"/>
    <n v="2"/>
    <n v="73800"/>
    <x v="30"/>
    <s v="Friday"/>
    <s v="Weekend"/>
  </r>
  <r>
    <s v="ORD-00032"/>
    <s v="CUST0288"/>
    <x v="0"/>
    <x v="5"/>
    <n v="55"/>
    <x v="1"/>
    <x v="2"/>
    <x v="0"/>
    <n v="184500"/>
    <n v="4"/>
    <n v="738000"/>
    <x v="31"/>
    <s v="Wednesday"/>
    <s v="Weekday"/>
  </r>
  <r>
    <s v="ORD-00033"/>
    <s v="CUST0124"/>
    <x v="1"/>
    <x v="4"/>
    <n v="53"/>
    <x v="3"/>
    <x v="0"/>
    <x v="0"/>
    <n v="36900"/>
    <n v="2"/>
    <n v="73800"/>
    <x v="32"/>
    <s v="Tuesday"/>
    <s v="Weekday"/>
  </r>
  <r>
    <s v="ORD-00034"/>
    <s v="CUST0298"/>
    <x v="2"/>
    <x v="0"/>
    <n v="58"/>
    <x v="0"/>
    <x v="1"/>
    <x v="1"/>
    <n v="12300"/>
    <n v="5"/>
    <n v="61500"/>
    <x v="33"/>
    <s v="Sunday"/>
    <s v="Weekday"/>
  </r>
  <r>
    <s v="ORD-00035"/>
    <s v="CUST0211"/>
    <x v="2"/>
    <x v="0"/>
    <n v="35"/>
    <x v="0"/>
    <x v="5"/>
    <x v="1"/>
    <n v="3690"/>
    <n v="3"/>
    <n v="11070"/>
    <x v="34"/>
    <s v="Monday"/>
    <s v="Weekday"/>
  </r>
  <r>
    <s v="ORD-00036"/>
    <s v="CUST0060"/>
    <x v="0"/>
    <x v="0"/>
    <n v="41"/>
    <x v="3"/>
    <x v="2"/>
    <x v="0"/>
    <n v="184500"/>
    <n v="4"/>
    <n v="738000"/>
    <x v="35"/>
    <s v="Saturday"/>
    <s v="Weekend"/>
  </r>
  <r>
    <s v="ORD-00037"/>
    <s v="CUST0284"/>
    <x v="1"/>
    <x v="0"/>
    <n v="64"/>
    <x v="3"/>
    <x v="0"/>
    <x v="0"/>
    <n v="36900"/>
    <n v="1"/>
    <n v="36900"/>
    <x v="36"/>
    <s v="Tuesday"/>
    <s v="Weekday"/>
  </r>
  <r>
    <s v="ORD-00038"/>
    <s v="CUST0282"/>
    <x v="0"/>
    <x v="0"/>
    <n v="68"/>
    <x v="2"/>
    <x v="6"/>
    <x v="0"/>
    <n v="98400"/>
    <n v="2"/>
    <n v="196800"/>
    <x v="37"/>
    <s v="Sunday"/>
    <s v="Weekday"/>
  </r>
  <r>
    <s v="ORD-00039"/>
    <s v="CUST0205"/>
    <x v="2"/>
    <x v="4"/>
    <n v="43"/>
    <x v="0"/>
    <x v="0"/>
    <x v="0"/>
    <n v="36900"/>
    <n v="2"/>
    <n v="73800"/>
    <x v="38"/>
    <s v="Thursday"/>
    <s v="Weekday"/>
  </r>
  <r>
    <s v="ORD-00040"/>
    <s v="CUST0222"/>
    <x v="1"/>
    <x v="0"/>
    <n v="61"/>
    <x v="3"/>
    <x v="6"/>
    <x v="0"/>
    <n v="98400"/>
    <n v="2"/>
    <n v="196800"/>
    <x v="39"/>
    <s v="Tuesday"/>
    <s v="Weekday"/>
  </r>
  <r>
    <s v="ORD-00041"/>
    <s v="CUST0299"/>
    <x v="1"/>
    <x v="5"/>
    <n v="58"/>
    <x v="1"/>
    <x v="4"/>
    <x v="1"/>
    <n v="6150"/>
    <n v="2"/>
    <n v="12300"/>
    <x v="40"/>
    <s v="Wednesday"/>
    <s v="Weekday"/>
  </r>
  <r>
    <s v="ORD-00042"/>
    <s v="CUST0064"/>
    <x v="0"/>
    <x v="2"/>
    <n v="61"/>
    <x v="0"/>
    <x v="0"/>
    <x v="0"/>
    <n v="36900"/>
    <n v="1"/>
    <n v="36900"/>
    <x v="41"/>
    <s v="Friday"/>
    <s v="Weekend"/>
  </r>
  <r>
    <s v="ORD-00043"/>
    <s v="CUST0073"/>
    <x v="0"/>
    <x v="0"/>
    <n v="19"/>
    <x v="2"/>
    <x v="4"/>
    <x v="1"/>
    <n v="6150"/>
    <n v="4"/>
    <n v="24600"/>
    <x v="42"/>
    <s v="Tuesday"/>
    <s v="Weekday"/>
  </r>
  <r>
    <s v="ORD-00044"/>
    <s v="CUST0154"/>
    <x v="2"/>
    <x v="6"/>
    <n v="31"/>
    <x v="3"/>
    <x v="4"/>
    <x v="1"/>
    <n v="6150"/>
    <n v="3"/>
    <n v="18450"/>
    <x v="43"/>
    <s v="Monday"/>
    <s v="Weekday"/>
  </r>
  <r>
    <s v="ORD-00045"/>
    <s v="CUST0081"/>
    <x v="0"/>
    <x v="6"/>
    <n v="38"/>
    <x v="0"/>
    <x v="0"/>
    <x v="0"/>
    <n v="36900"/>
    <n v="1"/>
    <n v="36900"/>
    <x v="44"/>
    <s v="Sunday"/>
    <s v="Weekday"/>
  </r>
  <r>
    <s v="ORD-00046"/>
    <s v="CUST0247"/>
    <x v="0"/>
    <x v="1"/>
    <n v="44"/>
    <x v="0"/>
    <x v="1"/>
    <x v="1"/>
    <n v="12300"/>
    <n v="2"/>
    <n v="24600"/>
    <x v="45"/>
    <s v="Tuesday"/>
    <s v="Weekday"/>
  </r>
  <r>
    <s v="ORD-00047"/>
    <s v="CUST0130"/>
    <x v="0"/>
    <x v="0"/>
    <n v="68"/>
    <x v="3"/>
    <x v="0"/>
    <x v="0"/>
    <n v="36900"/>
    <n v="2"/>
    <n v="73800"/>
    <x v="46"/>
    <s v="Saturday"/>
    <s v="Weekend"/>
  </r>
  <r>
    <s v="ORD-00048"/>
    <s v="CUST0178"/>
    <x v="0"/>
    <x v="4"/>
    <n v="44"/>
    <x v="3"/>
    <x v="3"/>
    <x v="2"/>
    <n v="24600"/>
    <n v="3"/>
    <n v="73800"/>
    <x v="23"/>
    <s v="Saturday"/>
    <s v="Weekend"/>
  </r>
  <r>
    <s v="ORD-00049"/>
    <s v="CUST0131"/>
    <x v="1"/>
    <x v="1"/>
    <n v="67"/>
    <x v="3"/>
    <x v="2"/>
    <x v="0"/>
    <n v="184500"/>
    <n v="4"/>
    <n v="738000"/>
    <x v="47"/>
    <s v="Friday"/>
    <s v="Weekend"/>
  </r>
  <r>
    <s v="ORD-00050"/>
    <s v="CUST0070"/>
    <x v="0"/>
    <x v="3"/>
    <n v="23"/>
    <x v="0"/>
    <x v="0"/>
    <x v="0"/>
    <n v="36900"/>
    <n v="3"/>
    <n v="110700"/>
    <x v="48"/>
    <s v="Sunday"/>
    <s v="Weekday"/>
  </r>
  <r>
    <s v="ORD-00051"/>
    <s v="CUST0122"/>
    <x v="0"/>
    <x v="0"/>
    <n v="68"/>
    <x v="3"/>
    <x v="1"/>
    <x v="1"/>
    <n v="12300"/>
    <n v="2"/>
    <n v="24600"/>
    <x v="49"/>
    <s v="Wednesday"/>
    <s v="Weekday"/>
  </r>
  <r>
    <s v="ORD-00052"/>
    <s v="CUST0168"/>
    <x v="1"/>
    <x v="0"/>
    <n v="42"/>
    <x v="3"/>
    <x v="0"/>
    <x v="0"/>
    <n v="36900"/>
    <n v="4"/>
    <n v="147600"/>
    <x v="50"/>
    <s v="Monday"/>
    <s v="Weekday"/>
  </r>
  <r>
    <s v="ORD-00053"/>
    <s v="CUST0176"/>
    <x v="0"/>
    <x v="0"/>
    <n v="51"/>
    <x v="0"/>
    <x v="2"/>
    <x v="0"/>
    <n v="184500"/>
    <n v="2"/>
    <n v="369000"/>
    <x v="51"/>
    <s v="Thursday"/>
    <s v="Weekday"/>
  </r>
  <r>
    <s v="ORD-00054"/>
    <s v="CUST0064"/>
    <x v="0"/>
    <x v="2"/>
    <n v="61"/>
    <x v="0"/>
    <x v="2"/>
    <x v="0"/>
    <n v="184500"/>
    <n v="2"/>
    <n v="369000"/>
    <x v="52"/>
    <s v="Wednesday"/>
    <s v="Weekday"/>
  </r>
  <r>
    <s v="ORD-00055"/>
    <s v="CUST0125"/>
    <x v="2"/>
    <x v="0"/>
    <n v="46"/>
    <x v="2"/>
    <x v="6"/>
    <x v="0"/>
    <n v="98400"/>
    <n v="5"/>
    <n v="492000"/>
    <x v="53"/>
    <s v="Thursday"/>
    <s v="Weekday"/>
  </r>
  <r>
    <s v="ORD-00056"/>
    <s v="CUST0165"/>
    <x v="2"/>
    <x v="0"/>
    <n v="49"/>
    <x v="1"/>
    <x v="4"/>
    <x v="1"/>
    <n v="6150"/>
    <n v="4"/>
    <n v="24600"/>
    <x v="34"/>
    <s v="Monday"/>
    <s v="Weekday"/>
  </r>
  <r>
    <s v="ORD-00057"/>
    <s v="CUST0057"/>
    <x v="2"/>
    <x v="0"/>
    <n v="62"/>
    <x v="0"/>
    <x v="4"/>
    <x v="1"/>
    <n v="6150"/>
    <n v="4"/>
    <n v="24600"/>
    <x v="54"/>
    <s v="Friday"/>
    <s v="Weekend"/>
  </r>
  <r>
    <s v="ORD-00058"/>
    <s v="CUST0207"/>
    <x v="0"/>
    <x v="5"/>
    <n v="54"/>
    <x v="1"/>
    <x v="2"/>
    <x v="0"/>
    <n v="184500"/>
    <n v="1"/>
    <n v="184500"/>
    <x v="55"/>
    <s v="Tuesday"/>
    <s v="Weekday"/>
  </r>
  <r>
    <s v="ORD-00059"/>
    <s v="CUST0167"/>
    <x v="2"/>
    <x v="7"/>
    <n v="67"/>
    <x v="2"/>
    <x v="1"/>
    <x v="1"/>
    <n v="12300"/>
    <n v="2"/>
    <n v="24600"/>
    <x v="56"/>
    <s v="Thursday"/>
    <s v="Weekday"/>
  </r>
  <r>
    <s v="ORD-00060"/>
    <s v="CUST0006"/>
    <x v="2"/>
    <x v="0"/>
    <n v="52"/>
    <x v="2"/>
    <x v="2"/>
    <x v="0"/>
    <n v="184500"/>
    <n v="5"/>
    <n v="922500"/>
    <x v="33"/>
    <s v="Sunday"/>
    <s v="Weekday"/>
  </r>
  <r>
    <s v="ORD-00061"/>
    <s v="CUST0041"/>
    <x v="0"/>
    <x v="0"/>
    <n v="64"/>
    <x v="3"/>
    <x v="6"/>
    <x v="0"/>
    <n v="98400"/>
    <n v="4"/>
    <n v="393600"/>
    <x v="57"/>
    <s v="Tuesday"/>
    <s v="Weekday"/>
  </r>
  <r>
    <s v="ORD-00062"/>
    <s v="CUST0112"/>
    <x v="0"/>
    <x v="1"/>
    <n v="33"/>
    <x v="2"/>
    <x v="0"/>
    <x v="0"/>
    <n v="36900"/>
    <n v="4"/>
    <n v="147600"/>
    <x v="58"/>
    <s v="Wednesday"/>
    <s v="Weekday"/>
  </r>
  <r>
    <s v="ORD-00063"/>
    <s v="CUST0244"/>
    <x v="1"/>
    <x v="0"/>
    <n v="24"/>
    <x v="3"/>
    <x v="1"/>
    <x v="1"/>
    <n v="12300"/>
    <n v="3"/>
    <n v="36900"/>
    <x v="59"/>
    <s v="Tuesday"/>
    <s v="Weekday"/>
  </r>
  <r>
    <s v="ORD-00064"/>
    <s v="CUST0218"/>
    <x v="0"/>
    <x v="2"/>
    <n v="36"/>
    <x v="3"/>
    <x v="1"/>
    <x v="1"/>
    <n v="12300"/>
    <n v="2"/>
    <n v="24600"/>
    <x v="60"/>
    <s v="Friday"/>
    <s v="Weekend"/>
  </r>
  <r>
    <s v="ORD-00065"/>
    <s v="CUST0073"/>
    <x v="0"/>
    <x v="0"/>
    <n v="19"/>
    <x v="0"/>
    <x v="0"/>
    <x v="0"/>
    <n v="36900"/>
    <n v="5"/>
    <n v="184500"/>
    <x v="61"/>
    <s v="Monday"/>
    <s v="Weekday"/>
  </r>
  <r>
    <s v="ORD-00066"/>
    <s v="CUST0290"/>
    <x v="1"/>
    <x v="0"/>
    <n v="37"/>
    <x v="0"/>
    <x v="5"/>
    <x v="1"/>
    <n v="3690"/>
    <n v="4"/>
    <n v="14760"/>
    <x v="62"/>
    <s v="Tuesday"/>
    <s v="Weekday"/>
  </r>
  <r>
    <s v="ORD-00067"/>
    <s v="CUST0065"/>
    <x v="1"/>
    <x v="0"/>
    <n v="41"/>
    <x v="1"/>
    <x v="1"/>
    <x v="1"/>
    <n v="12300"/>
    <n v="2"/>
    <n v="24600"/>
    <x v="63"/>
    <s v="Sunday"/>
    <s v="Weekday"/>
  </r>
  <r>
    <s v="ORD-00068"/>
    <s v="CUST0096"/>
    <x v="1"/>
    <x v="1"/>
    <n v="61"/>
    <x v="3"/>
    <x v="6"/>
    <x v="0"/>
    <n v="98400"/>
    <n v="4"/>
    <n v="393600"/>
    <x v="64"/>
    <s v="Tuesday"/>
    <s v="Weekday"/>
  </r>
  <r>
    <s v="ORD-00069"/>
    <s v="CUST0060"/>
    <x v="0"/>
    <x v="0"/>
    <n v="41"/>
    <x v="3"/>
    <x v="4"/>
    <x v="1"/>
    <n v="6150"/>
    <n v="4"/>
    <n v="24600"/>
    <x v="65"/>
    <s v="Monday"/>
    <s v="Weekday"/>
  </r>
  <r>
    <s v="ORD-00070"/>
    <s v="CUST0045"/>
    <x v="2"/>
    <x v="2"/>
    <n v="21"/>
    <x v="1"/>
    <x v="5"/>
    <x v="1"/>
    <n v="3690"/>
    <n v="1"/>
    <n v="3690"/>
    <x v="6"/>
    <s v="Monday"/>
    <s v="Weekday"/>
  </r>
  <r>
    <s v="ORD-00071"/>
    <s v="CUST0296"/>
    <x v="1"/>
    <x v="1"/>
    <n v="50"/>
    <x v="3"/>
    <x v="4"/>
    <x v="1"/>
    <n v="6150"/>
    <n v="2"/>
    <n v="12300"/>
    <x v="66"/>
    <s v="Tuesday"/>
    <s v="Weekday"/>
  </r>
  <r>
    <s v="ORD-00072"/>
    <s v="CUST0261"/>
    <x v="0"/>
    <x v="5"/>
    <n v="48"/>
    <x v="2"/>
    <x v="2"/>
    <x v="0"/>
    <n v="184500"/>
    <n v="5"/>
    <n v="922500"/>
    <x v="67"/>
    <s v="Sunday"/>
    <s v="Weekday"/>
  </r>
  <r>
    <s v="ORD-00073"/>
    <s v="CUST0077"/>
    <x v="0"/>
    <x v="1"/>
    <n v="50"/>
    <x v="3"/>
    <x v="4"/>
    <x v="1"/>
    <n v="6150"/>
    <n v="5"/>
    <n v="30750"/>
    <x v="68"/>
    <s v="Sunday"/>
    <s v="Weekday"/>
  </r>
  <r>
    <s v="ORD-00074"/>
    <s v="CUST0227"/>
    <x v="2"/>
    <x v="6"/>
    <n v="54"/>
    <x v="3"/>
    <x v="4"/>
    <x v="1"/>
    <n v="6150"/>
    <n v="4"/>
    <n v="24600"/>
    <x v="69"/>
    <s v="Thursday"/>
    <s v="Weekday"/>
  </r>
  <r>
    <s v="ORD-00075"/>
    <s v="CUST0284"/>
    <x v="1"/>
    <x v="0"/>
    <n v="64"/>
    <x v="3"/>
    <x v="4"/>
    <x v="1"/>
    <n v="6150"/>
    <n v="3"/>
    <n v="18450"/>
    <x v="70"/>
    <s v="Tuesday"/>
    <s v="Weekday"/>
  </r>
  <r>
    <s v="ORD-00076"/>
    <s v="CUST0245"/>
    <x v="0"/>
    <x v="2"/>
    <n v="63"/>
    <x v="0"/>
    <x v="5"/>
    <x v="1"/>
    <n v="3690"/>
    <n v="1"/>
    <n v="3690"/>
    <x v="71"/>
    <s v="Monday"/>
    <s v="Weekday"/>
  </r>
  <r>
    <s v="ORD-00077"/>
    <s v="CUST0133"/>
    <x v="0"/>
    <x v="0"/>
    <n v="47"/>
    <x v="2"/>
    <x v="6"/>
    <x v="0"/>
    <n v="98400"/>
    <n v="1"/>
    <n v="98400"/>
    <x v="23"/>
    <s v="Saturday"/>
    <s v="Weekend"/>
  </r>
  <r>
    <s v="ORD-00078"/>
    <s v="CUST0179"/>
    <x v="0"/>
    <x v="0"/>
    <n v="45"/>
    <x v="3"/>
    <x v="4"/>
    <x v="1"/>
    <n v="6150"/>
    <n v="2"/>
    <n v="12300"/>
    <x v="72"/>
    <s v="Thursday"/>
    <s v="Weekday"/>
  </r>
  <r>
    <s v="ORD-00079"/>
    <s v="CUST0022"/>
    <x v="1"/>
    <x v="0"/>
    <n v="33"/>
    <x v="2"/>
    <x v="3"/>
    <x v="2"/>
    <n v="24600"/>
    <n v="2"/>
    <n v="49200"/>
    <x v="73"/>
    <s v="Tuesday"/>
    <s v="Weekday"/>
  </r>
  <r>
    <s v="ORD-00080"/>
    <s v="CUST0269"/>
    <x v="0"/>
    <x v="1"/>
    <n v="64"/>
    <x v="2"/>
    <x v="2"/>
    <x v="0"/>
    <n v="184500"/>
    <n v="5"/>
    <n v="922500"/>
    <x v="74"/>
    <s v="Sunday"/>
    <s v="Weekday"/>
  </r>
  <r>
    <s v="ORD-00081"/>
    <s v="CUST0181"/>
    <x v="0"/>
    <x v="6"/>
    <n v="59"/>
    <x v="2"/>
    <x v="3"/>
    <x v="2"/>
    <n v="24600"/>
    <n v="3"/>
    <n v="73800"/>
    <x v="75"/>
    <s v="Wednesday"/>
    <s v="Weekday"/>
  </r>
  <r>
    <s v="ORD-00082"/>
    <s v="CUST0170"/>
    <x v="2"/>
    <x v="3"/>
    <n v="40"/>
    <x v="1"/>
    <x v="5"/>
    <x v="1"/>
    <n v="3690"/>
    <n v="5"/>
    <n v="18450"/>
    <x v="76"/>
    <s v="Friday"/>
    <s v="Weekend"/>
  </r>
  <r>
    <s v="ORD-00083"/>
    <s v="CUST0182"/>
    <x v="0"/>
    <x v="0"/>
    <n v="19"/>
    <x v="3"/>
    <x v="0"/>
    <x v="0"/>
    <n v="36900"/>
    <n v="5"/>
    <n v="184500"/>
    <x v="77"/>
    <s v="Tuesday"/>
    <s v="Weekday"/>
  </r>
  <r>
    <s v="ORD-00084"/>
    <s v="CUST0219"/>
    <x v="1"/>
    <x v="0"/>
    <n v="48"/>
    <x v="0"/>
    <x v="5"/>
    <x v="1"/>
    <n v="3690"/>
    <n v="2"/>
    <n v="7380"/>
    <x v="78"/>
    <s v="Sunday"/>
    <s v="Weekday"/>
  </r>
  <r>
    <s v="ORD-00085"/>
    <s v="CUST0037"/>
    <x v="2"/>
    <x v="2"/>
    <n v="51"/>
    <x v="0"/>
    <x v="4"/>
    <x v="1"/>
    <n v="6150"/>
    <n v="4"/>
    <n v="24600"/>
    <x v="79"/>
    <s v="Saturday"/>
    <s v="Weekend"/>
  </r>
  <r>
    <s v="ORD-00086"/>
    <s v="CUST0006"/>
    <x v="2"/>
    <x v="0"/>
    <n v="52"/>
    <x v="0"/>
    <x v="0"/>
    <x v="0"/>
    <n v="36900"/>
    <n v="3"/>
    <n v="110700"/>
    <x v="80"/>
    <s v="Saturday"/>
    <s v="Weekend"/>
  </r>
  <r>
    <s v="ORD-00087"/>
    <s v="CUST0018"/>
    <x v="1"/>
    <x v="2"/>
    <n v="38"/>
    <x v="0"/>
    <x v="2"/>
    <x v="0"/>
    <n v="184500"/>
    <n v="3"/>
    <n v="553500"/>
    <x v="81"/>
    <s v="Saturday"/>
    <s v="Weekend"/>
  </r>
  <r>
    <s v="ORD-00088"/>
    <s v="CUST0006"/>
    <x v="2"/>
    <x v="0"/>
    <n v="52"/>
    <x v="3"/>
    <x v="3"/>
    <x v="2"/>
    <n v="24600"/>
    <n v="1"/>
    <n v="24600"/>
    <x v="82"/>
    <s v="Wednesday"/>
    <s v="Weekday"/>
  </r>
  <r>
    <s v="ORD-00089"/>
    <s v="CUST0091"/>
    <x v="2"/>
    <x v="2"/>
    <n v="30"/>
    <x v="0"/>
    <x v="5"/>
    <x v="1"/>
    <n v="3690"/>
    <n v="1"/>
    <n v="3690"/>
    <x v="83"/>
    <s v="Wednesday"/>
    <s v="Weekday"/>
  </r>
  <r>
    <s v="ORD-00090"/>
    <s v="CUST0064"/>
    <x v="0"/>
    <x v="2"/>
    <n v="61"/>
    <x v="2"/>
    <x v="6"/>
    <x v="0"/>
    <n v="98400"/>
    <n v="5"/>
    <n v="492000"/>
    <x v="14"/>
    <s v="Thursday"/>
    <s v="Weekday"/>
  </r>
  <r>
    <s v="ORD-00091"/>
    <s v="CUST0286"/>
    <x v="2"/>
    <x v="7"/>
    <n v="63"/>
    <x v="1"/>
    <x v="2"/>
    <x v="0"/>
    <n v="184500"/>
    <n v="1"/>
    <n v="184500"/>
    <x v="84"/>
    <s v="Wednesday"/>
    <s v="Weekday"/>
  </r>
  <r>
    <s v="ORD-00092"/>
    <s v="CUST0288"/>
    <x v="0"/>
    <x v="5"/>
    <n v="55"/>
    <x v="0"/>
    <x v="1"/>
    <x v="1"/>
    <n v="12300"/>
    <n v="2"/>
    <n v="24600"/>
    <x v="85"/>
    <s v="Tuesday"/>
    <s v="Weekday"/>
  </r>
  <r>
    <s v="ORD-00093"/>
    <s v="CUST0019"/>
    <x v="0"/>
    <x v="0"/>
    <n v="69"/>
    <x v="2"/>
    <x v="4"/>
    <x v="1"/>
    <n v="6150"/>
    <n v="1"/>
    <n v="6150"/>
    <x v="9"/>
    <s v="Sunday"/>
    <s v="Weekday"/>
  </r>
  <r>
    <s v="ORD-00094"/>
    <s v="CUST0236"/>
    <x v="0"/>
    <x v="0"/>
    <n v="18"/>
    <x v="0"/>
    <x v="4"/>
    <x v="1"/>
    <n v="6150"/>
    <n v="2"/>
    <n v="12300"/>
    <x v="86"/>
    <s v="Friday"/>
    <s v="Weekend"/>
  </r>
  <r>
    <s v="ORD-00095"/>
    <s v="CUST0159"/>
    <x v="0"/>
    <x v="4"/>
    <n v="18"/>
    <x v="3"/>
    <x v="4"/>
    <x v="1"/>
    <n v="6150"/>
    <n v="5"/>
    <n v="30750"/>
    <x v="71"/>
    <s v="Monday"/>
    <s v="Weekday"/>
  </r>
  <r>
    <s v="ORD-00096"/>
    <s v="CUST0251"/>
    <x v="0"/>
    <x v="4"/>
    <n v="42"/>
    <x v="2"/>
    <x v="5"/>
    <x v="1"/>
    <n v="3690"/>
    <n v="2"/>
    <n v="7380"/>
    <x v="87"/>
    <s v="Thursday"/>
    <s v="Weekday"/>
  </r>
  <r>
    <s v="ORD-00097"/>
    <s v="CUST0159"/>
    <x v="0"/>
    <x v="4"/>
    <n v="18"/>
    <x v="3"/>
    <x v="1"/>
    <x v="1"/>
    <n v="12300"/>
    <n v="1"/>
    <n v="12300"/>
    <x v="44"/>
    <s v="Sunday"/>
    <s v="Weekday"/>
  </r>
  <r>
    <s v="ORD-00098"/>
    <s v="CUST0064"/>
    <x v="0"/>
    <x v="2"/>
    <n v="61"/>
    <x v="0"/>
    <x v="0"/>
    <x v="0"/>
    <n v="36900"/>
    <n v="4"/>
    <n v="147600"/>
    <x v="88"/>
    <s v="Tuesday"/>
    <s v="Weekday"/>
  </r>
  <r>
    <s v="ORD-00099"/>
    <s v="CUST0099"/>
    <x v="2"/>
    <x v="5"/>
    <n v="26"/>
    <x v="2"/>
    <x v="2"/>
    <x v="0"/>
    <n v="184500"/>
    <n v="4"/>
    <n v="738000"/>
    <x v="89"/>
    <s v="Saturday"/>
    <s v="Weekend"/>
  </r>
  <r>
    <s v="ORD-00100"/>
    <s v="CUST0228"/>
    <x v="0"/>
    <x v="1"/>
    <n v="25"/>
    <x v="2"/>
    <x v="6"/>
    <x v="0"/>
    <n v="98400"/>
    <n v="4"/>
    <n v="393600"/>
    <x v="90"/>
    <s v="Tuesday"/>
    <s v="Weekday"/>
  </r>
  <r>
    <s v="ORD-00101"/>
    <s v="CUST0024"/>
    <x v="1"/>
    <x v="4"/>
    <n v="57"/>
    <x v="2"/>
    <x v="3"/>
    <x v="2"/>
    <n v="24600"/>
    <n v="2"/>
    <n v="49200"/>
    <x v="0"/>
    <s v="Friday"/>
    <s v="Weekend"/>
  </r>
  <r>
    <s v="ORD-00102"/>
    <s v="CUST0113"/>
    <x v="2"/>
    <x v="7"/>
    <n v="38"/>
    <x v="0"/>
    <x v="6"/>
    <x v="0"/>
    <n v="98400"/>
    <n v="2"/>
    <n v="196800"/>
    <x v="91"/>
    <s v="Thursday"/>
    <s v="Weekday"/>
  </r>
  <r>
    <s v="ORD-00103"/>
    <s v="CUST0192"/>
    <x v="0"/>
    <x v="0"/>
    <n v="58"/>
    <x v="1"/>
    <x v="3"/>
    <x v="2"/>
    <n v="24600"/>
    <n v="4"/>
    <n v="98400"/>
    <x v="92"/>
    <s v="Sunday"/>
    <s v="Weekday"/>
  </r>
  <r>
    <s v="ORD-00104"/>
    <s v="CUST0153"/>
    <x v="1"/>
    <x v="5"/>
    <n v="40"/>
    <x v="1"/>
    <x v="0"/>
    <x v="0"/>
    <n v="36900"/>
    <n v="1"/>
    <n v="36900"/>
    <x v="18"/>
    <s v="Wednesday"/>
    <s v="Weekday"/>
  </r>
  <r>
    <s v="ORD-00105"/>
    <s v="CUST0059"/>
    <x v="1"/>
    <x v="4"/>
    <n v="18"/>
    <x v="3"/>
    <x v="5"/>
    <x v="1"/>
    <n v="3690"/>
    <n v="4"/>
    <n v="14760"/>
    <x v="93"/>
    <s v="Saturday"/>
    <s v="Weekend"/>
  </r>
  <r>
    <s v="ORD-00106"/>
    <s v="CUST0233"/>
    <x v="0"/>
    <x v="0"/>
    <n v="24"/>
    <x v="1"/>
    <x v="0"/>
    <x v="0"/>
    <n v="36900"/>
    <n v="4"/>
    <n v="147600"/>
    <x v="94"/>
    <s v="Friday"/>
    <s v="Weekend"/>
  </r>
  <r>
    <s v="ORD-00107"/>
    <s v="CUST0150"/>
    <x v="2"/>
    <x v="1"/>
    <n v="63"/>
    <x v="0"/>
    <x v="2"/>
    <x v="0"/>
    <n v="184500"/>
    <n v="3"/>
    <n v="553500"/>
    <x v="95"/>
    <s v="Saturday"/>
    <s v="Weekend"/>
  </r>
  <r>
    <s v="ORD-00108"/>
    <s v="CUST0203"/>
    <x v="1"/>
    <x v="0"/>
    <n v="33"/>
    <x v="2"/>
    <x v="5"/>
    <x v="1"/>
    <n v="3690"/>
    <n v="1"/>
    <n v="3690"/>
    <x v="96"/>
    <s v="Tuesday"/>
    <s v="Weekday"/>
  </r>
  <r>
    <s v="ORD-00109"/>
    <s v="CUST0163"/>
    <x v="1"/>
    <x v="0"/>
    <n v="22"/>
    <x v="2"/>
    <x v="1"/>
    <x v="1"/>
    <n v="12300"/>
    <n v="3"/>
    <n v="36900"/>
    <x v="97"/>
    <s v="Thursday"/>
    <s v="Weekday"/>
  </r>
  <r>
    <s v="ORD-00110"/>
    <s v="CUST0203"/>
    <x v="1"/>
    <x v="0"/>
    <n v="33"/>
    <x v="0"/>
    <x v="2"/>
    <x v="0"/>
    <n v="184500"/>
    <n v="3"/>
    <n v="553500"/>
    <x v="98"/>
    <s v="Monday"/>
    <s v="Weekday"/>
  </r>
  <r>
    <s v="ORD-00111"/>
    <s v="CUST0223"/>
    <x v="1"/>
    <x v="1"/>
    <n v="20"/>
    <x v="2"/>
    <x v="5"/>
    <x v="1"/>
    <n v="3690"/>
    <n v="2"/>
    <n v="7380"/>
    <x v="99"/>
    <s v="Friday"/>
    <s v="Weekend"/>
  </r>
  <r>
    <s v="ORD-00112"/>
    <s v="CUST0266"/>
    <x v="0"/>
    <x v="1"/>
    <n v="29"/>
    <x v="1"/>
    <x v="5"/>
    <x v="1"/>
    <n v="3690"/>
    <n v="5"/>
    <n v="18450"/>
    <x v="20"/>
    <s v="Wednesday"/>
    <s v="Weekday"/>
  </r>
  <r>
    <s v="ORD-00113"/>
    <s v="CUST0227"/>
    <x v="2"/>
    <x v="6"/>
    <n v="54"/>
    <x v="3"/>
    <x v="6"/>
    <x v="0"/>
    <n v="98400"/>
    <n v="3"/>
    <n v="295200"/>
    <x v="28"/>
    <s v="Thursday"/>
    <s v="Weekday"/>
  </r>
  <r>
    <s v="ORD-00114"/>
    <s v="CUST0289"/>
    <x v="1"/>
    <x v="3"/>
    <n v="37"/>
    <x v="0"/>
    <x v="2"/>
    <x v="0"/>
    <n v="184500"/>
    <n v="5"/>
    <n v="922500"/>
    <x v="100"/>
    <s v="Thursday"/>
    <s v="Weekday"/>
  </r>
  <r>
    <s v="ORD-00115"/>
    <s v="CUST0046"/>
    <x v="1"/>
    <x v="0"/>
    <n v="22"/>
    <x v="2"/>
    <x v="2"/>
    <x v="0"/>
    <n v="184500"/>
    <n v="3"/>
    <n v="553500"/>
    <x v="101"/>
    <s v="Tuesday"/>
    <s v="Weekday"/>
  </r>
  <r>
    <s v="ORD-00116"/>
    <s v="CUST0173"/>
    <x v="0"/>
    <x v="0"/>
    <n v="65"/>
    <x v="0"/>
    <x v="1"/>
    <x v="1"/>
    <n v="12300"/>
    <n v="1"/>
    <n v="12300"/>
    <x v="102"/>
    <s v="Saturday"/>
    <s v="Weekend"/>
  </r>
  <r>
    <s v="ORD-00117"/>
    <s v="CUST0008"/>
    <x v="1"/>
    <x v="6"/>
    <n v="18"/>
    <x v="1"/>
    <x v="1"/>
    <x v="1"/>
    <n v="12300"/>
    <n v="5"/>
    <n v="61500"/>
    <x v="87"/>
    <s v="Thursday"/>
    <s v="Weekday"/>
  </r>
  <r>
    <s v="ORD-00118"/>
    <s v="CUST0015"/>
    <x v="0"/>
    <x v="5"/>
    <n v="58"/>
    <x v="2"/>
    <x v="1"/>
    <x v="1"/>
    <n v="12300"/>
    <n v="3"/>
    <n v="36900"/>
    <x v="103"/>
    <s v="Wednesday"/>
    <s v="Weekday"/>
  </r>
  <r>
    <s v="ORD-00119"/>
    <s v="CUST0002"/>
    <x v="0"/>
    <x v="2"/>
    <n v="23"/>
    <x v="2"/>
    <x v="6"/>
    <x v="0"/>
    <n v="98400"/>
    <n v="1"/>
    <n v="98400"/>
    <x v="104"/>
    <s v="Sunday"/>
    <s v="Weekday"/>
  </r>
  <r>
    <s v="ORD-00120"/>
    <s v="CUST0189"/>
    <x v="1"/>
    <x v="3"/>
    <n v="38"/>
    <x v="2"/>
    <x v="5"/>
    <x v="1"/>
    <n v="3690"/>
    <n v="1"/>
    <n v="3690"/>
    <x v="105"/>
    <s v="Wednesday"/>
    <s v="Weekday"/>
  </r>
  <r>
    <s v="ORD-00121"/>
    <s v="CUST0137"/>
    <x v="1"/>
    <x v="2"/>
    <n v="19"/>
    <x v="2"/>
    <x v="6"/>
    <x v="0"/>
    <n v="98400"/>
    <n v="3"/>
    <n v="295200"/>
    <x v="79"/>
    <s v="Saturday"/>
    <s v="Weekend"/>
  </r>
  <r>
    <s v="ORD-00122"/>
    <s v="CUST0139"/>
    <x v="0"/>
    <x v="1"/>
    <n v="57"/>
    <x v="0"/>
    <x v="3"/>
    <x v="2"/>
    <n v="24600"/>
    <n v="2"/>
    <n v="49200"/>
    <x v="98"/>
    <s v="Monday"/>
    <s v="Weekday"/>
  </r>
  <r>
    <s v="ORD-00123"/>
    <s v="CUST0297"/>
    <x v="0"/>
    <x v="4"/>
    <n v="61"/>
    <x v="1"/>
    <x v="0"/>
    <x v="0"/>
    <n v="36900"/>
    <n v="2"/>
    <n v="73800"/>
    <x v="106"/>
    <s v="Tuesday"/>
    <s v="Weekday"/>
  </r>
  <r>
    <s v="ORD-00124"/>
    <s v="CUST0008"/>
    <x v="1"/>
    <x v="6"/>
    <n v="18"/>
    <x v="1"/>
    <x v="4"/>
    <x v="1"/>
    <n v="6150"/>
    <n v="3"/>
    <n v="18450"/>
    <x v="107"/>
    <s v="Monday"/>
    <s v="Weekday"/>
  </r>
  <r>
    <s v="ORD-00125"/>
    <s v="CUST0267"/>
    <x v="0"/>
    <x v="7"/>
    <n v="29"/>
    <x v="3"/>
    <x v="2"/>
    <x v="0"/>
    <n v="184500"/>
    <n v="3"/>
    <n v="553500"/>
    <x v="10"/>
    <s v="Thursday"/>
    <s v="Weekday"/>
  </r>
  <r>
    <s v="ORD-00126"/>
    <s v="CUST0028"/>
    <x v="0"/>
    <x v="1"/>
    <n v="50"/>
    <x v="0"/>
    <x v="3"/>
    <x v="2"/>
    <n v="24600"/>
    <n v="5"/>
    <n v="123000"/>
    <x v="108"/>
    <s v="Tuesday"/>
    <s v="Weekday"/>
  </r>
  <r>
    <s v="ORD-00127"/>
    <s v="CUST0078"/>
    <x v="1"/>
    <x v="4"/>
    <n v="38"/>
    <x v="1"/>
    <x v="2"/>
    <x v="0"/>
    <n v="184500"/>
    <n v="3"/>
    <n v="553500"/>
    <x v="109"/>
    <s v="Wednesday"/>
    <s v="Weekday"/>
  </r>
  <r>
    <s v="ORD-00128"/>
    <s v="CUST0003"/>
    <x v="0"/>
    <x v="0"/>
    <n v="63"/>
    <x v="0"/>
    <x v="6"/>
    <x v="0"/>
    <n v="98400"/>
    <n v="5"/>
    <n v="492000"/>
    <x v="110"/>
    <s v="Monday"/>
    <s v="Weekday"/>
  </r>
  <r>
    <s v="ORD-00129"/>
    <s v="CUST0049"/>
    <x v="1"/>
    <x v="0"/>
    <n v="59"/>
    <x v="0"/>
    <x v="2"/>
    <x v="0"/>
    <n v="184500"/>
    <n v="1"/>
    <n v="184500"/>
    <x v="111"/>
    <s v="Monday"/>
    <s v="Weekday"/>
  </r>
  <r>
    <s v="ORD-00130"/>
    <s v="CUST0212"/>
    <x v="1"/>
    <x v="1"/>
    <n v="62"/>
    <x v="1"/>
    <x v="2"/>
    <x v="0"/>
    <n v="184500"/>
    <n v="5"/>
    <n v="922500"/>
    <x v="112"/>
    <s v="Saturday"/>
    <s v="Weekend"/>
  </r>
  <r>
    <s v="ORD-00131"/>
    <s v="CUST0146"/>
    <x v="2"/>
    <x v="0"/>
    <n v="47"/>
    <x v="3"/>
    <x v="6"/>
    <x v="0"/>
    <n v="98400"/>
    <n v="1"/>
    <n v="98400"/>
    <x v="113"/>
    <s v="Friday"/>
    <s v="Weekend"/>
  </r>
  <r>
    <s v="ORD-00132"/>
    <s v="CUST0082"/>
    <x v="1"/>
    <x v="0"/>
    <n v="30"/>
    <x v="3"/>
    <x v="3"/>
    <x v="2"/>
    <n v="24600"/>
    <n v="1"/>
    <n v="24600"/>
    <x v="114"/>
    <s v="Friday"/>
    <s v="Weekend"/>
  </r>
  <r>
    <s v="ORD-00133"/>
    <s v="CUST0036"/>
    <x v="2"/>
    <x v="0"/>
    <n v="33"/>
    <x v="3"/>
    <x v="4"/>
    <x v="1"/>
    <n v="6150"/>
    <n v="1"/>
    <n v="6150"/>
    <x v="82"/>
    <s v="Wednesday"/>
    <s v="Weekday"/>
  </r>
  <r>
    <s v="ORD-00134"/>
    <s v="CUST0155"/>
    <x v="2"/>
    <x v="1"/>
    <n v="41"/>
    <x v="2"/>
    <x v="2"/>
    <x v="0"/>
    <n v="184500"/>
    <n v="2"/>
    <n v="369000"/>
    <x v="87"/>
    <s v="Thursday"/>
    <s v="Weekday"/>
  </r>
  <r>
    <s v="ORD-00135"/>
    <s v="CUST0138"/>
    <x v="2"/>
    <x v="0"/>
    <n v="46"/>
    <x v="1"/>
    <x v="4"/>
    <x v="1"/>
    <n v="6150"/>
    <n v="3"/>
    <n v="18450"/>
    <x v="72"/>
    <s v="Thursday"/>
    <s v="Weekday"/>
  </r>
  <r>
    <s v="ORD-00136"/>
    <s v="CUST0201"/>
    <x v="1"/>
    <x v="1"/>
    <n v="49"/>
    <x v="2"/>
    <x v="5"/>
    <x v="1"/>
    <n v="3690"/>
    <n v="2"/>
    <n v="7380"/>
    <x v="60"/>
    <s v="Friday"/>
    <s v="Weekend"/>
  </r>
  <r>
    <s v="ORD-00137"/>
    <s v="CUST0197"/>
    <x v="0"/>
    <x v="4"/>
    <n v="54"/>
    <x v="2"/>
    <x v="5"/>
    <x v="1"/>
    <n v="3690"/>
    <n v="2"/>
    <n v="7380"/>
    <x v="115"/>
    <s v="Sunday"/>
    <s v="Weekday"/>
  </r>
  <r>
    <s v="ORD-00138"/>
    <s v="CUST0082"/>
    <x v="1"/>
    <x v="0"/>
    <n v="30"/>
    <x v="2"/>
    <x v="2"/>
    <x v="0"/>
    <n v="184500"/>
    <n v="1"/>
    <n v="184500"/>
    <x v="25"/>
    <s v="Monday"/>
    <s v="Weekday"/>
  </r>
  <r>
    <s v="ORD-00139"/>
    <s v="CUST0091"/>
    <x v="2"/>
    <x v="2"/>
    <n v="30"/>
    <x v="0"/>
    <x v="2"/>
    <x v="0"/>
    <n v="184500"/>
    <n v="5"/>
    <n v="922500"/>
    <x v="116"/>
    <s v="Tuesday"/>
    <s v="Weekday"/>
  </r>
  <r>
    <s v="ORD-00140"/>
    <s v="CUST0066"/>
    <x v="1"/>
    <x v="1"/>
    <n v="37"/>
    <x v="0"/>
    <x v="2"/>
    <x v="0"/>
    <n v="184500"/>
    <n v="2"/>
    <n v="369000"/>
    <x v="3"/>
    <s v="Wednesday"/>
    <s v="Weekday"/>
  </r>
  <r>
    <s v="ORD-00141"/>
    <s v="CUST0026"/>
    <x v="2"/>
    <x v="5"/>
    <n v="27"/>
    <x v="1"/>
    <x v="0"/>
    <x v="0"/>
    <n v="36900"/>
    <n v="1"/>
    <n v="36900"/>
    <x v="117"/>
    <s v="Thursday"/>
    <s v="Weekday"/>
  </r>
  <r>
    <s v="ORD-00142"/>
    <s v="CUST0078"/>
    <x v="1"/>
    <x v="4"/>
    <n v="38"/>
    <x v="1"/>
    <x v="3"/>
    <x v="2"/>
    <n v="24600"/>
    <n v="4"/>
    <n v="98400"/>
    <x v="118"/>
    <s v="Wednesday"/>
    <s v="Weekday"/>
  </r>
  <r>
    <s v="ORD-00143"/>
    <s v="CUST0281"/>
    <x v="1"/>
    <x v="6"/>
    <n v="44"/>
    <x v="0"/>
    <x v="4"/>
    <x v="1"/>
    <n v="6150"/>
    <n v="4"/>
    <n v="24600"/>
    <x v="119"/>
    <s v="Sunday"/>
    <s v="Weekday"/>
  </r>
  <r>
    <s v="ORD-00144"/>
    <s v="CUST0299"/>
    <x v="1"/>
    <x v="5"/>
    <n v="58"/>
    <x v="0"/>
    <x v="1"/>
    <x v="1"/>
    <n v="12300"/>
    <n v="5"/>
    <n v="61500"/>
    <x v="61"/>
    <s v="Monday"/>
    <s v="Weekday"/>
  </r>
  <r>
    <s v="ORD-00145"/>
    <s v="CUST0053"/>
    <x v="1"/>
    <x v="5"/>
    <n v="25"/>
    <x v="2"/>
    <x v="3"/>
    <x v="2"/>
    <n v="24600"/>
    <n v="5"/>
    <n v="123000"/>
    <x v="66"/>
    <s v="Tuesday"/>
    <s v="Weekday"/>
  </r>
  <r>
    <s v="ORD-00146"/>
    <s v="CUST0239"/>
    <x v="2"/>
    <x v="1"/>
    <n v="35"/>
    <x v="3"/>
    <x v="3"/>
    <x v="2"/>
    <n v="24600"/>
    <n v="1"/>
    <n v="24600"/>
    <x v="112"/>
    <s v="Saturday"/>
    <s v="Weekend"/>
  </r>
  <r>
    <s v="ORD-00147"/>
    <s v="CUST0069"/>
    <x v="2"/>
    <x v="1"/>
    <n v="66"/>
    <x v="3"/>
    <x v="1"/>
    <x v="1"/>
    <n v="12300"/>
    <n v="3"/>
    <n v="36900"/>
    <x v="28"/>
    <s v="Thursday"/>
    <s v="Weekday"/>
  </r>
  <r>
    <s v="ORD-00148"/>
    <s v="CUST0245"/>
    <x v="0"/>
    <x v="2"/>
    <n v="63"/>
    <x v="3"/>
    <x v="5"/>
    <x v="1"/>
    <n v="3690"/>
    <n v="3"/>
    <n v="11070"/>
    <x v="120"/>
    <s v="Monday"/>
    <s v="Weekday"/>
  </r>
  <r>
    <s v="ORD-00149"/>
    <s v="CUST0258"/>
    <x v="1"/>
    <x v="1"/>
    <n v="39"/>
    <x v="3"/>
    <x v="0"/>
    <x v="0"/>
    <n v="36900"/>
    <n v="4"/>
    <n v="147600"/>
    <x v="121"/>
    <s v="Tuesday"/>
    <s v="Weekday"/>
  </r>
  <r>
    <s v="ORD-00150"/>
    <s v="CUST0177"/>
    <x v="1"/>
    <x v="1"/>
    <n v="29"/>
    <x v="3"/>
    <x v="3"/>
    <x v="2"/>
    <n v="24600"/>
    <n v="3"/>
    <n v="73800"/>
    <x v="122"/>
    <s v="Saturday"/>
    <s v="Weekend"/>
  </r>
  <r>
    <s v="ORD-00151"/>
    <s v="CUST0140"/>
    <x v="0"/>
    <x v="7"/>
    <n v="50"/>
    <x v="2"/>
    <x v="1"/>
    <x v="1"/>
    <n v="12300"/>
    <n v="2"/>
    <n v="24600"/>
    <x v="84"/>
    <s v="Wednesday"/>
    <s v="Weekday"/>
  </r>
  <r>
    <s v="ORD-00152"/>
    <s v="CUST0089"/>
    <x v="1"/>
    <x v="3"/>
    <n v="27"/>
    <x v="1"/>
    <x v="5"/>
    <x v="1"/>
    <n v="3690"/>
    <n v="3"/>
    <n v="11070"/>
    <x v="123"/>
    <s v="Tuesday"/>
    <s v="Weekday"/>
  </r>
  <r>
    <s v="ORD-00153"/>
    <s v="CUST0168"/>
    <x v="1"/>
    <x v="0"/>
    <n v="42"/>
    <x v="0"/>
    <x v="6"/>
    <x v="0"/>
    <n v="98400"/>
    <n v="2"/>
    <n v="196800"/>
    <x v="124"/>
    <s v="Monday"/>
    <s v="Weekday"/>
  </r>
  <r>
    <s v="ORD-00154"/>
    <s v="CUST0176"/>
    <x v="0"/>
    <x v="0"/>
    <n v="51"/>
    <x v="2"/>
    <x v="2"/>
    <x v="0"/>
    <n v="184500"/>
    <n v="3"/>
    <n v="553500"/>
    <x v="23"/>
    <s v="Saturday"/>
    <s v="Weekend"/>
  </r>
  <r>
    <s v="ORD-00155"/>
    <s v="CUST0089"/>
    <x v="1"/>
    <x v="3"/>
    <n v="27"/>
    <x v="3"/>
    <x v="0"/>
    <x v="0"/>
    <n v="36900"/>
    <n v="3"/>
    <n v="110700"/>
    <x v="59"/>
    <s v="Tuesday"/>
    <s v="Weekday"/>
  </r>
  <r>
    <s v="ORD-00156"/>
    <s v="CUST0281"/>
    <x v="1"/>
    <x v="6"/>
    <n v="44"/>
    <x v="0"/>
    <x v="4"/>
    <x v="1"/>
    <n v="6150"/>
    <n v="2"/>
    <n v="12300"/>
    <x v="2"/>
    <s v="Monday"/>
    <s v="Weekday"/>
  </r>
  <r>
    <s v="ORD-00157"/>
    <s v="CUST0044"/>
    <x v="0"/>
    <x v="0"/>
    <n v="30"/>
    <x v="2"/>
    <x v="5"/>
    <x v="1"/>
    <n v="3690"/>
    <n v="5"/>
    <n v="18450"/>
    <x v="23"/>
    <s v="Saturday"/>
    <s v="Weekend"/>
  </r>
  <r>
    <s v="ORD-00158"/>
    <s v="CUST0137"/>
    <x v="1"/>
    <x v="2"/>
    <n v="19"/>
    <x v="3"/>
    <x v="0"/>
    <x v="0"/>
    <n v="36900"/>
    <n v="5"/>
    <n v="184500"/>
    <x v="20"/>
    <s v="Wednesday"/>
    <s v="Weekday"/>
  </r>
  <r>
    <s v="ORD-00159"/>
    <s v="CUST0174"/>
    <x v="1"/>
    <x v="1"/>
    <n v="68"/>
    <x v="2"/>
    <x v="2"/>
    <x v="0"/>
    <n v="184500"/>
    <n v="1"/>
    <n v="184500"/>
    <x v="125"/>
    <s v="Sunday"/>
    <s v="Weekday"/>
  </r>
  <r>
    <s v="ORD-00160"/>
    <s v="CUST0141"/>
    <x v="2"/>
    <x v="0"/>
    <n v="58"/>
    <x v="0"/>
    <x v="5"/>
    <x v="1"/>
    <n v="3690"/>
    <n v="1"/>
    <n v="3690"/>
    <x v="39"/>
    <s v="Tuesday"/>
    <s v="Weekday"/>
  </r>
  <r>
    <s v="ORD-00161"/>
    <s v="CUST0202"/>
    <x v="0"/>
    <x v="2"/>
    <n v="56"/>
    <x v="1"/>
    <x v="5"/>
    <x v="1"/>
    <n v="3690"/>
    <n v="3"/>
    <n v="11070"/>
    <x v="126"/>
    <s v="Thursday"/>
    <s v="Weekday"/>
  </r>
  <r>
    <s v="ORD-00162"/>
    <s v="CUST0259"/>
    <x v="0"/>
    <x v="4"/>
    <n v="59"/>
    <x v="3"/>
    <x v="2"/>
    <x v="0"/>
    <n v="184500"/>
    <n v="2"/>
    <n v="369000"/>
    <x v="108"/>
    <s v="Tuesday"/>
    <s v="Weekday"/>
  </r>
  <r>
    <s v="ORD-00163"/>
    <s v="CUST0045"/>
    <x v="2"/>
    <x v="2"/>
    <n v="21"/>
    <x v="0"/>
    <x v="6"/>
    <x v="0"/>
    <n v="98400"/>
    <n v="3"/>
    <n v="295200"/>
    <x v="127"/>
    <s v="Tuesday"/>
    <s v="Weekday"/>
  </r>
  <r>
    <s v="ORD-00164"/>
    <s v="CUST0168"/>
    <x v="1"/>
    <x v="0"/>
    <n v="42"/>
    <x v="0"/>
    <x v="4"/>
    <x v="1"/>
    <n v="6150"/>
    <n v="1"/>
    <n v="6150"/>
    <x v="128"/>
    <s v="Saturday"/>
    <s v="Weekend"/>
  </r>
  <r>
    <s v="ORD-00165"/>
    <s v="CUST0027"/>
    <x v="1"/>
    <x v="6"/>
    <n v="36"/>
    <x v="1"/>
    <x v="4"/>
    <x v="1"/>
    <n v="6150"/>
    <n v="5"/>
    <n v="30750"/>
    <x v="22"/>
    <s v="Tuesday"/>
    <s v="Weekday"/>
  </r>
  <r>
    <s v="ORD-00166"/>
    <s v="CUST0228"/>
    <x v="0"/>
    <x v="1"/>
    <n v="25"/>
    <x v="2"/>
    <x v="5"/>
    <x v="1"/>
    <n v="3690"/>
    <n v="4"/>
    <n v="14760"/>
    <x v="14"/>
    <s v="Thursday"/>
    <s v="Weekday"/>
  </r>
  <r>
    <s v="ORD-00167"/>
    <s v="CUST0199"/>
    <x v="2"/>
    <x v="5"/>
    <n v="41"/>
    <x v="1"/>
    <x v="6"/>
    <x v="0"/>
    <n v="98400"/>
    <n v="4"/>
    <n v="393600"/>
    <x v="3"/>
    <s v="Wednesday"/>
    <s v="Weekday"/>
  </r>
  <r>
    <s v="ORD-00168"/>
    <s v="CUST0065"/>
    <x v="1"/>
    <x v="0"/>
    <n v="41"/>
    <x v="1"/>
    <x v="1"/>
    <x v="1"/>
    <n v="12300"/>
    <n v="5"/>
    <n v="61500"/>
    <x v="129"/>
    <s v="Saturday"/>
    <s v="Weekend"/>
  </r>
  <r>
    <s v="ORD-00169"/>
    <s v="CUST0146"/>
    <x v="2"/>
    <x v="0"/>
    <n v="47"/>
    <x v="2"/>
    <x v="2"/>
    <x v="0"/>
    <n v="184500"/>
    <n v="3"/>
    <n v="553500"/>
    <x v="71"/>
    <s v="Monday"/>
    <s v="Weekday"/>
  </r>
  <r>
    <s v="ORD-00170"/>
    <s v="CUST0093"/>
    <x v="2"/>
    <x v="1"/>
    <n v="66"/>
    <x v="2"/>
    <x v="0"/>
    <x v="0"/>
    <n v="36900"/>
    <n v="1"/>
    <n v="36900"/>
    <x v="43"/>
    <s v="Monday"/>
    <s v="Weekday"/>
  </r>
  <r>
    <s v="ORD-00171"/>
    <s v="CUST0168"/>
    <x v="1"/>
    <x v="0"/>
    <n v="42"/>
    <x v="2"/>
    <x v="0"/>
    <x v="0"/>
    <n v="36900"/>
    <n v="1"/>
    <n v="36900"/>
    <x v="51"/>
    <s v="Thursday"/>
    <s v="Weekday"/>
  </r>
  <r>
    <s v="ORD-00172"/>
    <s v="CUST0216"/>
    <x v="0"/>
    <x v="3"/>
    <n v="53"/>
    <x v="0"/>
    <x v="6"/>
    <x v="0"/>
    <n v="98400"/>
    <n v="2"/>
    <n v="196800"/>
    <x v="130"/>
    <s v="Wednesday"/>
    <s v="Weekday"/>
  </r>
  <r>
    <s v="ORD-00173"/>
    <s v="CUST0062"/>
    <x v="0"/>
    <x v="3"/>
    <n v="43"/>
    <x v="0"/>
    <x v="1"/>
    <x v="1"/>
    <n v="12300"/>
    <n v="4"/>
    <n v="49200"/>
    <x v="131"/>
    <s v="Monday"/>
    <s v="Weekday"/>
  </r>
  <r>
    <s v="ORD-00174"/>
    <s v="CUST0125"/>
    <x v="2"/>
    <x v="0"/>
    <n v="46"/>
    <x v="3"/>
    <x v="6"/>
    <x v="0"/>
    <n v="98400"/>
    <n v="5"/>
    <n v="492000"/>
    <x v="132"/>
    <s v="Monday"/>
    <s v="Weekday"/>
  </r>
  <r>
    <s v="ORD-00175"/>
    <s v="CUST0060"/>
    <x v="0"/>
    <x v="0"/>
    <n v="41"/>
    <x v="3"/>
    <x v="4"/>
    <x v="1"/>
    <n v="6150"/>
    <n v="1"/>
    <n v="6150"/>
    <x v="98"/>
    <s v="Monday"/>
    <s v="Weekday"/>
  </r>
  <r>
    <s v="ORD-00176"/>
    <s v="CUST0218"/>
    <x v="0"/>
    <x v="2"/>
    <n v="36"/>
    <x v="1"/>
    <x v="6"/>
    <x v="0"/>
    <n v="98400"/>
    <n v="4"/>
    <n v="393600"/>
    <x v="133"/>
    <s v="Tuesday"/>
    <s v="Weekday"/>
  </r>
  <r>
    <s v="ORD-00177"/>
    <s v="CUST0247"/>
    <x v="0"/>
    <x v="1"/>
    <n v="44"/>
    <x v="1"/>
    <x v="6"/>
    <x v="0"/>
    <n v="98400"/>
    <n v="1"/>
    <n v="98400"/>
    <x v="4"/>
    <s v="Thursday"/>
    <s v="Weekday"/>
  </r>
  <r>
    <s v="ORD-00178"/>
    <s v="CUST0131"/>
    <x v="1"/>
    <x v="1"/>
    <n v="67"/>
    <x v="3"/>
    <x v="0"/>
    <x v="0"/>
    <n v="36900"/>
    <n v="1"/>
    <n v="36900"/>
    <x v="118"/>
    <s v="Wednesday"/>
    <s v="Weekday"/>
  </r>
  <r>
    <s v="ORD-00179"/>
    <s v="CUST0114"/>
    <x v="0"/>
    <x v="0"/>
    <n v="60"/>
    <x v="1"/>
    <x v="0"/>
    <x v="0"/>
    <n v="36900"/>
    <n v="3"/>
    <n v="110700"/>
    <x v="134"/>
    <s v="Friday"/>
    <s v="Weekend"/>
  </r>
  <r>
    <s v="ORD-00180"/>
    <s v="CUST0082"/>
    <x v="1"/>
    <x v="0"/>
    <n v="30"/>
    <x v="2"/>
    <x v="6"/>
    <x v="0"/>
    <n v="98400"/>
    <n v="4"/>
    <n v="393600"/>
    <x v="135"/>
    <s v="Wednesday"/>
    <s v="Weekday"/>
  </r>
  <r>
    <s v="ORD-00181"/>
    <s v="CUST0184"/>
    <x v="1"/>
    <x v="0"/>
    <n v="54"/>
    <x v="0"/>
    <x v="5"/>
    <x v="1"/>
    <n v="3690"/>
    <n v="3"/>
    <n v="11070"/>
    <x v="7"/>
    <s v="Thursday"/>
    <s v="Weekday"/>
  </r>
  <r>
    <s v="ORD-00182"/>
    <s v="CUST0075"/>
    <x v="1"/>
    <x v="7"/>
    <n v="56"/>
    <x v="3"/>
    <x v="0"/>
    <x v="0"/>
    <n v="36900"/>
    <n v="2"/>
    <n v="73800"/>
    <x v="136"/>
    <s v="Wednesday"/>
    <s v="Weekday"/>
  </r>
  <r>
    <s v="ORD-00183"/>
    <s v="CUST0142"/>
    <x v="0"/>
    <x v="1"/>
    <n v="32"/>
    <x v="0"/>
    <x v="0"/>
    <x v="0"/>
    <n v="36900"/>
    <n v="1"/>
    <n v="36900"/>
    <x v="137"/>
    <s v="Friday"/>
    <s v="Weekend"/>
  </r>
  <r>
    <s v="ORD-00184"/>
    <s v="CUST0076"/>
    <x v="0"/>
    <x v="0"/>
    <n v="26"/>
    <x v="3"/>
    <x v="1"/>
    <x v="1"/>
    <n v="12300"/>
    <n v="5"/>
    <n v="61500"/>
    <x v="77"/>
    <s v="Tuesday"/>
    <s v="Weekday"/>
  </r>
  <r>
    <s v="ORD-00185"/>
    <s v="CUST0105"/>
    <x v="0"/>
    <x v="4"/>
    <n v="27"/>
    <x v="0"/>
    <x v="3"/>
    <x v="2"/>
    <n v="24600"/>
    <n v="5"/>
    <n v="123000"/>
    <x v="15"/>
    <s v="Friday"/>
    <s v="Weekend"/>
  </r>
  <r>
    <s v="ORD-00186"/>
    <s v="CUST0004"/>
    <x v="0"/>
    <x v="1"/>
    <n v="65"/>
    <x v="3"/>
    <x v="4"/>
    <x v="1"/>
    <n v="6150"/>
    <n v="3"/>
    <n v="18450"/>
    <x v="138"/>
    <s v="Wednesday"/>
    <s v="Weekday"/>
  </r>
  <r>
    <s v="ORD-00187"/>
    <s v="CUST0127"/>
    <x v="0"/>
    <x v="6"/>
    <n v="62"/>
    <x v="0"/>
    <x v="3"/>
    <x v="2"/>
    <n v="24600"/>
    <n v="2"/>
    <n v="49200"/>
    <x v="139"/>
    <s v="Thursday"/>
    <s v="Weekday"/>
  </r>
  <r>
    <s v="ORD-00188"/>
    <s v="CUST0072"/>
    <x v="0"/>
    <x v="5"/>
    <n v="21"/>
    <x v="2"/>
    <x v="1"/>
    <x v="1"/>
    <n v="12300"/>
    <n v="1"/>
    <n v="12300"/>
    <x v="140"/>
    <s v="Saturday"/>
    <s v="Weekend"/>
  </r>
  <r>
    <s v="ORD-00189"/>
    <s v="CUST0216"/>
    <x v="0"/>
    <x v="3"/>
    <n v="53"/>
    <x v="3"/>
    <x v="6"/>
    <x v="0"/>
    <n v="98400"/>
    <n v="4"/>
    <n v="393600"/>
    <x v="141"/>
    <s v="Thursday"/>
    <s v="Weekday"/>
  </r>
  <r>
    <s v="ORD-00190"/>
    <s v="CUST0156"/>
    <x v="2"/>
    <x v="2"/>
    <n v="57"/>
    <x v="3"/>
    <x v="6"/>
    <x v="0"/>
    <n v="98400"/>
    <n v="4"/>
    <n v="393600"/>
    <x v="142"/>
    <s v="Friday"/>
    <s v="Weekend"/>
  </r>
  <r>
    <s v="ORD-00191"/>
    <s v="CUST0052"/>
    <x v="0"/>
    <x v="0"/>
    <n v="66"/>
    <x v="3"/>
    <x v="5"/>
    <x v="1"/>
    <n v="3690"/>
    <n v="4"/>
    <n v="14760"/>
    <x v="17"/>
    <s v="Friday"/>
    <s v="Weekend"/>
  </r>
  <r>
    <s v="ORD-00192"/>
    <s v="CUST0226"/>
    <x v="0"/>
    <x v="5"/>
    <n v="43"/>
    <x v="2"/>
    <x v="6"/>
    <x v="0"/>
    <n v="98400"/>
    <n v="4"/>
    <n v="393600"/>
    <x v="52"/>
    <s v="Wednesday"/>
    <s v="Weekday"/>
  </r>
  <r>
    <s v="ORD-00193"/>
    <s v="CUST0270"/>
    <x v="2"/>
    <x v="3"/>
    <n v="64"/>
    <x v="0"/>
    <x v="2"/>
    <x v="0"/>
    <n v="184500"/>
    <n v="1"/>
    <n v="184500"/>
    <x v="15"/>
    <s v="Friday"/>
    <s v="Weekend"/>
  </r>
  <r>
    <s v="ORD-00194"/>
    <s v="CUST0269"/>
    <x v="0"/>
    <x v="1"/>
    <n v="64"/>
    <x v="3"/>
    <x v="0"/>
    <x v="0"/>
    <n v="36900"/>
    <n v="5"/>
    <n v="184500"/>
    <x v="9"/>
    <s v="Sunday"/>
    <s v="Weekday"/>
  </r>
  <r>
    <s v="ORD-00195"/>
    <s v="CUST0183"/>
    <x v="1"/>
    <x v="2"/>
    <n v="42"/>
    <x v="0"/>
    <x v="6"/>
    <x v="0"/>
    <n v="98400"/>
    <n v="3"/>
    <n v="295200"/>
    <x v="143"/>
    <s v="Saturday"/>
    <s v="Weekend"/>
  </r>
  <r>
    <s v="ORD-00196"/>
    <s v="CUST0205"/>
    <x v="2"/>
    <x v="4"/>
    <n v="43"/>
    <x v="2"/>
    <x v="4"/>
    <x v="1"/>
    <n v="6150"/>
    <n v="2"/>
    <n v="12300"/>
    <x v="144"/>
    <s v="Monday"/>
    <s v="Weekday"/>
  </r>
  <r>
    <s v="ORD-00197"/>
    <s v="CUST0080"/>
    <x v="0"/>
    <x v="5"/>
    <n v="51"/>
    <x v="1"/>
    <x v="1"/>
    <x v="1"/>
    <n v="12300"/>
    <n v="1"/>
    <n v="12300"/>
    <x v="145"/>
    <s v="Saturday"/>
    <s v="Weekend"/>
  </r>
  <r>
    <s v="ORD-00198"/>
    <s v="CUST0208"/>
    <x v="1"/>
    <x v="6"/>
    <n v="57"/>
    <x v="3"/>
    <x v="2"/>
    <x v="0"/>
    <n v="184500"/>
    <n v="1"/>
    <n v="184500"/>
    <x v="26"/>
    <s v="Wednesday"/>
    <s v="Weekday"/>
  </r>
  <r>
    <s v="ORD-00199"/>
    <s v="CUST0186"/>
    <x v="1"/>
    <x v="7"/>
    <n v="55"/>
    <x v="2"/>
    <x v="5"/>
    <x v="1"/>
    <n v="3690"/>
    <n v="5"/>
    <n v="18450"/>
    <x v="125"/>
    <s v="Sunday"/>
    <s v="Weekday"/>
  </r>
  <r>
    <s v="ORD-00200"/>
    <s v="CUST0109"/>
    <x v="0"/>
    <x v="0"/>
    <n v="57"/>
    <x v="0"/>
    <x v="5"/>
    <x v="1"/>
    <n v="3690"/>
    <n v="1"/>
    <n v="3690"/>
    <x v="146"/>
    <s v="Sunday"/>
    <s v="Weekday"/>
  </r>
  <r>
    <s v="ORD-00201"/>
    <s v="CUST0028"/>
    <x v="0"/>
    <x v="1"/>
    <n v="50"/>
    <x v="3"/>
    <x v="1"/>
    <x v="1"/>
    <n v="12300"/>
    <n v="5"/>
    <n v="61500"/>
    <x v="127"/>
    <s v="Tuesday"/>
    <s v="Weekday"/>
  </r>
  <r>
    <s v="ORD-00202"/>
    <s v="CUST0083"/>
    <x v="0"/>
    <x v="2"/>
    <n v="28"/>
    <x v="0"/>
    <x v="4"/>
    <x v="1"/>
    <n v="6150"/>
    <n v="2"/>
    <n v="12300"/>
    <x v="91"/>
    <s v="Thursday"/>
    <s v="Weekday"/>
  </r>
  <r>
    <s v="ORD-00203"/>
    <s v="CUST0027"/>
    <x v="1"/>
    <x v="6"/>
    <n v="36"/>
    <x v="1"/>
    <x v="0"/>
    <x v="0"/>
    <n v="36900"/>
    <n v="2"/>
    <n v="73800"/>
    <x v="68"/>
    <s v="Sunday"/>
    <s v="Weekday"/>
  </r>
  <r>
    <s v="ORD-00204"/>
    <s v="CUST0203"/>
    <x v="1"/>
    <x v="0"/>
    <n v="33"/>
    <x v="3"/>
    <x v="4"/>
    <x v="1"/>
    <n v="6150"/>
    <n v="5"/>
    <n v="30750"/>
    <x v="69"/>
    <s v="Thursday"/>
    <s v="Weekday"/>
  </r>
  <r>
    <s v="ORD-00205"/>
    <s v="CUST0095"/>
    <x v="1"/>
    <x v="0"/>
    <n v="60"/>
    <x v="3"/>
    <x v="2"/>
    <x v="0"/>
    <n v="184500"/>
    <n v="5"/>
    <n v="922500"/>
    <x v="147"/>
    <s v="Sunday"/>
    <s v="Weekday"/>
  </r>
  <r>
    <s v="ORD-00206"/>
    <s v="CUST0204"/>
    <x v="0"/>
    <x v="1"/>
    <n v="54"/>
    <x v="0"/>
    <x v="6"/>
    <x v="0"/>
    <n v="98400"/>
    <n v="2"/>
    <n v="196800"/>
    <x v="72"/>
    <s v="Thursday"/>
    <s v="Weekday"/>
  </r>
  <r>
    <s v="ORD-00207"/>
    <s v="CUST0165"/>
    <x v="2"/>
    <x v="0"/>
    <n v="49"/>
    <x v="3"/>
    <x v="4"/>
    <x v="1"/>
    <n v="6150"/>
    <n v="1"/>
    <n v="6150"/>
    <x v="88"/>
    <s v="Tuesday"/>
    <s v="Weekday"/>
  </r>
  <r>
    <s v="ORD-00208"/>
    <s v="CUST0269"/>
    <x v="0"/>
    <x v="1"/>
    <n v="64"/>
    <x v="2"/>
    <x v="1"/>
    <x v="1"/>
    <n v="12300"/>
    <n v="3"/>
    <n v="36900"/>
    <x v="148"/>
    <s v="Friday"/>
    <s v="Weekend"/>
  </r>
  <r>
    <s v="ORD-00209"/>
    <s v="CUST0134"/>
    <x v="0"/>
    <x v="5"/>
    <n v="58"/>
    <x v="2"/>
    <x v="0"/>
    <x v="0"/>
    <n v="36900"/>
    <n v="5"/>
    <n v="184500"/>
    <x v="149"/>
    <s v="Saturday"/>
    <s v="Weekend"/>
  </r>
  <r>
    <s v="ORD-00210"/>
    <s v="CUST0116"/>
    <x v="0"/>
    <x v="3"/>
    <n v="20"/>
    <x v="1"/>
    <x v="1"/>
    <x v="1"/>
    <n v="12300"/>
    <n v="2"/>
    <n v="24600"/>
    <x v="150"/>
    <s v="Monday"/>
    <s v="Weekday"/>
  </r>
  <r>
    <s v="ORD-00211"/>
    <s v="CUST0137"/>
    <x v="1"/>
    <x v="2"/>
    <n v="19"/>
    <x v="2"/>
    <x v="6"/>
    <x v="0"/>
    <n v="98400"/>
    <n v="3"/>
    <n v="295200"/>
    <x v="36"/>
    <s v="Tuesday"/>
    <s v="Weekday"/>
  </r>
  <r>
    <s v="ORD-00212"/>
    <s v="CUST0100"/>
    <x v="0"/>
    <x v="0"/>
    <n v="29"/>
    <x v="1"/>
    <x v="4"/>
    <x v="1"/>
    <n v="6150"/>
    <n v="2"/>
    <n v="12300"/>
    <x v="137"/>
    <s v="Friday"/>
    <s v="Weekend"/>
  </r>
  <r>
    <s v="ORD-00213"/>
    <s v="CUST0282"/>
    <x v="0"/>
    <x v="0"/>
    <n v="68"/>
    <x v="0"/>
    <x v="3"/>
    <x v="2"/>
    <n v="24600"/>
    <n v="3"/>
    <n v="73800"/>
    <x v="151"/>
    <s v="Thursday"/>
    <s v="Weekday"/>
  </r>
  <r>
    <s v="ORD-00214"/>
    <s v="CUST0094"/>
    <x v="0"/>
    <x v="7"/>
    <n v="30"/>
    <x v="0"/>
    <x v="2"/>
    <x v="0"/>
    <n v="184500"/>
    <n v="1"/>
    <n v="184500"/>
    <x v="152"/>
    <s v="Tuesday"/>
    <s v="Weekday"/>
  </r>
  <r>
    <s v="ORD-00215"/>
    <s v="CUST0194"/>
    <x v="1"/>
    <x v="7"/>
    <n v="61"/>
    <x v="1"/>
    <x v="5"/>
    <x v="1"/>
    <n v="3690"/>
    <n v="1"/>
    <n v="3690"/>
    <x v="153"/>
    <s v="Saturday"/>
    <s v="Weekend"/>
  </r>
  <r>
    <s v="ORD-00216"/>
    <s v="CUST0174"/>
    <x v="1"/>
    <x v="1"/>
    <n v="68"/>
    <x v="2"/>
    <x v="6"/>
    <x v="0"/>
    <n v="98400"/>
    <n v="4"/>
    <n v="393600"/>
    <x v="154"/>
    <s v="Monday"/>
    <s v="Weekday"/>
  </r>
  <r>
    <s v="ORD-00217"/>
    <s v="CUST0273"/>
    <x v="2"/>
    <x v="0"/>
    <n v="55"/>
    <x v="2"/>
    <x v="2"/>
    <x v="0"/>
    <n v="184500"/>
    <n v="2"/>
    <n v="369000"/>
    <x v="155"/>
    <s v="Wednesday"/>
    <s v="Weekday"/>
  </r>
  <r>
    <s v="ORD-00218"/>
    <s v="CUST0188"/>
    <x v="0"/>
    <x v="5"/>
    <n v="29"/>
    <x v="1"/>
    <x v="6"/>
    <x v="0"/>
    <n v="98400"/>
    <n v="5"/>
    <n v="492000"/>
    <x v="156"/>
    <s v="Friday"/>
    <s v="Weekend"/>
  </r>
  <r>
    <s v="ORD-00219"/>
    <s v="CUST0109"/>
    <x v="0"/>
    <x v="0"/>
    <n v="57"/>
    <x v="1"/>
    <x v="4"/>
    <x v="1"/>
    <n v="6150"/>
    <n v="3"/>
    <n v="18450"/>
    <x v="157"/>
    <s v="Thursday"/>
    <s v="Weekday"/>
  </r>
  <r>
    <s v="ORD-00220"/>
    <s v="CUST0081"/>
    <x v="0"/>
    <x v="6"/>
    <n v="38"/>
    <x v="0"/>
    <x v="3"/>
    <x v="2"/>
    <n v="24600"/>
    <n v="3"/>
    <n v="73800"/>
    <x v="158"/>
    <s v="Monday"/>
    <s v="Weekday"/>
  </r>
  <r>
    <s v="ORD-00221"/>
    <s v="CUST0298"/>
    <x v="2"/>
    <x v="0"/>
    <n v="58"/>
    <x v="1"/>
    <x v="6"/>
    <x v="0"/>
    <n v="98400"/>
    <n v="4"/>
    <n v="393600"/>
    <x v="159"/>
    <s v="Tuesday"/>
    <s v="Weekday"/>
  </r>
  <r>
    <s v="ORD-00222"/>
    <s v="CUST0189"/>
    <x v="1"/>
    <x v="3"/>
    <n v="38"/>
    <x v="2"/>
    <x v="0"/>
    <x v="0"/>
    <n v="36900"/>
    <n v="1"/>
    <n v="36900"/>
    <x v="132"/>
    <s v="Monday"/>
    <s v="Weekday"/>
  </r>
  <r>
    <s v="ORD-00223"/>
    <s v="CUST0092"/>
    <x v="1"/>
    <x v="0"/>
    <n v="32"/>
    <x v="1"/>
    <x v="6"/>
    <x v="0"/>
    <n v="98400"/>
    <n v="3"/>
    <n v="295200"/>
    <x v="160"/>
    <s v="Thursday"/>
    <s v="Weekday"/>
  </r>
  <r>
    <s v="ORD-00224"/>
    <s v="CUST0150"/>
    <x v="2"/>
    <x v="1"/>
    <n v="63"/>
    <x v="1"/>
    <x v="1"/>
    <x v="1"/>
    <n v="12300"/>
    <n v="4"/>
    <n v="49200"/>
    <x v="95"/>
    <s v="Saturday"/>
    <s v="Weekend"/>
  </r>
  <r>
    <s v="ORD-00225"/>
    <s v="CUST0264"/>
    <x v="1"/>
    <x v="2"/>
    <n v="59"/>
    <x v="1"/>
    <x v="4"/>
    <x v="1"/>
    <n v="6150"/>
    <n v="4"/>
    <n v="24600"/>
    <x v="161"/>
    <s v="Monday"/>
    <s v="Weekday"/>
  </r>
  <r>
    <s v="ORD-00226"/>
    <s v="CUST0105"/>
    <x v="0"/>
    <x v="4"/>
    <n v="27"/>
    <x v="0"/>
    <x v="1"/>
    <x v="1"/>
    <n v="12300"/>
    <n v="3"/>
    <n v="36900"/>
    <x v="162"/>
    <s v="Monday"/>
    <s v="Weekday"/>
  </r>
  <r>
    <s v="ORD-00227"/>
    <s v="CUST0253"/>
    <x v="1"/>
    <x v="5"/>
    <n v="51"/>
    <x v="1"/>
    <x v="2"/>
    <x v="0"/>
    <n v="184500"/>
    <n v="1"/>
    <n v="184500"/>
    <x v="163"/>
    <s v="Tuesday"/>
    <s v="Weekday"/>
  </r>
  <r>
    <s v="ORD-00228"/>
    <s v="CUST0188"/>
    <x v="0"/>
    <x v="5"/>
    <n v="29"/>
    <x v="3"/>
    <x v="0"/>
    <x v="0"/>
    <n v="36900"/>
    <n v="4"/>
    <n v="147600"/>
    <x v="164"/>
    <s v="Wednesday"/>
    <s v="Weekday"/>
  </r>
  <r>
    <s v="ORD-00229"/>
    <s v="CUST0052"/>
    <x v="0"/>
    <x v="0"/>
    <n v="66"/>
    <x v="3"/>
    <x v="0"/>
    <x v="0"/>
    <n v="36900"/>
    <n v="2"/>
    <n v="73800"/>
    <x v="165"/>
    <s v="Sunday"/>
    <s v="Weekday"/>
  </r>
  <r>
    <s v="ORD-00230"/>
    <s v="CUST0204"/>
    <x v="0"/>
    <x v="1"/>
    <n v="54"/>
    <x v="3"/>
    <x v="3"/>
    <x v="2"/>
    <n v="24600"/>
    <n v="5"/>
    <n v="123000"/>
    <x v="166"/>
    <s v="Tuesday"/>
    <s v="Weekday"/>
  </r>
  <r>
    <s v="ORD-00231"/>
    <s v="CUST0180"/>
    <x v="0"/>
    <x v="5"/>
    <n v="68"/>
    <x v="2"/>
    <x v="0"/>
    <x v="0"/>
    <n v="36900"/>
    <n v="3"/>
    <n v="110700"/>
    <x v="167"/>
    <s v="Wednesday"/>
    <s v="Weekday"/>
  </r>
  <r>
    <s v="ORD-00232"/>
    <s v="CUST0189"/>
    <x v="1"/>
    <x v="3"/>
    <n v="38"/>
    <x v="2"/>
    <x v="2"/>
    <x v="0"/>
    <n v="184500"/>
    <n v="3"/>
    <n v="553500"/>
    <x v="141"/>
    <s v="Thursday"/>
    <s v="Weekday"/>
  </r>
  <r>
    <s v="ORD-00233"/>
    <s v="CUST0023"/>
    <x v="0"/>
    <x v="1"/>
    <n v="29"/>
    <x v="1"/>
    <x v="0"/>
    <x v="0"/>
    <n v="36900"/>
    <n v="3"/>
    <n v="110700"/>
    <x v="168"/>
    <s v="Thursday"/>
    <s v="Weekday"/>
  </r>
  <r>
    <s v="ORD-00234"/>
    <s v="CUST0263"/>
    <x v="1"/>
    <x v="0"/>
    <n v="40"/>
    <x v="3"/>
    <x v="3"/>
    <x v="2"/>
    <n v="24600"/>
    <n v="1"/>
    <n v="24600"/>
    <x v="169"/>
    <s v="Saturday"/>
    <s v="Weekend"/>
  </r>
  <r>
    <s v="ORD-00235"/>
    <s v="CUST0195"/>
    <x v="1"/>
    <x v="0"/>
    <n v="48"/>
    <x v="0"/>
    <x v="4"/>
    <x v="1"/>
    <n v="6150"/>
    <n v="3"/>
    <n v="18450"/>
    <x v="170"/>
    <s v="Sunday"/>
    <s v="Weekday"/>
  </r>
  <r>
    <s v="ORD-00236"/>
    <s v="CUST0272"/>
    <x v="2"/>
    <x v="5"/>
    <n v="52"/>
    <x v="3"/>
    <x v="2"/>
    <x v="0"/>
    <n v="184500"/>
    <n v="5"/>
    <n v="922500"/>
    <x v="16"/>
    <s v="Saturday"/>
    <s v="Weekend"/>
  </r>
  <r>
    <s v="ORD-00237"/>
    <s v="CUST0256"/>
    <x v="0"/>
    <x v="2"/>
    <n v="69"/>
    <x v="3"/>
    <x v="0"/>
    <x v="0"/>
    <n v="36900"/>
    <n v="4"/>
    <n v="147600"/>
    <x v="171"/>
    <s v="Tuesday"/>
    <s v="Weekday"/>
  </r>
  <r>
    <s v="ORD-00238"/>
    <s v="CUST0131"/>
    <x v="1"/>
    <x v="1"/>
    <n v="67"/>
    <x v="2"/>
    <x v="6"/>
    <x v="0"/>
    <n v="98400"/>
    <n v="4"/>
    <n v="393600"/>
    <x v="172"/>
    <s v="Monday"/>
    <s v="Weekday"/>
  </r>
  <r>
    <s v="ORD-00239"/>
    <s v="CUST0279"/>
    <x v="1"/>
    <x v="0"/>
    <n v="59"/>
    <x v="2"/>
    <x v="5"/>
    <x v="1"/>
    <n v="3690"/>
    <n v="1"/>
    <n v="3690"/>
    <x v="173"/>
    <s v="Wednesday"/>
    <s v="Weekday"/>
  </r>
  <r>
    <s v="ORD-00240"/>
    <s v="CUST0250"/>
    <x v="1"/>
    <x v="1"/>
    <n v="64"/>
    <x v="0"/>
    <x v="3"/>
    <x v="2"/>
    <n v="24600"/>
    <n v="2"/>
    <n v="49200"/>
    <x v="174"/>
    <s v="Tuesday"/>
    <s v="Weekday"/>
  </r>
  <r>
    <s v="ORD-00241"/>
    <s v="CUST0012"/>
    <x v="0"/>
    <x v="1"/>
    <n v="28"/>
    <x v="2"/>
    <x v="5"/>
    <x v="1"/>
    <n v="3690"/>
    <n v="3"/>
    <n v="11070"/>
    <x v="175"/>
    <s v="Saturday"/>
    <s v="Weekend"/>
  </r>
  <r>
    <s v="ORD-00242"/>
    <s v="CUST0127"/>
    <x v="0"/>
    <x v="6"/>
    <n v="62"/>
    <x v="0"/>
    <x v="6"/>
    <x v="0"/>
    <n v="98400"/>
    <n v="4"/>
    <n v="393600"/>
    <x v="176"/>
    <s v="Monday"/>
    <s v="Weekday"/>
  </r>
  <r>
    <s v="ORD-00243"/>
    <s v="CUST0128"/>
    <x v="1"/>
    <x v="1"/>
    <n v="52"/>
    <x v="2"/>
    <x v="0"/>
    <x v="0"/>
    <n v="36900"/>
    <n v="3"/>
    <n v="110700"/>
    <x v="177"/>
    <s v="Wednesday"/>
    <s v="Weekday"/>
  </r>
  <r>
    <s v="ORD-00244"/>
    <s v="CUST0155"/>
    <x v="2"/>
    <x v="1"/>
    <n v="41"/>
    <x v="3"/>
    <x v="1"/>
    <x v="1"/>
    <n v="12300"/>
    <n v="3"/>
    <n v="36900"/>
    <x v="178"/>
    <s v="Monday"/>
    <s v="Weekday"/>
  </r>
  <r>
    <s v="ORD-00245"/>
    <s v="CUST0115"/>
    <x v="0"/>
    <x v="5"/>
    <n v="53"/>
    <x v="3"/>
    <x v="1"/>
    <x v="1"/>
    <n v="12300"/>
    <n v="5"/>
    <n v="61500"/>
    <x v="179"/>
    <s v="Saturday"/>
    <s v="Weekend"/>
  </r>
  <r>
    <s v="ORD-00246"/>
    <s v="CUST0115"/>
    <x v="0"/>
    <x v="5"/>
    <n v="53"/>
    <x v="0"/>
    <x v="3"/>
    <x v="2"/>
    <n v="24600"/>
    <n v="5"/>
    <n v="123000"/>
    <x v="180"/>
    <s v="Sunday"/>
    <s v="Weekday"/>
  </r>
  <r>
    <s v="ORD-00247"/>
    <s v="CUST0282"/>
    <x v="0"/>
    <x v="0"/>
    <n v="68"/>
    <x v="0"/>
    <x v="6"/>
    <x v="0"/>
    <n v="98400"/>
    <n v="3"/>
    <n v="295200"/>
    <x v="181"/>
    <s v="Wednesday"/>
    <s v="Weekday"/>
  </r>
  <r>
    <s v="ORD-00248"/>
    <s v="CUST0158"/>
    <x v="1"/>
    <x v="1"/>
    <n v="51"/>
    <x v="2"/>
    <x v="6"/>
    <x v="0"/>
    <n v="98400"/>
    <n v="1"/>
    <n v="98400"/>
    <x v="39"/>
    <s v="Tuesday"/>
    <s v="Weekday"/>
  </r>
  <r>
    <s v="ORD-00249"/>
    <s v="CUST0088"/>
    <x v="2"/>
    <x v="5"/>
    <n v="66"/>
    <x v="2"/>
    <x v="2"/>
    <x v="0"/>
    <n v="184500"/>
    <n v="1"/>
    <n v="184500"/>
    <x v="111"/>
    <s v="Monday"/>
    <s v="Weekday"/>
  </r>
  <r>
    <s v="ORD-00250"/>
    <s v="CUST0124"/>
    <x v="1"/>
    <x v="4"/>
    <n v="53"/>
    <x v="0"/>
    <x v="0"/>
    <x v="0"/>
    <n v="36900"/>
    <n v="2"/>
    <n v="73800"/>
    <x v="182"/>
    <s v="Wednesday"/>
    <s v="Weekday"/>
  </r>
  <r>
    <s v="ORD-00251"/>
    <s v="CUST0055"/>
    <x v="1"/>
    <x v="1"/>
    <n v="45"/>
    <x v="0"/>
    <x v="3"/>
    <x v="2"/>
    <n v="24600"/>
    <n v="2"/>
    <n v="49200"/>
    <x v="183"/>
    <s v="Saturday"/>
    <s v="Weekend"/>
  </r>
  <r>
    <s v="ORD-00252"/>
    <s v="CUST0201"/>
    <x v="1"/>
    <x v="1"/>
    <n v="49"/>
    <x v="3"/>
    <x v="2"/>
    <x v="0"/>
    <n v="184500"/>
    <n v="3"/>
    <n v="553500"/>
    <x v="34"/>
    <s v="Monday"/>
    <s v="Weekday"/>
  </r>
  <r>
    <s v="ORD-00253"/>
    <s v="CUST0256"/>
    <x v="0"/>
    <x v="2"/>
    <n v="69"/>
    <x v="3"/>
    <x v="5"/>
    <x v="1"/>
    <n v="3690"/>
    <n v="5"/>
    <n v="18450"/>
    <x v="184"/>
    <s v="Sunday"/>
    <s v="Weekday"/>
  </r>
  <r>
    <s v="ORD-00254"/>
    <s v="CUST0055"/>
    <x v="1"/>
    <x v="1"/>
    <n v="45"/>
    <x v="0"/>
    <x v="4"/>
    <x v="1"/>
    <n v="6150"/>
    <n v="1"/>
    <n v="6150"/>
    <x v="11"/>
    <s v="Wednesday"/>
    <s v="Weekday"/>
  </r>
  <r>
    <s v="ORD-00255"/>
    <s v="CUST0076"/>
    <x v="0"/>
    <x v="0"/>
    <n v="26"/>
    <x v="3"/>
    <x v="0"/>
    <x v="0"/>
    <n v="36900"/>
    <n v="4"/>
    <n v="147600"/>
    <x v="185"/>
    <s v="Sunday"/>
    <s v="Weekday"/>
  </r>
  <r>
    <s v="ORD-00256"/>
    <s v="CUST0273"/>
    <x v="2"/>
    <x v="0"/>
    <n v="55"/>
    <x v="1"/>
    <x v="0"/>
    <x v="0"/>
    <n v="36900"/>
    <n v="3"/>
    <n v="110700"/>
    <x v="186"/>
    <s v="Sunday"/>
    <s v="Weekday"/>
  </r>
  <r>
    <s v="ORD-00257"/>
    <s v="CUST0022"/>
    <x v="1"/>
    <x v="0"/>
    <n v="33"/>
    <x v="2"/>
    <x v="5"/>
    <x v="1"/>
    <n v="3690"/>
    <n v="1"/>
    <n v="3690"/>
    <x v="43"/>
    <s v="Monday"/>
    <s v="Weekday"/>
  </r>
  <r>
    <s v="ORD-00258"/>
    <s v="CUST0204"/>
    <x v="0"/>
    <x v="1"/>
    <n v="54"/>
    <x v="3"/>
    <x v="2"/>
    <x v="0"/>
    <n v="184500"/>
    <n v="2"/>
    <n v="369000"/>
    <x v="187"/>
    <s v="Thursday"/>
    <s v="Weekday"/>
  </r>
  <r>
    <s v="ORD-00259"/>
    <s v="CUST0194"/>
    <x v="1"/>
    <x v="7"/>
    <n v="61"/>
    <x v="1"/>
    <x v="5"/>
    <x v="1"/>
    <n v="3690"/>
    <n v="1"/>
    <n v="3690"/>
    <x v="48"/>
    <s v="Sunday"/>
    <s v="Weekday"/>
  </r>
  <r>
    <s v="ORD-00260"/>
    <s v="CUST0138"/>
    <x v="2"/>
    <x v="0"/>
    <n v="46"/>
    <x v="0"/>
    <x v="6"/>
    <x v="0"/>
    <n v="98400"/>
    <n v="4"/>
    <n v="393600"/>
    <x v="188"/>
    <s v="Friday"/>
    <s v="Weekend"/>
  </r>
  <r>
    <s v="ORD-00261"/>
    <s v="CUST0071"/>
    <x v="2"/>
    <x v="0"/>
    <n v="46"/>
    <x v="3"/>
    <x v="5"/>
    <x v="1"/>
    <n v="3690"/>
    <n v="4"/>
    <n v="14760"/>
    <x v="70"/>
    <s v="Tuesday"/>
    <s v="Weekday"/>
  </r>
  <r>
    <s v="ORD-00262"/>
    <s v="CUST0044"/>
    <x v="0"/>
    <x v="0"/>
    <n v="30"/>
    <x v="0"/>
    <x v="4"/>
    <x v="1"/>
    <n v="6150"/>
    <n v="4"/>
    <n v="24600"/>
    <x v="189"/>
    <s v="Monday"/>
    <s v="Weekday"/>
  </r>
  <r>
    <s v="ORD-00263"/>
    <s v="CUST0273"/>
    <x v="2"/>
    <x v="0"/>
    <n v="55"/>
    <x v="2"/>
    <x v="1"/>
    <x v="1"/>
    <n v="12300"/>
    <n v="4"/>
    <n v="49200"/>
    <x v="189"/>
    <s v="Monday"/>
    <s v="Weekday"/>
  </r>
  <r>
    <s v="ORD-00264"/>
    <s v="CUST0196"/>
    <x v="1"/>
    <x v="1"/>
    <n v="37"/>
    <x v="0"/>
    <x v="1"/>
    <x v="1"/>
    <n v="12300"/>
    <n v="4"/>
    <n v="49200"/>
    <x v="105"/>
    <s v="Wednesday"/>
    <s v="Weekday"/>
  </r>
  <r>
    <s v="ORD-00265"/>
    <s v="CUST0212"/>
    <x v="1"/>
    <x v="1"/>
    <n v="62"/>
    <x v="1"/>
    <x v="5"/>
    <x v="1"/>
    <n v="3690"/>
    <n v="2"/>
    <n v="7380"/>
    <x v="190"/>
    <s v="Monday"/>
    <s v="Weekday"/>
  </r>
  <r>
    <s v="ORD-00266"/>
    <s v="CUST0106"/>
    <x v="1"/>
    <x v="0"/>
    <n v="50"/>
    <x v="0"/>
    <x v="5"/>
    <x v="1"/>
    <n v="3690"/>
    <n v="5"/>
    <n v="18450"/>
    <x v="191"/>
    <s v="Friday"/>
    <s v="Weekend"/>
  </r>
  <r>
    <s v="ORD-00267"/>
    <s v="CUST0133"/>
    <x v="0"/>
    <x v="0"/>
    <n v="47"/>
    <x v="1"/>
    <x v="1"/>
    <x v="1"/>
    <n v="12300"/>
    <n v="3"/>
    <n v="36900"/>
    <x v="192"/>
    <s v="Sunday"/>
    <s v="Weekday"/>
  </r>
  <r>
    <s v="ORD-00268"/>
    <s v="CUST0262"/>
    <x v="0"/>
    <x v="3"/>
    <n v="27"/>
    <x v="3"/>
    <x v="5"/>
    <x v="1"/>
    <n v="3690"/>
    <n v="4"/>
    <n v="14760"/>
    <x v="125"/>
    <s v="Sunday"/>
    <s v="Weekday"/>
  </r>
  <r>
    <s v="ORD-00269"/>
    <s v="CUST0280"/>
    <x v="0"/>
    <x v="5"/>
    <n v="44"/>
    <x v="3"/>
    <x v="4"/>
    <x v="1"/>
    <n v="6150"/>
    <n v="4"/>
    <n v="24600"/>
    <x v="103"/>
    <s v="Wednesday"/>
    <s v="Weekday"/>
  </r>
  <r>
    <s v="ORD-00270"/>
    <s v="CUST0074"/>
    <x v="0"/>
    <x v="1"/>
    <n v="36"/>
    <x v="1"/>
    <x v="3"/>
    <x v="2"/>
    <n v="24600"/>
    <n v="2"/>
    <n v="49200"/>
    <x v="2"/>
    <s v="Monday"/>
    <s v="Weekday"/>
  </r>
  <r>
    <s v="ORD-00271"/>
    <s v="CUST0300"/>
    <x v="2"/>
    <x v="0"/>
    <n v="66"/>
    <x v="2"/>
    <x v="5"/>
    <x v="1"/>
    <n v="3690"/>
    <n v="3"/>
    <n v="11070"/>
    <x v="193"/>
    <s v="Tuesday"/>
    <s v="Weekday"/>
  </r>
  <r>
    <s v="ORD-00272"/>
    <s v="CUST0027"/>
    <x v="1"/>
    <x v="6"/>
    <n v="36"/>
    <x v="2"/>
    <x v="2"/>
    <x v="0"/>
    <n v="184500"/>
    <n v="4"/>
    <n v="738000"/>
    <x v="189"/>
    <s v="Monday"/>
    <s v="Weekday"/>
  </r>
  <r>
    <s v="ORD-00273"/>
    <s v="CUST0016"/>
    <x v="1"/>
    <x v="3"/>
    <n v="61"/>
    <x v="2"/>
    <x v="6"/>
    <x v="0"/>
    <n v="98400"/>
    <n v="1"/>
    <n v="98400"/>
    <x v="194"/>
    <s v="Tuesday"/>
    <s v="Weekday"/>
  </r>
  <r>
    <s v="ORD-00274"/>
    <s v="CUST0152"/>
    <x v="0"/>
    <x v="0"/>
    <n v="69"/>
    <x v="3"/>
    <x v="6"/>
    <x v="0"/>
    <n v="98400"/>
    <n v="3"/>
    <n v="295200"/>
    <x v="195"/>
    <s v="Saturday"/>
    <s v="Weekend"/>
  </r>
  <r>
    <s v="ORD-00275"/>
    <s v="CUST0278"/>
    <x v="1"/>
    <x v="4"/>
    <n v="52"/>
    <x v="3"/>
    <x v="3"/>
    <x v="2"/>
    <n v="24600"/>
    <n v="3"/>
    <n v="73800"/>
    <x v="196"/>
    <s v="Sunday"/>
    <s v="Weekday"/>
  </r>
  <r>
    <s v="ORD-00276"/>
    <s v="CUST0095"/>
    <x v="1"/>
    <x v="0"/>
    <n v="60"/>
    <x v="2"/>
    <x v="6"/>
    <x v="0"/>
    <n v="98400"/>
    <n v="5"/>
    <n v="492000"/>
    <x v="4"/>
    <s v="Thursday"/>
    <s v="Weekday"/>
  </r>
  <r>
    <s v="ORD-00277"/>
    <s v="CUST0229"/>
    <x v="2"/>
    <x v="2"/>
    <n v="45"/>
    <x v="0"/>
    <x v="0"/>
    <x v="0"/>
    <n v="36900"/>
    <n v="1"/>
    <n v="36900"/>
    <x v="197"/>
    <s v="Saturday"/>
    <s v="Weekend"/>
  </r>
  <r>
    <s v="ORD-00278"/>
    <s v="CUST0128"/>
    <x v="1"/>
    <x v="1"/>
    <n v="52"/>
    <x v="2"/>
    <x v="0"/>
    <x v="0"/>
    <n v="36900"/>
    <n v="1"/>
    <n v="36900"/>
    <x v="134"/>
    <s v="Friday"/>
    <s v="Weekend"/>
  </r>
  <r>
    <s v="ORD-00279"/>
    <s v="CUST0032"/>
    <x v="0"/>
    <x v="4"/>
    <n v="63"/>
    <x v="0"/>
    <x v="0"/>
    <x v="0"/>
    <n v="36900"/>
    <n v="5"/>
    <n v="184500"/>
    <x v="198"/>
    <s v="Tuesday"/>
    <s v="Weekday"/>
  </r>
  <r>
    <s v="ORD-00280"/>
    <s v="CUST0283"/>
    <x v="1"/>
    <x v="2"/>
    <n v="67"/>
    <x v="2"/>
    <x v="4"/>
    <x v="1"/>
    <n v="6150"/>
    <n v="5"/>
    <n v="30750"/>
    <x v="118"/>
    <s v="Wednesday"/>
    <s v="Weekday"/>
  </r>
  <r>
    <s v="ORD-00281"/>
    <s v="CUST0238"/>
    <x v="0"/>
    <x v="0"/>
    <n v="26"/>
    <x v="0"/>
    <x v="4"/>
    <x v="1"/>
    <n v="6150"/>
    <n v="4"/>
    <n v="24600"/>
    <x v="90"/>
    <s v="Tuesday"/>
    <s v="Weekday"/>
  </r>
  <r>
    <s v="ORD-00282"/>
    <s v="CUST0287"/>
    <x v="1"/>
    <x v="0"/>
    <n v="60"/>
    <x v="3"/>
    <x v="3"/>
    <x v="2"/>
    <n v="24600"/>
    <n v="4"/>
    <n v="98400"/>
    <x v="199"/>
    <s v="Saturday"/>
    <s v="Weekend"/>
  </r>
  <r>
    <s v="ORD-00283"/>
    <s v="CUST0144"/>
    <x v="1"/>
    <x v="0"/>
    <n v="54"/>
    <x v="2"/>
    <x v="6"/>
    <x v="0"/>
    <n v="98400"/>
    <n v="5"/>
    <n v="492000"/>
    <x v="200"/>
    <s v="Friday"/>
    <s v="Weekend"/>
  </r>
  <r>
    <s v="ORD-00284"/>
    <s v="CUST0134"/>
    <x v="0"/>
    <x v="5"/>
    <n v="58"/>
    <x v="2"/>
    <x v="0"/>
    <x v="0"/>
    <n v="36900"/>
    <n v="5"/>
    <n v="184500"/>
    <x v="121"/>
    <s v="Tuesday"/>
    <s v="Weekday"/>
  </r>
  <r>
    <s v="ORD-00285"/>
    <s v="CUST0129"/>
    <x v="0"/>
    <x v="2"/>
    <n v="66"/>
    <x v="1"/>
    <x v="5"/>
    <x v="1"/>
    <n v="3690"/>
    <n v="2"/>
    <n v="7380"/>
    <x v="125"/>
    <s v="Sunday"/>
    <s v="Weekday"/>
  </r>
  <r>
    <s v="ORD-00286"/>
    <s v="CUST0148"/>
    <x v="0"/>
    <x v="7"/>
    <n v="67"/>
    <x v="2"/>
    <x v="1"/>
    <x v="1"/>
    <n v="12300"/>
    <n v="2"/>
    <n v="24600"/>
    <x v="10"/>
    <s v="Thursday"/>
    <s v="Weekday"/>
  </r>
  <r>
    <s v="ORD-00287"/>
    <s v="CUST0211"/>
    <x v="2"/>
    <x v="0"/>
    <n v="35"/>
    <x v="0"/>
    <x v="6"/>
    <x v="0"/>
    <n v="98400"/>
    <n v="5"/>
    <n v="492000"/>
    <x v="201"/>
    <s v="Friday"/>
    <s v="Weekend"/>
  </r>
  <r>
    <s v="ORD-00288"/>
    <s v="CUST0272"/>
    <x v="2"/>
    <x v="5"/>
    <n v="52"/>
    <x v="1"/>
    <x v="4"/>
    <x v="1"/>
    <n v="6150"/>
    <n v="2"/>
    <n v="12300"/>
    <x v="202"/>
    <s v="Monday"/>
    <s v="Weekday"/>
  </r>
  <r>
    <s v="ORD-00289"/>
    <s v="CUST0092"/>
    <x v="1"/>
    <x v="0"/>
    <n v="32"/>
    <x v="2"/>
    <x v="5"/>
    <x v="1"/>
    <n v="3690"/>
    <n v="5"/>
    <n v="18450"/>
    <x v="110"/>
    <s v="Monday"/>
    <s v="Weekday"/>
  </r>
  <r>
    <s v="ORD-00290"/>
    <s v="CUST0203"/>
    <x v="1"/>
    <x v="0"/>
    <n v="33"/>
    <x v="2"/>
    <x v="3"/>
    <x v="2"/>
    <n v="24600"/>
    <n v="1"/>
    <n v="24600"/>
    <x v="203"/>
    <s v="Sunday"/>
    <s v="Weekday"/>
  </r>
  <r>
    <s v="ORD-00291"/>
    <s v="CUST0109"/>
    <x v="0"/>
    <x v="0"/>
    <n v="57"/>
    <x v="3"/>
    <x v="3"/>
    <x v="2"/>
    <n v="24600"/>
    <n v="1"/>
    <n v="24600"/>
    <x v="204"/>
    <s v="Friday"/>
    <s v="Weekend"/>
  </r>
  <r>
    <s v="ORD-00292"/>
    <s v="CUST0204"/>
    <x v="0"/>
    <x v="1"/>
    <n v="54"/>
    <x v="1"/>
    <x v="2"/>
    <x v="0"/>
    <n v="184500"/>
    <n v="5"/>
    <n v="922500"/>
    <x v="2"/>
    <s v="Monday"/>
    <s v="Weekday"/>
  </r>
  <r>
    <s v="ORD-00293"/>
    <s v="CUST0291"/>
    <x v="1"/>
    <x v="2"/>
    <n v="49"/>
    <x v="0"/>
    <x v="3"/>
    <x v="2"/>
    <n v="24600"/>
    <n v="4"/>
    <n v="98400"/>
    <x v="122"/>
    <s v="Saturday"/>
    <s v="Weekend"/>
  </r>
  <r>
    <s v="ORD-00294"/>
    <s v="CUST0153"/>
    <x v="1"/>
    <x v="5"/>
    <n v="40"/>
    <x v="2"/>
    <x v="1"/>
    <x v="1"/>
    <n v="12300"/>
    <n v="5"/>
    <n v="61500"/>
    <x v="87"/>
    <s v="Thursday"/>
    <s v="Weekday"/>
  </r>
  <r>
    <s v="ORD-00295"/>
    <s v="CUST0220"/>
    <x v="0"/>
    <x v="1"/>
    <n v="67"/>
    <x v="3"/>
    <x v="1"/>
    <x v="1"/>
    <n v="12300"/>
    <n v="5"/>
    <n v="61500"/>
    <x v="205"/>
    <s v="Wednesday"/>
    <s v="Weekday"/>
  </r>
  <r>
    <s v="ORD-00296"/>
    <s v="CUST0001"/>
    <x v="2"/>
    <x v="1"/>
    <n v="38"/>
    <x v="2"/>
    <x v="5"/>
    <x v="1"/>
    <n v="3690"/>
    <n v="4"/>
    <n v="14760"/>
    <x v="206"/>
    <s v="Thursday"/>
    <s v="Weekday"/>
  </r>
  <r>
    <s v="ORD-00297"/>
    <s v="CUST0245"/>
    <x v="0"/>
    <x v="2"/>
    <n v="63"/>
    <x v="1"/>
    <x v="6"/>
    <x v="0"/>
    <n v="98400"/>
    <n v="2"/>
    <n v="196800"/>
    <x v="21"/>
    <s v="Wednesday"/>
    <s v="Weekday"/>
  </r>
  <r>
    <s v="ORD-00298"/>
    <s v="CUST0228"/>
    <x v="0"/>
    <x v="1"/>
    <n v="25"/>
    <x v="0"/>
    <x v="6"/>
    <x v="0"/>
    <n v="98400"/>
    <n v="1"/>
    <n v="98400"/>
    <x v="183"/>
    <s v="Saturday"/>
    <s v="Weekend"/>
  </r>
  <r>
    <s v="ORD-00299"/>
    <s v="CUST0106"/>
    <x v="1"/>
    <x v="0"/>
    <n v="50"/>
    <x v="3"/>
    <x v="2"/>
    <x v="0"/>
    <n v="184500"/>
    <n v="5"/>
    <n v="922500"/>
    <x v="207"/>
    <s v="Thursday"/>
    <s v="Weekday"/>
  </r>
  <r>
    <s v="ORD-00300"/>
    <s v="CUST0174"/>
    <x v="1"/>
    <x v="1"/>
    <n v="68"/>
    <x v="2"/>
    <x v="5"/>
    <x v="1"/>
    <n v="3690"/>
    <n v="4"/>
    <n v="14760"/>
    <x v="11"/>
    <s v="Wednesday"/>
    <s v="Weekday"/>
  </r>
  <r>
    <s v="ORD-00301"/>
    <s v="CUST0161"/>
    <x v="0"/>
    <x v="5"/>
    <n v="62"/>
    <x v="0"/>
    <x v="3"/>
    <x v="2"/>
    <n v="24600"/>
    <n v="3"/>
    <n v="73800"/>
    <x v="96"/>
    <s v="Tuesday"/>
    <s v="Weekday"/>
  </r>
  <r>
    <s v="ORD-00302"/>
    <s v="CUST0204"/>
    <x v="0"/>
    <x v="1"/>
    <n v="54"/>
    <x v="2"/>
    <x v="6"/>
    <x v="0"/>
    <n v="98400"/>
    <n v="1"/>
    <n v="98400"/>
    <x v="208"/>
    <s v="Sunday"/>
    <s v="Weekday"/>
  </r>
  <r>
    <s v="ORD-00303"/>
    <s v="CUST0062"/>
    <x v="0"/>
    <x v="3"/>
    <n v="43"/>
    <x v="2"/>
    <x v="3"/>
    <x v="2"/>
    <n v="24600"/>
    <n v="2"/>
    <n v="49200"/>
    <x v="209"/>
    <s v="Sunday"/>
    <s v="Weekday"/>
  </r>
  <r>
    <s v="ORD-00304"/>
    <s v="CUST0114"/>
    <x v="0"/>
    <x v="0"/>
    <n v="60"/>
    <x v="1"/>
    <x v="4"/>
    <x v="1"/>
    <n v="6150"/>
    <n v="1"/>
    <n v="6150"/>
    <x v="111"/>
    <s v="Monday"/>
    <s v="Weekday"/>
  </r>
  <r>
    <s v="ORD-00305"/>
    <s v="CUST0102"/>
    <x v="0"/>
    <x v="2"/>
    <n v="25"/>
    <x v="1"/>
    <x v="0"/>
    <x v="0"/>
    <n v="36900"/>
    <n v="3"/>
    <n v="110700"/>
    <x v="143"/>
    <s v="Saturday"/>
    <s v="Weekend"/>
  </r>
  <r>
    <s v="ORD-00306"/>
    <s v="CUST0140"/>
    <x v="0"/>
    <x v="7"/>
    <n v="50"/>
    <x v="2"/>
    <x v="6"/>
    <x v="0"/>
    <n v="98400"/>
    <n v="1"/>
    <n v="98400"/>
    <x v="210"/>
    <s v="Thursday"/>
    <s v="Weekday"/>
  </r>
  <r>
    <s v="ORD-00307"/>
    <s v="CUST0142"/>
    <x v="0"/>
    <x v="1"/>
    <n v="32"/>
    <x v="3"/>
    <x v="6"/>
    <x v="0"/>
    <n v="98400"/>
    <n v="1"/>
    <n v="98400"/>
    <x v="211"/>
    <s v="Friday"/>
    <s v="Weekend"/>
  </r>
  <r>
    <s v="ORD-00308"/>
    <s v="CUST0016"/>
    <x v="1"/>
    <x v="3"/>
    <n v="61"/>
    <x v="1"/>
    <x v="6"/>
    <x v="0"/>
    <n v="98400"/>
    <n v="2"/>
    <n v="196800"/>
    <x v="39"/>
    <s v="Tuesday"/>
    <s v="Weekday"/>
  </r>
  <r>
    <s v="ORD-00309"/>
    <s v="CUST0023"/>
    <x v="0"/>
    <x v="1"/>
    <n v="29"/>
    <x v="1"/>
    <x v="4"/>
    <x v="1"/>
    <n v="6150"/>
    <n v="5"/>
    <n v="30750"/>
    <x v="212"/>
    <s v="Wednesday"/>
    <s v="Weekday"/>
  </r>
  <r>
    <s v="ORD-00310"/>
    <s v="CUST0008"/>
    <x v="1"/>
    <x v="6"/>
    <n v="18"/>
    <x v="1"/>
    <x v="5"/>
    <x v="1"/>
    <n v="3690"/>
    <n v="4"/>
    <n v="14760"/>
    <x v="191"/>
    <s v="Friday"/>
    <s v="Weekend"/>
  </r>
  <r>
    <s v="ORD-00311"/>
    <s v="CUST0268"/>
    <x v="0"/>
    <x v="0"/>
    <n v="21"/>
    <x v="1"/>
    <x v="0"/>
    <x v="0"/>
    <n v="36900"/>
    <n v="2"/>
    <n v="73800"/>
    <x v="213"/>
    <s v="Thursday"/>
    <s v="Weekday"/>
  </r>
  <r>
    <s v="ORD-00312"/>
    <s v="CUST0162"/>
    <x v="0"/>
    <x v="3"/>
    <n v="69"/>
    <x v="0"/>
    <x v="1"/>
    <x v="1"/>
    <n v="12300"/>
    <n v="1"/>
    <n v="12300"/>
    <x v="99"/>
    <s v="Friday"/>
    <s v="Weekend"/>
  </r>
  <r>
    <s v="ORD-00313"/>
    <s v="CUST0121"/>
    <x v="1"/>
    <x v="7"/>
    <n v="66"/>
    <x v="2"/>
    <x v="3"/>
    <x v="2"/>
    <n v="24600"/>
    <n v="5"/>
    <n v="123000"/>
    <x v="123"/>
    <s v="Tuesday"/>
    <s v="Weekday"/>
  </r>
  <r>
    <s v="ORD-00314"/>
    <s v="CUST0047"/>
    <x v="1"/>
    <x v="1"/>
    <n v="41"/>
    <x v="0"/>
    <x v="3"/>
    <x v="2"/>
    <n v="24600"/>
    <n v="3"/>
    <n v="73800"/>
    <x v="147"/>
    <s v="Sunday"/>
    <s v="Weekday"/>
  </r>
  <r>
    <s v="ORD-00315"/>
    <s v="CUST0148"/>
    <x v="0"/>
    <x v="7"/>
    <n v="67"/>
    <x v="0"/>
    <x v="4"/>
    <x v="1"/>
    <n v="6150"/>
    <n v="5"/>
    <n v="30750"/>
    <x v="214"/>
    <s v="Friday"/>
    <s v="Weekend"/>
  </r>
  <r>
    <s v="ORD-00316"/>
    <s v="CUST0251"/>
    <x v="0"/>
    <x v="4"/>
    <n v="42"/>
    <x v="2"/>
    <x v="6"/>
    <x v="0"/>
    <n v="98400"/>
    <n v="3"/>
    <n v="295200"/>
    <x v="112"/>
    <s v="Saturday"/>
    <s v="Weekend"/>
  </r>
  <r>
    <s v="ORD-00317"/>
    <s v="CUST0028"/>
    <x v="0"/>
    <x v="1"/>
    <n v="50"/>
    <x v="1"/>
    <x v="0"/>
    <x v="0"/>
    <n v="36900"/>
    <n v="1"/>
    <n v="36900"/>
    <x v="149"/>
    <s v="Saturday"/>
    <s v="Weekend"/>
  </r>
  <r>
    <s v="ORD-00318"/>
    <s v="CUST0174"/>
    <x v="1"/>
    <x v="1"/>
    <n v="68"/>
    <x v="3"/>
    <x v="1"/>
    <x v="1"/>
    <n v="12300"/>
    <n v="4"/>
    <n v="49200"/>
    <x v="215"/>
    <s v="Tuesday"/>
    <s v="Weekday"/>
  </r>
  <r>
    <s v="ORD-00319"/>
    <s v="CUST0296"/>
    <x v="1"/>
    <x v="1"/>
    <n v="50"/>
    <x v="1"/>
    <x v="6"/>
    <x v="0"/>
    <n v="98400"/>
    <n v="5"/>
    <n v="492000"/>
    <x v="216"/>
    <s v="Friday"/>
    <s v="Weekend"/>
  </r>
  <r>
    <s v="ORD-00320"/>
    <s v="CUST0085"/>
    <x v="0"/>
    <x v="1"/>
    <n v="18"/>
    <x v="1"/>
    <x v="6"/>
    <x v="0"/>
    <n v="98400"/>
    <n v="1"/>
    <n v="98400"/>
    <x v="217"/>
    <s v="Saturday"/>
    <s v="Weekend"/>
  </r>
  <r>
    <s v="ORD-00321"/>
    <s v="CUST0281"/>
    <x v="1"/>
    <x v="6"/>
    <n v="44"/>
    <x v="1"/>
    <x v="2"/>
    <x v="0"/>
    <n v="184500"/>
    <n v="5"/>
    <n v="922500"/>
    <x v="73"/>
    <s v="Tuesday"/>
    <s v="Weekday"/>
  </r>
  <r>
    <s v="ORD-00322"/>
    <s v="CUST0010"/>
    <x v="2"/>
    <x v="2"/>
    <n v="37"/>
    <x v="1"/>
    <x v="1"/>
    <x v="1"/>
    <n v="12300"/>
    <n v="3"/>
    <n v="36900"/>
    <x v="50"/>
    <s v="Monday"/>
    <s v="Weekday"/>
  </r>
  <r>
    <s v="ORD-00323"/>
    <s v="CUST0186"/>
    <x v="1"/>
    <x v="7"/>
    <n v="55"/>
    <x v="3"/>
    <x v="2"/>
    <x v="0"/>
    <n v="184500"/>
    <n v="1"/>
    <n v="184500"/>
    <x v="218"/>
    <s v="Friday"/>
    <s v="Weekend"/>
  </r>
  <r>
    <s v="ORD-00324"/>
    <s v="CUST0281"/>
    <x v="1"/>
    <x v="6"/>
    <n v="44"/>
    <x v="0"/>
    <x v="2"/>
    <x v="0"/>
    <n v="184500"/>
    <n v="2"/>
    <n v="369000"/>
    <x v="219"/>
    <s v="Monday"/>
    <s v="Weekday"/>
  </r>
  <r>
    <s v="ORD-00325"/>
    <s v="CUST0031"/>
    <x v="0"/>
    <x v="1"/>
    <n v="67"/>
    <x v="3"/>
    <x v="6"/>
    <x v="0"/>
    <n v="98400"/>
    <n v="5"/>
    <n v="492000"/>
    <x v="220"/>
    <s v="Sunday"/>
    <s v="Weekday"/>
  </r>
  <r>
    <s v="ORD-00326"/>
    <s v="CUST0270"/>
    <x v="2"/>
    <x v="3"/>
    <n v="64"/>
    <x v="2"/>
    <x v="1"/>
    <x v="1"/>
    <n v="12300"/>
    <n v="3"/>
    <n v="36900"/>
    <x v="221"/>
    <s v="Friday"/>
    <s v="Weekend"/>
  </r>
  <r>
    <s v="ORD-00327"/>
    <s v="CUST0039"/>
    <x v="0"/>
    <x v="1"/>
    <n v="60"/>
    <x v="1"/>
    <x v="6"/>
    <x v="0"/>
    <n v="98400"/>
    <n v="2"/>
    <n v="196800"/>
    <x v="216"/>
    <s v="Friday"/>
    <s v="Weekend"/>
  </r>
  <r>
    <s v="ORD-00328"/>
    <s v="CUST0063"/>
    <x v="0"/>
    <x v="0"/>
    <n v="20"/>
    <x v="3"/>
    <x v="4"/>
    <x v="1"/>
    <n v="6150"/>
    <n v="1"/>
    <n v="6150"/>
    <x v="44"/>
    <s v="Sunday"/>
    <s v="Weekday"/>
  </r>
  <r>
    <s v="ORD-00329"/>
    <s v="CUST0097"/>
    <x v="2"/>
    <x v="4"/>
    <n v="34"/>
    <x v="2"/>
    <x v="3"/>
    <x v="2"/>
    <n v="24600"/>
    <n v="1"/>
    <n v="24600"/>
    <x v="222"/>
    <s v="Sunday"/>
    <s v="Weekday"/>
  </r>
  <r>
    <s v="ORD-00330"/>
    <s v="CUST0067"/>
    <x v="1"/>
    <x v="7"/>
    <n v="19"/>
    <x v="3"/>
    <x v="2"/>
    <x v="0"/>
    <n v="184500"/>
    <n v="4"/>
    <n v="738000"/>
    <x v="20"/>
    <s v="Wednesday"/>
    <s v="Weekday"/>
  </r>
  <r>
    <s v="ORD-00331"/>
    <s v="CUST0124"/>
    <x v="1"/>
    <x v="4"/>
    <n v="53"/>
    <x v="1"/>
    <x v="6"/>
    <x v="0"/>
    <n v="98400"/>
    <n v="4"/>
    <n v="393600"/>
    <x v="223"/>
    <s v="Saturday"/>
    <s v="Weekend"/>
  </r>
  <r>
    <s v="ORD-00332"/>
    <s v="CUST0284"/>
    <x v="1"/>
    <x v="0"/>
    <n v="64"/>
    <x v="1"/>
    <x v="0"/>
    <x v="0"/>
    <n v="36900"/>
    <n v="3"/>
    <n v="110700"/>
    <x v="223"/>
    <s v="Saturday"/>
    <s v="Weekend"/>
  </r>
  <r>
    <s v="ORD-00333"/>
    <s v="CUST0010"/>
    <x v="2"/>
    <x v="2"/>
    <n v="37"/>
    <x v="2"/>
    <x v="0"/>
    <x v="0"/>
    <n v="36900"/>
    <n v="1"/>
    <n v="36900"/>
    <x v="224"/>
    <s v="Thursday"/>
    <s v="Weekday"/>
  </r>
  <r>
    <s v="ORD-00334"/>
    <s v="CUST0276"/>
    <x v="0"/>
    <x v="0"/>
    <n v="66"/>
    <x v="3"/>
    <x v="0"/>
    <x v="0"/>
    <n v="36900"/>
    <n v="1"/>
    <n v="36900"/>
    <x v="212"/>
    <s v="Wednesday"/>
    <s v="Weekday"/>
  </r>
  <r>
    <s v="ORD-00335"/>
    <s v="CUST0256"/>
    <x v="0"/>
    <x v="2"/>
    <n v="69"/>
    <x v="1"/>
    <x v="6"/>
    <x v="0"/>
    <n v="98400"/>
    <n v="3"/>
    <n v="295200"/>
    <x v="225"/>
    <s v="Saturday"/>
    <s v="Weekend"/>
  </r>
  <r>
    <s v="ORD-00336"/>
    <s v="CUST0221"/>
    <x v="0"/>
    <x v="7"/>
    <n v="33"/>
    <x v="2"/>
    <x v="5"/>
    <x v="1"/>
    <n v="3690"/>
    <n v="2"/>
    <n v="7380"/>
    <x v="143"/>
    <s v="Saturday"/>
    <s v="Weekend"/>
  </r>
  <r>
    <s v="ORD-00337"/>
    <s v="CUST0062"/>
    <x v="0"/>
    <x v="3"/>
    <n v="43"/>
    <x v="3"/>
    <x v="0"/>
    <x v="0"/>
    <n v="36900"/>
    <n v="3"/>
    <n v="110700"/>
    <x v="226"/>
    <s v="Thursday"/>
    <s v="Weekday"/>
  </r>
  <r>
    <s v="ORD-00338"/>
    <s v="CUST0219"/>
    <x v="1"/>
    <x v="0"/>
    <n v="48"/>
    <x v="3"/>
    <x v="1"/>
    <x v="1"/>
    <n v="12300"/>
    <n v="1"/>
    <n v="12300"/>
    <x v="150"/>
    <s v="Monday"/>
    <s v="Weekday"/>
  </r>
  <r>
    <s v="ORD-00339"/>
    <s v="CUST0053"/>
    <x v="1"/>
    <x v="5"/>
    <n v="25"/>
    <x v="2"/>
    <x v="4"/>
    <x v="1"/>
    <n v="6150"/>
    <n v="3"/>
    <n v="18450"/>
    <x v="167"/>
    <s v="Wednesday"/>
    <s v="Weekday"/>
  </r>
  <r>
    <s v="ORD-00340"/>
    <s v="CUST0144"/>
    <x v="1"/>
    <x v="0"/>
    <n v="54"/>
    <x v="3"/>
    <x v="6"/>
    <x v="0"/>
    <n v="98400"/>
    <n v="4"/>
    <n v="393600"/>
    <x v="158"/>
    <s v="Monday"/>
    <s v="Weekday"/>
  </r>
  <r>
    <s v="ORD-00341"/>
    <s v="CUST0081"/>
    <x v="0"/>
    <x v="6"/>
    <n v="38"/>
    <x v="3"/>
    <x v="0"/>
    <x v="0"/>
    <n v="36900"/>
    <n v="5"/>
    <n v="184500"/>
    <x v="126"/>
    <s v="Thursday"/>
    <s v="Weekday"/>
  </r>
  <r>
    <s v="ORD-00342"/>
    <s v="CUST0044"/>
    <x v="0"/>
    <x v="0"/>
    <n v="30"/>
    <x v="1"/>
    <x v="0"/>
    <x v="0"/>
    <n v="36900"/>
    <n v="2"/>
    <n v="73800"/>
    <x v="66"/>
    <s v="Tuesday"/>
    <s v="Weekday"/>
  </r>
  <r>
    <s v="ORD-00343"/>
    <s v="CUST0055"/>
    <x v="1"/>
    <x v="1"/>
    <n v="45"/>
    <x v="1"/>
    <x v="3"/>
    <x v="2"/>
    <n v="24600"/>
    <n v="3"/>
    <n v="73800"/>
    <x v="217"/>
    <s v="Saturday"/>
    <s v="Weekend"/>
  </r>
  <r>
    <s v="ORD-00344"/>
    <s v="CUST0272"/>
    <x v="2"/>
    <x v="5"/>
    <n v="52"/>
    <x v="1"/>
    <x v="5"/>
    <x v="1"/>
    <n v="3690"/>
    <n v="3"/>
    <n v="11070"/>
    <x v="38"/>
    <s v="Thursday"/>
    <s v="Weekday"/>
  </r>
  <r>
    <s v="ORD-00345"/>
    <s v="CUST0126"/>
    <x v="0"/>
    <x v="5"/>
    <n v="66"/>
    <x v="2"/>
    <x v="5"/>
    <x v="1"/>
    <n v="3690"/>
    <n v="2"/>
    <n v="7380"/>
    <x v="189"/>
    <s v="Monday"/>
    <s v="Weekday"/>
  </r>
  <r>
    <s v="ORD-00346"/>
    <s v="CUST0167"/>
    <x v="2"/>
    <x v="7"/>
    <n v="67"/>
    <x v="0"/>
    <x v="3"/>
    <x v="2"/>
    <n v="24600"/>
    <n v="3"/>
    <n v="73800"/>
    <x v="50"/>
    <s v="Monday"/>
    <s v="Weekday"/>
  </r>
  <r>
    <s v="ORD-00347"/>
    <s v="CUST0043"/>
    <x v="0"/>
    <x v="3"/>
    <n v="22"/>
    <x v="3"/>
    <x v="5"/>
    <x v="1"/>
    <n v="3690"/>
    <n v="4"/>
    <n v="14760"/>
    <x v="177"/>
    <s v="Wednesday"/>
    <s v="Weekday"/>
  </r>
  <r>
    <s v="ORD-00348"/>
    <s v="CUST0201"/>
    <x v="1"/>
    <x v="1"/>
    <n v="49"/>
    <x v="2"/>
    <x v="0"/>
    <x v="0"/>
    <n v="36900"/>
    <n v="2"/>
    <n v="73800"/>
    <x v="227"/>
    <s v="Thursday"/>
    <s v="Weekday"/>
  </r>
  <r>
    <s v="ORD-00349"/>
    <s v="CUST0233"/>
    <x v="0"/>
    <x v="0"/>
    <n v="24"/>
    <x v="0"/>
    <x v="1"/>
    <x v="1"/>
    <n v="12300"/>
    <n v="3"/>
    <n v="36900"/>
    <x v="228"/>
    <s v="Tuesday"/>
    <s v="Weekday"/>
  </r>
  <r>
    <s v="ORD-00350"/>
    <s v="CUST0028"/>
    <x v="0"/>
    <x v="1"/>
    <n v="50"/>
    <x v="0"/>
    <x v="2"/>
    <x v="0"/>
    <n v="184500"/>
    <n v="1"/>
    <n v="184500"/>
    <x v="105"/>
    <s v="Wednesday"/>
    <s v="Weekday"/>
  </r>
  <r>
    <s v="ORD-00351"/>
    <s v="CUST0150"/>
    <x v="2"/>
    <x v="1"/>
    <n v="63"/>
    <x v="2"/>
    <x v="0"/>
    <x v="0"/>
    <n v="36900"/>
    <n v="3"/>
    <n v="110700"/>
    <x v="229"/>
    <s v="Wednesday"/>
    <s v="Weekday"/>
  </r>
  <r>
    <s v="ORD-00352"/>
    <s v="CUST0247"/>
    <x v="0"/>
    <x v="1"/>
    <n v="44"/>
    <x v="0"/>
    <x v="4"/>
    <x v="1"/>
    <n v="6150"/>
    <n v="2"/>
    <n v="12300"/>
    <x v="36"/>
    <s v="Tuesday"/>
    <s v="Weekday"/>
  </r>
  <r>
    <s v="ORD-00353"/>
    <s v="CUST0058"/>
    <x v="2"/>
    <x v="1"/>
    <n v="42"/>
    <x v="1"/>
    <x v="0"/>
    <x v="0"/>
    <n v="36900"/>
    <n v="2"/>
    <n v="73800"/>
    <x v="230"/>
    <s v="Sunday"/>
    <s v="Weekday"/>
  </r>
  <r>
    <s v="ORD-00354"/>
    <s v="CUST0281"/>
    <x v="1"/>
    <x v="6"/>
    <n v="44"/>
    <x v="2"/>
    <x v="2"/>
    <x v="0"/>
    <n v="184500"/>
    <n v="4"/>
    <n v="738000"/>
    <x v="231"/>
    <s v="Sunday"/>
    <s v="Weekday"/>
  </r>
  <r>
    <s v="ORD-00355"/>
    <s v="CUST0041"/>
    <x v="0"/>
    <x v="0"/>
    <n v="64"/>
    <x v="3"/>
    <x v="6"/>
    <x v="0"/>
    <n v="98400"/>
    <n v="4"/>
    <n v="393600"/>
    <x v="232"/>
    <s v="Monday"/>
    <s v="Weekday"/>
  </r>
  <r>
    <s v="ORD-00356"/>
    <s v="CUST0204"/>
    <x v="0"/>
    <x v="1"/>
    <n v="54"/>
    <x v="1"/>
    <x v="0"/>
    <x v="0"/>
    <n v="36900"/>
    <n v="4"/>
    <n v="147600"/>
    <x v="233"/>
    <s v="Saturday"/>
    <s v="Weekend"/>
  </r>
  <r>
    <s v="ORD-00357"/>
    <s v="CUST0095"/>
    <x v="1"/>
    <x v="0"/>
    <n v="60"/>
    <x v="3"/>
    <x v="3"/>
    <x v="2"/>
    <n v="24600"/>
    <n v="2"/>
    <n v="49200"/>
    <x v="234"/>
    <s v="Monday"/>
    <s v="Weekday"/>
  </r>
  <r>
    <s v="ORD-00358"/>
    <s v="CUST0272"/>
    <x v="2"/>
    <x v="5"/>
    <n v="52"/>
    <x v="0"/>
    <x v="3"/>
    <x v="2"/>
    <n v="24600"/>
    <n v="3"/>
    <n v="73800"/>
    <x v="33"/>
    <s v="Sunday"/>
    <s v="Weekday"/>
  </r>
  <r>
    <s v="ORD-00359"/>
    <s v="CUST0069"/>
    <x v="2"/>
    <x v="1"/>
    <n v="66"/>
    <x v="1"/>
    <x v="0"/>
    <x v="0"/>
    <n v="36900"/>
    <n v="4"/>
    <n v="147600"/>
    <x v="116"/>
    <s v="Tuesday"/>
    <s v="Weekday"/>
  </r>
  <r>
    <s v="ORD-00360"/>
    <s v="CUST0202"/>
    <x v="0"/>
    <x v="2"/>
    <n v="56"/>
    <x v="3"/>
    <x v="1"/>
    <x v="1"/>
    <n v="12300"/>
    <n v="4"/>
    <n v="49200"/>
    <x v="155"/>
    <s v="Wednesday"/>
    <s v="Weekday"/>
  </r>
  <r>
    <s v="ORD-00361"/>
    <s v="CUST0054"/>
    <x v="1"/>
    <x v="6"/>
    <n v="64"/>
    <x v="2"/>
    <x v="1"/>
    <x v="1"/>
    <n v="12300"/>
    <n v="1"/>
    <n v="12300"/>
    <x v="146"/>
    <s v="Sunday"/>
    <s v="Weekday"/>
  </r>
  <r>
    <s v="ORD-00362"/>
    <s v="CUST0187"/>
    <x v="2"/>
    <x v="0"/>
    <n v="25"/>
    <x v="0"/>
    <x v="4"/>
    <x v="1"/>
    <n v="6150"/>
    <n v="4"/>
    <n v="24600"/>
    <x v="77"/>
    <s v="Tuesday"/>
    <s v="Weekday"/>
  </r>
  <r>
    <s v="ORD-00363"/>
    <s v="CUST0065"/>
    <x v="1"/>
    <x v="0"/>
    <n v="41"/>
    <x v="3"/>
    <x v="6"/>
    <x v="0"/>
    <n v="98400"/>
    <n v="5"/>
    <n v="492000"/>
    <x v="200"/>
    <s v="Friday"/>
    <s v="Weekend"/>
  </r>
  <r>
    <s v="ORD-00364"/>
    <s v="CUST0019"/>
    <x v="0"/>
    <x v="0"/>
    <n v="69"/>
    <x v="0"/>
    <x v="3"/>
    <x v="2"/>
    <n v="24600"/>
    <n v="1"/>
    <n v="24600"/>
    <x v="136"/>
    <s v="Wednesday"/>
    <s v="Weekday"/>
  </r>
  <r>
    <s v="ORD-00365"/>
    <s v="CUST0054"/>
    <x v="1"/>
    <x v="6"/>
    <n v="64"/>
    <x v="3"/>
    <x v="4"/>
    <x v="1"/>
    <n v="6150"/>
    <n v="1"/>
    <n v="6150"/>
    <x v="235"/>
    <s v="Monday"/>
    <s v="Weekday"/>
  </r>
  <r>
    <s v="ORD-00366"/>
    <s v="CUST0018"/>
    <x v="1"/>
    <x v="2"/>
    <n v="38"/>
    <x v="2"/>
    <x v="5"/>
    <x v="1"/>
    <n v="3690"/>
    <n v="2"/>
    <n v="7380"/>
    <x v="174"/>
    <s v="Tuesday"/>
    <s v="Weekday"/>
  </r>
  <r>
    <s v="ORD-00367"/>
    <s v="CUST0059"/>
    <x v="1"/>
    <x v="4"/>
    <n v="18"/>
    <x v="1"/>
    <x v="2"/>
    <x v="0"/>
    <n v="184500"/>
    <n v="2"/>
    <n v="369000"/>
    <x v="151"/>
    <s v="Thursday"/>
    <s v="Weekday"/>
  </r>
  <r>
    <s v="ORD-00368"/>
    <s v="CUST0075"/>
    <x v="1"/>
    <x v="7"/>
    <n v="56"/>
    <x v="3"/>
    <x v="5"/>
    <x v="1"/>
    <n v="3690"/>
    <n v="5"/>
    <n v="18450"/>
    <x v="236"/>
    <s v="Friday"/>
    <s v="Weekend"/>
  </r>
  <r>
    <s v="ORD-00369"/>
    <s v="CUST0129"/>
    <x v="0"/>
    <x v="2"/>
    <n v="66"/>
    <x v="0"/>
    <x v="6"/>
    <x v="0"/>
    <n v="98400"/>
    <n v="3"/>
    <n v="295200"/>
    <x v="237"/>
    <s v="Friday"/>
    <s v="Weekend"/>
  </r>
  <r>
    <s v="ORD-00370"/>
    <s v="CUST0103"/>
    <x v="2"/>
    <x v="0"/>
    <n v="23"/>
    <x v="2"/>
    <x v="6"/>
    <x v="0"/>
    <n v="98400"/>
    <n v="1"/>
    <n v="98400"/>
    <x v="238"/>
    <s v="Monday"/>
    <s v="Weekday"/>
  </r>
  <r>
    <s v="ORD-00371"/>
    <s v="CUST0176"/>
    <x v="0"/>
    <x v="0"/>
    <n v="51"/>
    <x v="1"/>
    <x v="2"/>
    <x v="0"/>
    <n v="184500"/>
    <n v="3"/>
    <n v="553500"/>
    <x v="239"/>
    <s v="Friday"/>
    <s v="Weekend"/>
  </r>
  <r>
    <s v="ORD-00372"/>
    <s v="CUST0096"/>
    <x v="1"/>
    <x v="1"/>
    <n v="61"/>
    <x v="0"/>
    <x v="0"/>
    <x v="0"/>
    <n v="36900"/>
    <n v="5"/>
    <n v="184500"/>
    <x v="240"/>
    <s v="Tuesday"/>
    <s v="Weekday"/>
  </r>
  <r>
    <s v="ORD-00373"/>
    <s v="CUST0178"/>
    <x v="0"/>
    <x v="4"/>
    <n v="44"/>
    <x v="2"/>
    <x v="6"/>
    <x v="0"/>
    <n v="98400"/>
    <n v="3"/>
    <n v="295200"/>
    <x v="241"/>
    <s v="Saturday"/>
    <s v="Weekend"/>
  </r>
  <r>
    <s v="ORD-00374"/>
    <s v="CUST0138"/>
    <x v="2"/>
    <x v="0"/>
    <n v="46"/>
    <x v="0"/>
    <x v="2"/>
    <x v="0"/>
    <n v="184500"/>
    <n v="4"/>
    <n v="738000"/>
    <x v="14"/>
    <s v="Thursday"/>
    <s v="Weekday"/>
  </r>
  <r>
    <s v="ORD-00375"/>
    <s v="CUST0152"/>
    <x v="0"/>
    <x v="0"/>
    <n v="69"/>
    <x v="2"/>
    <x v="5"/>
    <x v="1"/>
    <n v="3690"/>
    <n v="1"/>
    <n v="3690"/>
    <x v="242"/>
    <s v="Friday"/>
    <s v="Weekend"/>
  </r>
  <r>
    <s v="ORD-00376"/>
    <s v="CUST0212"/>
    <x v="1"/>
    <x v="1"/>
    <n v="62"/>
    <x v="1"/>
    <x v="6"/>
    <x v="0"/>
    <n v="98400"/>
    <n v="3"/>
    <n v="295200"/>
    <x v="36"/>
    <s v="Tuesday"/>
    <s v="Weekday"/>
  </r>
  <r>
    <s v="ORD-00377"/>
    <s v="CUST0208"/>
    <x v="1"/>
    <x v="6"/>
    <n v="57"/>
    <x v="1"/>
    <x v="3"/>
    <x v="2"/>
    <n v="24600"/>
    <n v="2"/>
    <n v="49200"/>
    <x v="38"/>
    <s v="Thursday"/>
    <s v="Weekday"/>
  </r>
  <r>
    <s v="ORD-00378"/>
    <s v="CUST0026"/>
    <x v="2"/>
    <x v="5"/>
    <n v="27"/>
    <x v="0"/>
    <x v="6"/>
    <x v="0"/>
    <n v="98400"/>
    <n v="5"/>
    <n v="492000"/>
    <x v="243"/>
    <s v="Tuesday"/>
    <s v="Weekday"/>
  </r>
  <r>
    <s v="ORD-00379"/>
    <s v="CUST0224"/>
    <x v="2"/>
    <x v="4"/>
    <n v="57"/>
    <x v="2"/>
    <x v="6"/>
    <x v="0"/>
    <n v="98400"/>
    <n v="1"/>
    <n v="98400"/>
    <x v="244"/>
    <s v="Monday"/>
    <s v="Weekday"/>
  </r>
  <r>
    <s v="ORD-00380"/>
    <s v="CUST0131"/>
    <x v="1"/>
    <x v="1"/>
    <n v="67"/>
    <x v="3"/>
    <x v="2"/>
    <x v="0"/>
    <n v="184500"/>
    <n v="2"/>
    <n v="369000"/>
    <x v="245"/>
    <s v="Thursday"/>
    <s v="Weekday"/>
  </r>
  <r>
    <s v="ORD-00381"/>
    <s v="CUST0019"/>
    <x v="0"/>
    <x v="0"/>
    <n v="69"/>
    <x v="1"/>
    <x v="0"/>
    <x v="0"/>
    <n v="36900"/>
    <n v="1"/>
    <n v="36900"/>
    <x v="246"/>
    <s v="Wednesday"/>
    <s v="Weekday"/>
  </r>
  <r>
    <s v="ORD-00382"/>
    <s v="CUST0291"/>
    <x v="1"/>
    <x v="2"/>
    <n v="49"/>
    <x v="3"/>
    <x v="5"/>
    <x v="1"/>
    <n v="3690"/>
    <n v="1"/>
    <n v="3690"/>
    <x v="83"/>
    <s v="Wednesday"/>
    <s v="Weekday"/>
  </r>
  <r>
    <s v="ORD-00383"/>
    <s v="CUST0032"/>
    <x v="0"/>
    <x v="4"/>
    <n v="63"/>
    <x v="3"/>
    <x v="2"/>
    <x v="0"/>
    <n v="184500"/>
    <n v="3"/>
    <n v="553500"/>
    <x v="24"/>
    <s v="Saturday"/>
    <s v="Weekend"/>
  </r>
  <r>
    <s v="ORD-00384"/>
    <s v="CUST0285"/>
    <x v="1"/>
    <x v="1"/>
    <n v="58"/>
    <x v="0"/>
    <x v="1"/>
    <x v="1"/>
    <n v="12300"/>
    <n v="1"/>
    <n v="12300"/>
    <x v="35"/>
    <s v="Saturday"/>
    <s v="Weekend"/>
  </r>
  <r>
    <s v="ORD-00385"/>
    <s v="CUST0199"/>
    <x v="2"/>
    <x v="5"/>
    <n v="41"/>
    <x v="0"/>
    <x v="1"/>
    <x v="1"/>
    <n v="12300"/>
    <n v="1"/>
    <n v="12300"/>
    <x v="247"/>
    <s v="Wednesday"/>
    <s v="Weekday"/>
  </r>
  <r>
    <s v="ORD-00386"/>
    <s v="CUST0063"/>
    <x v="0"/>
    <x v="0"/>
    <n v="20"/>
    <x v="0"/>
    <x v="0"/>
    <x v="0"/>
    <n v="36900"/>
    <n v="4"/>
    <n v="147600"/>
    <x v="110"/>
    <s v="Monday"/>
    <s v="Weekday"/>
  </r>
  <r>
    <s v="ORD-00387"/>
    <s v="CUST0178"/>
    <x v="0"/>
    <x v="4"/>
    <n v="44"/>
    <x v="2"/>
    <x v="2"/>
    <x v="0"/>
    <n v="184500"/>
    <n v="5"/>
    <n v="922500"/>
    <x v="248"/>
    <s v="Friday"/>
    <s v="Weekend"/>
  </r>
  <r>
    <s v="ORD-00388"/>
    <s v="CUST0210"/>
    <x v="0"/>
    <x v="2"/>
    <n v="30"/>
    <x v="1"/>
    <x v="0"/>
    <x v="0"/>
    <n v="36900"/>
    <n v="5"/>
    <n v="184500"/>
    <x v="95"/>
    <s v="Saturday"/>
    <s v="Weekend"/>
  </r>
  <r>
    <s v="ORD-00389"/>
    <s v="CUST0105"/>
    <x v="0"/>
    <x v="4"/>
    <n v="27"/>
    <x v="1"/>
    <x v="1"/>
    <x v="1"/>
    <n v="12300"/>
    <n v="2"/>
    <n v="24600"/>
    <x v="143"/>
    <s v="Saturday"/>
    <s v="Weekend"/>
  </r>
  <r>
    <s v="ORD-00390"/>
    <s v="CUST0198"/>
    <x v="0"/>
    <x v="0"/>
    <n v="56"/>
    <x v="3"/>
    <x v="0"/>
    <x v="0"/>
    <n v="36900"/>
    <n v="3"/>
    <n v="110700"/>
    <x v="24"/>
    <s v="Saturday"/>
    <s v="Weekend"/>
  </r>
  <r>
    <s v="ORD-00391"/>
    <s v="CUST0241"/>
    <x v="1"/>
    <x v="0"/>
    <n v="27"/>
    <x v="0"/>
    <x v="4"/>
    <x v="1"/>
    <n v="6150"/>
    <n v="1"/>
    <n v="6150"/>
    <x v="176"/>
    <s v="Monday"/>
    <s v="Weekday"/>
  </r>
  <r>
    <s v="ORD-00392"/>
    <s v="CUST0244"/>
    <x v="1"/>
    <x v="0"/>
    <n v="24"/>
    <x v="2"/>
    <x v="3"/>
    <x v="2"/>
    <n v="24600"/>
    <n v="1"/>
    <n v="24600"/>
    <x v="249"/>
    <s v="Friday"/>
    <s v="Weekend"/>
  </r>
  <r>
    <s v="ORD-00393"/>
    <s v="CUST0052"/>
    <x v="0"/>
    <x v="0"/>
    <n v="66"/>
    <x v="1"/>
    <x v="5"/>
    <x v="1"/>
    <n v="3690"/>
    <n v="4"/>
    <n v="14760"/>
    <x v="63"/>
    <s v="Sunday"/>
    <s v="Weekday"/>
  </r>
  <r>
    <s v="ORD-00394"/>
    <s v="CUST0258"/>
    <x v="1"/>
    <x v="1"/>
    <n v="39"/>
    <x v="2"/>
    <x v="2"/>
    <x v="0"/>
    <n v="184500"/>
    <n v="3"/>
    <n v="553500"/>
    <x v="250"/>
    <s v="Friday"/>
    <s v="Weekend"/>
  </r>
  <r>
    <s v="ORD-00395"/>
    <s v="CUST0123"/>
    <x v="0"/>
    <x v="1"/>
    <n v="52"/>
    <x v="0"/>
    <x v="2"/>
    <x v="0"/>
    <n v="184500"/>
    <n v="5"/>
    <n v="922500"/>
    <x v="251"/>
    <s v="Wednesday"/>
    <s v="Weekday"/>
  </r>
  <r>
    <s v="ORD-00396"/>
    <s v="CUST0285"/>
    <x v="1"/>
    <x v="1"/>
    <n v="58"/>
    <x v="0"/>
    <x v="6"/>
    <x v="0"/>
    <n v="98400"/>
    <n v="3"/>
    <n v="295200"/>
    <x v="241"/>
    <s v="Saturday"/>
    <s v="Weekend"/>
  </r>
  <r>
    <s v="ORD-00397"/>
    <s v="CUST0279"/>
    <x v="1"/>
    <x v="0"/>
    <n v="59"/>
    <x v="1"/>
    <x v="5"/>
    <x v="1"/>
    <n v="3690"/>
    <n v="3"/>
    <n v="11070"/>
    <x v="252"/>
    <s v="Wednesday"/>
    <s v="Weekday"/>
  </r>
  <r>
    <s v="ORD-00398"/>
    <s v="CUST0052"/>
    <x v="0"/>
    <x v="0"/>
    <n v="66"/>
    <x v="3"/>
    <x v="1"/>
    <x v="1"/>
    <n v="12300"/>
    <n v="3"/>
    <n v="36900"/>
    <x v="162"/>
    <s v="Monday"/>
    <s v="Weekday"/>
  </r>
  <r>
    <s v="ORD-00399"/>
    <s v="CUST0200"/>
    <x v="1"/>
    <x v="0"/>
    <n v="68"/>
    <x v="3"/>
    <x v="2"/>
    <x v="0"/>
    <n v="184500"/>
    <n v="5"/>
    <n v="922500"/>
    <x v="5"/>
    <s v="Wednesday"/>
    <s v="Weekday"/>
  </r>
  <r>
    <s v="ORD-00400"/>
    <s v="CUST0103"/>
    <x v="2"/>
    <x v="0"/>
    <n v="23"/>
    <x v="0"/>
    <x v="4"/>
    <x v="1"/>
    <n v="6150"/>
    <n v="5"/>
    <n v="30750"/>
    <x v="253"/>
    <s v="Monday"/>
    <s v="Weekday"/>
  </r>
  <r>
    <s v="ORD-00401"/>
    <s v="CUST0129"/>
    <x v="0"/>
    <x v="2"/>
    <n v="66"/>
    <x v="0"/>
    <x v="3"/>
    <x v="2"/>
    <n v="24600"/>
    <n v="5"/>
    <n v="123000"/>
    <x v="254"/>
    <s v="Tuesday"/>
    <s v="Weekday"/>
  </r>
  <r>
    <s v="ORD-00402"/>
    <s v="CUST0012"/>
    <x v="0"/>
    <x v="1"/>
    <n v="28"/>
    <x v="3"/>
    <x v="2"/>
    <x v="0"/>
    <n v="184500"/>
    <n v="1"/>
    <n v="184500"/>
    <x v="139"/>
    <s v="Thursday"/>
    <s v="Weekday"/>
  </r>
  <r>
    <s v="ORD-00403"/>
    <s v="CUST0139"/>
    <x v="0"/>
    <x v="1"/>
    <n v="57"/>
    <x v="0"/>
    <x v="6"/>
    <x v="0"/>
    <n v="98400"/>
    <n v="2"/>
    <n v="196800"/>
    <x v="255"/>
    <s v="Monday"/>
    <s v="Weekday"/>
  </r>
  <r>
    <s v="ORD-00404"/>
    <s v="CUST0196"/>
    <x v="1"/>
    <x v="1"/>
    <n v="37"/>
    <x v="1"/>
    <x v="2"/>
    <x v="0"/>
    <n v="184500"/>
    <n v="2"/>
    <n v="369000"/>
    <x v="194"/>
    <s v="Tuesday"/>
    <s v="Weekday"/>
  </r>
  <r>
    <s v="ORD-00405"/>
    <s v="CUST0007"/>
    <x v="1"/>
    <x v="5"/>
    <n v="52"/>
    <x v="1"/>
    <x v="1"/>
    <x v="1"/>
    <n v="12300"/>
    <n v="3"/>
    <n v="36900"/>
    <x v="61"/>
    <s v="Monday"/>
    <s v="Weekday"/>
  </r>
  <r>
    <s v="ORD-00406"/>
    <s v="CUST0118"/>
    <x v="0"/>
    <x v="2"/>
    <n v="23"/>
    <x v="2"/>
    <x v="3"/>
    <x v="2"/>
    <n v="24600"/>
    <n v="3"/>
    <n v="73800"/>
    <x v="208"/>
    <s v="Sunday"/>
    <s v="Weekday"/>
  </r>
  <r>
    <s v="ORD-00407"/>
    <s v="CUST0227"/>
    <x v="2"/>
    <x v="6"/>
    <n v="54"/>
    <x v="3"/>
    <x v="5"/>
    <x v="1"/>
    <n v="3690"/>
    <n v="5"/>
    <n v="18450"/>
    <x v="25"/>
    <s v="Monday"/>
    <s v="Weekday"/>
  </r>
  <r>
    <s v="ORD-00408"/>
    <s v="CUST0219"/>
    <x v="1"/>
    <x v="0"/>
    <n v="48"/>
    <x v="0"/>
    <x v="4"/>
    <x v="1"/>
    <n v="6150"/>
    <n v="2"/>
    <n v="12300"/>
    <x v="1"/>
    <s v="Sunday"/>
    <s v="Weekday"/>
  </r>
  <r>
    <s v="ORD-00409"/>
    <s v="CUST0297"/>
    <x v="0"/>
    <x v="4"/>
    <n v="61"/>
    <x v="2"/>
    <x v="0"/>
    <x v="0"/>
    <n v="36900"/>
    <n v="2"/>
    <n v="73800"/>
    <x v="256"/>
    <s v="Tuesday"/>
    <s v="Weekday"/>
  </r>
  <r>
    <s v="ORD-00410"/>
    <s v="CUST0098"/>
    <x v="1"/>
    <x v="0"/>
    <n v="57"/>
    <x v="1"/>
    <x v="1"/>
    <x v="1"/>
    <n v="12300"/>
    <n v="4"/>
    <n v="49200"/>
    <x v="163"/>
    <s v="Tuesday"/>
    <s v="Weekday"/>
  </r>
  <r>
    <s v="ORD-00411"/>
    <s v="CUST0284"/>
    <x v="1"/>
    <x v="0"/>
    <n v="64"/>
    <x v="3"/>
    <x v="3"/>
    <x v="2"/>
    <n v="24600"/>
    <n v="5"/>
    <n v="123000"/>
    <x v="45"/>
    <s v="Tuesday"/>
    <s v="Weekday"/>
  </r>
  <r>
    <s v="ORD-00412"/>
    <s v="CUST0137"/>
    <x v="1"/>
    <x v="2"/>
    <n v="19"/>
    <x v="1"/>
    <x v="0"/>
    <x v="0"/>
    <n v="36900"/>
    <n v="5"/>
    <n v="184500"/>
    <x v="0"/>
    <s v="Friday"/>
    <s v="Weekend"/>
  </r>
  <r>
    <s v="ORD-00413"/>
    <s v="CUST0127"/>
    <x v="0"/>
    <x v="6"/>
    <n v="62"/>
    <x v="0"/>
    <x v="1"/>
    <x v="1"/>
    <n v="12300"/>
    <n v="2"/>
    <n v="24600"/>
    <x v="212"/>
    <s v="Wednesday"/>
    <s v="Weekday"/>
  </r>
  <r>
    <s v="ORD-00414"/>
    <s v="CUST0052"/>
    <x v="0"/>
    <x v="0"/>
    <n v="66"/>
    <x v="2"/>
    <x v="5"/>
    <x v="1"/>
    <n v="3690"/>
    <n v="2"/>
    <n v="7380"/>
    <x v="257"/>
    <s v="Sunday"/>
    <s v="Weekday"/>
  </r>
  <r>
    <s v="ORD-00415"/>
    <s v="CUST0162"/>
    <x v="0"/>
    <x v="3"/>
    <n v="69"/>
    <x v="0"/>
    <x v="3"/>
    <x v="2"/>
    <n v="24600"/>
    <n v="4"/>
    <n v="98400"/>
    <x v="144"/>
    <s v="Monday"/>
    <s v="Weekday"/>
  </r>
  <r>
    <s v="ORD-00416"/>
    <s v="CUST0069"/>
    <x v="2"/>
    <x v="1"/>
    <n v="66"/>
    <x v="0"/>
    <x v="2"/>
    <x v="0"/>
    <n v="184500"/>
    <n v="4"/>
    <n v="738000"/>
    <x v="183"/>
    <s v="Saturday"/>
    <s v="Weekend"/>
  </r>
  <r>
    <s v="ORD-00417"/>
    <s v="CUST0011"/>
    <x v="2"/>
    <x v="0"/>
    <n v="54"/>
    <x v="3"/>
    <x v="6"/>
    <x v="0"/>
    <n v="98400"/>
    <n v="2"/>
    <n v="196800"/>
    <x v="141"/>
    <s v="Thursday"/>
    <s v="Weekday"/>
  </r>
  <r>
    <s v="ORD-00418"/>
    <s v="CUST0293"/>
    <x v="0"/>
    <x v="1"/>
    <n v="32"/>
    <x v="3"/>
    <x v="2"/>
    <x v="0"/>
    <n v="184500"/>
    <n v="3"/>
    <n v="553500"/>
    <x v="30"/>
    <s v="Friday"/>
    <s v="Weekend"/>
  </r>
  <r>
    <s v="ORD-00419"/>
    <s v="CUST0078"/>
    <x v="1"/>
    <x v="4"/>
    <n v="38"/>
    <x v="0"/>
    <x v="0"/>
    <x v="0"/>
    <n v="36900"/>
    <n v="1"/>
    <n v="36900"/>
    <x v="64"/>
    <s v="Tuesday"/>
    <s v="Weekday"/>
  </r>
  <r>
    <s v="ORD-00420"/>
    <s v="CUST0290"/>
    <x v="1"/>
    <x v="0"/>
    <n v="37"/>
    <x v="3"/>
    <x v="1"/>
    <x v="1"/>
    <n v="12300"/>
    <n v="3"/>
    <n v="36900"/>
    <x v="258"/>
    <s v="Saturday"/>
    <s v="Weekend"/>
  </r>
  <r>
    <s v="ORD-00421"/>
    <s v="CUST0130"/>
    <x v="0"/>
    <x v="0"/>
    <n v="68"/>
    <x v="2"/>
    <x v="3"/>
    <x v="2"/>
    <n v="24600"/>
    <n v="3"/>
    <n v="73800"/>
    <x v="259"/>
    <s v="Friday"/>
    <s v="Weekend"/>
  </r>
  <r>
    <s v="ORD-00422"/>
    <s v="CUST0186"/>
    <x v="1"/>
    <x v="7"/>
    <n v="55"/>
    <x v="2"/>
    <x v="3"/>
    <x v="2"/>
    <n v="24600"/>
    <n v="5"/>
    <n v="123000"/>
    <x v="194"/>
    <s v="Tuesday"/>
    <s v="Weekday"/>
  </r>
  <r>
    <s v="ORD-00423"/>
    <s v="CUST0164"/>
    <x v="0"/>
    <x v="2"/>
    <n v="50"/>
    <x v="0"/>
    <x v="0"/>
    <x v="0"/>
    <n v="36900"/>
    <n v="3"/>
    <n v="110700"/>
    <x v="72"/>
    <s v="Thursday"/>
    <s v="Weekday"/>
  </r>
  <r>
    <s v="ORD-00424"/>
    <s v="CUST0024"/>
    <x v="1"/>
    <x v="4"/>
    <n v="57"/>
    <x v="2"/>
    <x v="0"/>
    <x v="0"/>
    <n v="36900"/>
    <n v="2"/>
    <n v="73800"/>
    <x v="140"/>
    <s v="Saturday"/>
    <s v="Weekend"/>
  </r>
  <r>
    <s v="ORD-00425"/>
    <s v="CUST0006"/>
    <x v="2"/>
    <x v="0"/>
    <n v="52"/>
    <x v="0"/>
    <x v="3"/>
    <x v="2"/>
    <n v="24600"/>
    <n v="3"/>
    <n v="73800"/>
    <x v="260"/>
    <s v="Friday"/>
    <s v="Weekend"/>
  </r>
  <r>
    <s v="ORD-00426"/>
    <s v="CUST0124"/>
    <x v="1"/>
    <x v="4"/>
    <n v="53"/>
    <x v="2"/>
    <x v="0"/>
    <x v="0"/>
    <n v="36900"/>
    <n v="1"/>
    <n v="36900"/>
    <x v="136"/>
    <s v="Wednesday"/>
    <s v="Weekday"/>
  </r>
  <r>
    <s v="ORD-00427"/>
    <s v="CUST0060"/>
    <x v="0"/>
    <x v="0"/>
    <n v="41"/>
    <x v="1"/>
    <x v="1"/>
    <x v="1"/>
    <n v="12300"/>
    <n v="5"/>
    <n v="61500"/>
    <x v="205"/>
    <s v="Wednesday"/>
    <s v="Weekday"/>
  </r>
  <r>
    <s v="ORD-00428"/>
    <s v="CUST0046"/>
    <x v="1"/>
    <x v="0"/>
    <n v="22"/>
    <x v="0"/>
    <x v="5"/>
    <x v="1"/>
    <n v="3690"/>
    <n v="1"/>
    <n v="3690"/>
    <x v="214"/>
    <s v="Friday"/>
    <s v="Weekend"/>
  </r>
  <r>
    <s v="ORD-00429"/>
    <s v="CUST0280"/>
    <x v="0"/>
    <x v="5"/>
    <n v="44"/>
    <x v="2"/>
    <x v="3"/>
    <x v="2"/>
    <n v="24600"/>
    <n v="4"/>
    <n v="98400"/>
    <x v="214"/>
    <s v="Friday"/>
    <s v="Weekend"/>
  </r>
  <r>
    <s v="ORD-00430"/>
    <s v="CUST0012"/>
    <x v="0"/>
    <x v="1"/>
    <n v="28"/>
    <x v="1"/>
    <x v="1"/>
    <x v="1"/>
    <n v="12300"/>
    <n v="3"/>
    <n v="36900"/>
    <x v="245"/>
    <s v="Thursday"/>
    <s v="Weekday"/>
  </r>
  <r>
    <s v="ORD-00431"/>
    <s v="CUST0095"/>
    <x v="1"/>
    <x v="0"/>
    <n v="60"/>
    <x v="0"/>
    <x v="5"/>
    <x v="1"/>
    <n v="3690"/>
    <n v="3"/>
    <n v="11070"/>
    <x v="31"/>
    <s v="Wednesday"/>
    <s v="Weekday"/>
  </r>
  <r>
    <s v="ORD-00432"/>
    <s v="CUST0279"/>
    <x v="1"/>
    <x v="0"/>
    <n v="59"/>
    <x v="2"/>
    <x v="5"/>
    <x v="1"/>
    <n v="3690"/>
    <n v="2"/>
    <n v="7380"/>
    <x v="123"/>
    <s v="Tuesday"/>
    <s v="Weekday"/>
  </r>
  <r>
    <s v="ORD-00433"/>
    <s v="CUST0158"/>
    <x v="1"/>
    <x v="1"/>
    <n v="51"/>
    <x v="2"/>
    <x v="0"/>
    <x v="0"/>
    <n v="36900"/>
    <n v="4"/>
    <n v="147600"/>
    <x v="11"/>
    <s v="Wednesday"/>
    <s v="Weekday"/>
  </r>
  <r>
    <s v="ORD-00434"/>
    <s v="CUST0193"/>
    <x v="2"/>
    <x v="1"/>
    <n v="64"/>
    <x v="1"/>
    <x v="4"/>
    <x v="1"/>
    <n v="6150"/>
    <n v="4"/>
    <n v="24600"/>
    <x v="110"/>
    <s v="Monday"/>
    <s v="Weekday"/>
  </r>
  <r>
    <s v="ORD-00435"/>
    <s v="CUST0270"/>
    <x v="2"/>
    <x v="3"/>
    <n v="64"/>
    <x v="3"/>
    <x v="4"/>
    <x v="1"/>
    <n v="6150"/>
    <n v="1"/>
    <n v="6150"/>
    <x v="261"/>
    <s v="Wednesday"/>
    <s v="Weekday"/>
  </r>
  <r>
    <s v="ORD-00436"/>
    <s v="CUST0005"/>
    <x v="1"/>
    <x v="4"/>
    <n v="56"/>
    <x v="3"/>
    <x v="5"/>
    <x v="1"/>
    <n v="3690"/>
    <n v="2"/>
    <n v="7380"/>
    <x v="173"/>
    <s v="Wednesday"/>
    <s v="Weekday"/>
  </r>
  <r>
    <s v="ORD-00437"/>
    <s v="CUST0118"/>
    <x v="0"/>
    <x v="2"/>
    <n v="23"/>
    <x v="1"/>
    <x v="6"/>
    <x v="0"/>
    <n v="98400"/>
    <n v="2"/>
    <n v="196800"/>
    <x v="262"/>
    <s v="Thursday"/>
    <s v="Weekday"/>
  </r>
  <r>
    <s v="ORD-00438"/>
    <s v="CUST0016"/>
    <x v="1"/>
    <x v="3"/>
    <n v="61"/>
    <x v="1"/>
    <x v="4"/>
    <x v="1"/>
    <n v="6150"/>
    <n v="1"/>
    <n v="6150"/>
    <x v="237"/>
    <s v="Friday"/>
    <s v="Weekend"/>
  </r>
  <r>
    <s v="ORD-00439"/>
    <s v="CUST0168"/>
    <x v="1"/>
    <x v="0"/>
    <n v="42"/>
    <x v="0"/>
    <x v="4"/>
    <x v="1"/>
    <n v="6150"/>
    <n v="2"/>
    <n v="12300"/>
    <x v="59"/>
    <s v="Tuesday"/>
    <s v="Weekday"/>
  </r>
  <r>
    <s v="ORD-00440"/>
    <s v="CUST0091"/>
    <x v="2"/>
    <x v="2"/>
    <n v="30"/>
    <x v="3"/>
    <x v="4"/>
    <x v="1"/>
    <n v="6150"/>
    <n v="1"/>
    <n v="6150"/>
    <x v="56"/>
    <s v="Thursday"/>
    <s v="Weekday"/>
  </r>
  <r>
    <s v="ORD-00441"/>
    <s v="CUST0066"/>
    <x v="1"/>
    <x v="1"/>
    <n v="37"/>
    <x v="0"/>
    <x v="1"/>
    <x v="1"/>
    <n v="12300"/>
    <n v="3"/>
    <n v="36900"/>
    <x v="254"/>
    <s v="Tuesday"/>
    <s v="Weekday"/>
  </r>
  <r>
    <s v="ORD-00442"/>
    <s v="CUST0186"/>
    <x v="1"/>
    <x v="7"/>
    <n v="55"/>
    <x v="2"/>
    <x v="5"/>
    <x v="1"/>
    <n v="3690"/>
    <n v="1"/>
    <n v="3690"/>
    <x v="210"/>
    <s v="Thursday"/>
    <s v="Weekday"/>
  </r>
  <r>
    <s v="ORD-00443"/>
    <s v="CUST0130"/>
    <x v="0"/>
    <x v="0"/>
    <n v="68"/>
    <x v="1"/>
    <x v="0"/>
    <x v="0"/>
    <n v="36900"/>
    <n v="3"/>
    <n v="110700"/>
    <x v="263"/>
    <s v="Thursday"/>
    <s v="Weekday"/>
  </r>
  <r>
    <s v="ORD-00444"/>
    <s v="CUST0095"/>
    <x v="1"/>
    <x v="0"/>
    <n v="60"/>
    <x v="0"/>
    <x v="4"/>
    <x v="1"/>
    <n v="6150"/>
    <n v="3"/>
    <n v="18450"/>
    <x v="264"/>
    <s v="Saturday"/>
    <s v="Weekend"/>
  </r>
  <r>
    <s v="ORD-00445"/>
    <s v="CUST0095"/>
    <x v="1"/>
    <x v="0"/>
    <n v="60"/>
    <x v="1"/>
    <x v="0"/>
    <x v="0"/>
    <n v="36900"/>
    <n v="4"/>
    <n v="147600"/>
    <x v="78"/>
    <s v="Sunday"/>
    <s v="Weekday"/>
  </r>
  <r>
    <s v="ORD-00446"/>
    <s v="CUST0128"/>
    <x v="1"/>
    <x v="1"/>
    <n v="52"/>
    <x v="0"/>
    <x v="3"/>
    <x v="2"/>
    <n v="24600"/>
    <n v="5"/>
    <n v="123000"/>
    <x v="265"/>
    <s v="Thursday"/>
    <s v="Weekday"/>
  </r>
  <r>
    <s v="ORD-00447"/>
    <s v="CUST0036"/>
    <x v="2"/>
    <x v="0"/>
    <n v="33"/>
    <x v="2"/>
    <x v="4"/>
    <x v="1"/>
    <n v="6150"/>
    <n v="3"/>
    <n v="18450"/>
    <x v="125"/>
    <s v="Sunday"/>
    <s v="Weekday"/>
  </r>
  <r>
    <s v="ORD-00448"/>
    <s v="CUST0016"/>
    <x v="1"/>
    <x v="3"/>
    <n v="61"/>
    <x v="2"/>
    <x v="0"/>
    <x v="0"/>
    <n v="36900"/>
    <n v="1"/>
    <n v="36900"/>
    <x v="35"/>
    <s v="Saturday"/>
    <s v="Weekend"/>
  </r>
  <r>
    <s v="ORD-00449"/>
    <s v="CUST0192"/>
    <x v="0"/>
    <x v="0"/>
    <n v="58"/>
    <x v="3"/>
    <x v="5"/>
    <x v="1"/>
    <n v="3690"/>
    <n v="1"/>
    <n v="3690"/>
    <x v="120"/>
    <s v="Monday"/>
    <s v="Weekday"/>
  </r>
  <r>
    <s v="ORD-00450"/>
    <s v="CUST0013"/>
    <x v="1"/>
    <x v="7"/>
    <n v="55"/>
    <x v="3"/>
    <x v="4"/>
    <x v="1"/>
    <n v="6150"/>
    <n v="4"/>
    <n v="24600"/>
    <x v="44"/>
    <s v="Sunday"/>
    <s v="Weekday"/>
  </r>
  <r>
    <s v="ORD-00451"/>
    <s v="CUST0059"/>
    <x v="1"/>
    <x v="4"/>
    <n v="18"/>
    <x v="2"/>
    <x v="4"/>
    <x v="1"/>
    <n v="6150"/>
    <n v="4"/>
    <n v="24600"/>
    <x v="78"/>
    <s v="Sunday"/>
    <s v="Weekday"/>
  </r>
  <r>
    <s v="ORD-00452"/>
    <s v="CUST0065"/>
    <x v="1"/>
    <x v="0"/>
    <n v="41"/>
    <x v="0"/>
    <x v="6"/>
    <x v="0"/>
    <n v="98400"/>
    <n v="1"/>
    <n v="98400"/>
    <x v="213"/>
    <s v="Thursday"/>
    <s v="Weekday"/>
  </r>
  <r>
    <s v="ORD-00453"/>
    <s v="CUST0025"/>
    <x v="1"/>
    <x v="0"/>
    <n v="56"/>
    <x v="1"/>
    <x v="1"/>
    <x v="1"/>
    <n v="12300"/>
    <n v="3"/>
    <n v="36900"/>
    <x v="217"/>
    <s v="Saturday"/>
    <s v="Weekend"/>
  </r>
  <r>
    <s v="ORD-00454"/>
    <s v="CUST0160"/>
    <x v="0"/>
    <x v="0"/>
    <n v="69"/>
    <x v="2"/>
    <x v="2"/>
    <x v="0"/>
    <n v="184500"/>
    <n v="2"/>
    <n v="369000"/>
    <x v="238"/>
    <s v="Monday"/>
    <s v="Weekday"/>
  </r>
  <r>
    <s v="ORD-00455"/>
    <s v="CUST0096"/>
    <x v="1"/>
    <x v="1"/>
    <n v="61"/>
    <x v="2"/>
    <x v="6"/>
    <x v="0"/>
    <n v="98400"/>
    <n v="5"/>
    <n v="492000"/>
    <x v="266"/>
    <s v="Thursday"/>
    <s v="Weekday"/>
  </r>
  <r>
    <s v="ORD-00456"/>
    <s v="CUST0071"/>
    <x v="2"/>
    <x v="0"/>
    <n v="46"/>
    <x v="0"/>
    <x v="6"/>
    <x v="0"/>
    <n v="98400"/>
    <n v="2"/>
    <n v="196800"/>
    <x v="267"/>
    <s v="Saturday"/>
    <s v="Weekend"/>
  </r>
  <r>
    <s v="ORD-00457"/>
    <s v="CUST0044"/>
    <x v="0"/>
    <x v="0"/>
    <n v="30"/>
    <x v="2"/>
    <x v="3"/>
    <x v="2"/>
    <n v="24600"/>
    <n v="2"/>
    <n v="49200"/>
    <x v="57"/>
    <s v="Tuesday"/>
    <s v="Weekday"/>
  </r>
  <r>
    <s v="ORD-00458"/>
    <s v="CUST0299"/>
    <x v="1"/>
    <x v="5"/>
    <n v="58"/>
    <x v="2"/>
    <x v="6"/>
    <x v="0"/>
    <n v="98400"/>
    <n v="5"/>
    <n v="492000"/>
    <x v="268"/>
    <s v="Saturday"/>
    <s v="Weekend"/>
  </r>
  <r>
    <s v="ORD-00459"/>
    <s v="CUST0291"/>
    <x v="1"/>
    <x v="2"/>
    <n v="49"/>
    <x v="0"/>
    <x v="0"/>
    <x v="0"/>
    <n v="36900"/>
    <n v="3"/>
    <n v="110700"/>
    <x v="107"/>
    <s v="Monday"/>
    <s v="Weekday"/>
  </r>
  <r>
    <s v="ORD-00460"/>
    <s v="CUST0266"/>
    <x v="0"/>
    <x v="1"/>
    <n v="29"/>
    <x v="2"/>
    <x v="0"/>
    <x v="0"/>
    <n v="36900"/>
    <n v="4"/>
    <n v="147600"/>
    <x v="202"/>
    <s v="Monday"/>
    <s v="Weekday"/>
  </r>
  <r>
    <s v="ORD-00461"/>
    <s v="CUST0184"/>
    <x v="1"/>
    <x v="0"/>
    <n v="54"/>
    <x v="3"/>
    <x v="6"/>
    <x v="0"/>
    <n v="98400"/>
    <n v="1"/>
    <n v="98400"/>
    <x v="40"/>
    <s v="Wednesday"/>
    <s v="Weekday"/>
  </r>
  <r>
    <s v="ORD-00462"/>
    <s v="CUST0130"/>
    <x v="0"/>
    <x v="0"/>
    <n v="68"/>
    <x v="3"/>
    <x v="4"/>
    <x v="1"/>
    <n v="6150"/>
    <n v="3"/>
    <n v="18450"/>
    <x v="87"/>
    <s v="Thursday"/>
    <s v="Weekday"/>
  </r>
  <r>
    <s v="ORD-00463"/>
    <s v="CUST0052"/>
    <x v="0"/>
    <x v="0"/>
    <n v="66"/>
    <x v="3"/>
    <x v="0"/>
    <x v="0"/>
    <n v="36900"/>
    <n v="4"/>
    <n v="147600"/>
    <x v="269"/>
    <s v="Tuesday"/>
    <s v="Weekday"/>
  </r>
  <r>
    <s v="ORD-00464"/>
    <s v="CUST0240"/>
    <x v="0"/>
    <x v="7"/>
    <n v="39"/>
    <x v="3"/>
    <x v="4"/>
    <x v="1"/>
    <n v="6150"/>
    <n v="4"/>
    <n v="24600"/>
    <x v="270"/>
    <s v="Thursday"/>
    <s v="Weekday"/>
  </r>
  <r>
    <s v="ORD-00465"/>
    <s v="CUST0054"/>
    <x v="1"/>
    <x v="6"/>
    <n v="64"/>
    <x v="2"/>
    <x v="6"/>
    <x v="0"/>
    <n v="98400"/>
    <n v="1"/>
    <n v="98400"/>
    <x v="225"/>
    <s v="Saturday"/>
    <s v="Weekend"/>
  </r>
  <r>
    <s v="ORD-00466"/>
    <s v="CUST0038"/>
    <x v="0"/>
    <x v="0"/>
    <n v="57"/>
    <x v="1"/>
    <x v="4"/>
    <x v="1"/>
    <n v="6150"/>
    <n v="2"/>
    <n v="12300"/>
    <x v="51"/>
    <s v="Thursday"/>
    <s v="Weekday"/>
  </r>
  <r>
    <s v="ORD-00467"/>
    <s v="CUST0023"/>
    <x v="0"/>
    <x v="1"/>
    <n v="29"/>
    <x v="3"/>
    <x v="0"/>
    <x v="0"/>
    <n v="36900"/>
    <n v="5"/>
    <n v="184500"/>
    <x v="238"/>
    <s v="Monday"/>
    <s v="Weekday"/>
  </r>
  <r>
    <s v="ORD-00468"/>
    <s v="CUST0183"/>
    <x v="1"/>
    <x v="2"/>
    <n v="42"/>
    <x v="3"/>
    <x v="5"/>
    <x v="1"/>
    <n v="3690"/>
    <n v="5"/>
    <n v="18450"/>
    <x v="59"/>
    <s v="Tuesday"/>
    <s v="Weekday"/>
  </r>
  <r>
    <s v="ORD-00469"/>
    <s v="CUST0012"/>
    <x v="0"/>
    <x v="1"/>
    <n v="28"/>
    <x v="2"/>
    <x v="0"/>
    <x v="0"/>
    <n v="36900"/>
    <n v="5"/>
    <n v="184500"/>
    <x v="146"/>
    <s v="Sunday"/>
    <s v="Weekday"/>
  </r>
  <r>
    <s v="ORD-00470"/>
    <s v="CUST0136"/>
    <x v="1"/>
    <x v="0"/>
    <n v="36"/>
    <x v="2"/>
    <x v="5"/>
    <x v="1"/>
    <n v="3690"/>
    <n v="5"/>
    <n v="18450"/>
    <x v="166"/>
    <s v="Tuesday"/>
    <s v="Weekday"/>
  </r>
  <r>
    <s v="ORD-00471"/>
    <s v="CUST0052"/>
    <x v="0"/>
    <x v="0"/>
    <n v="66"/>
    <x v="0"/>
    <x v="5"/>
    <x v="1"/>
    <n v="3690"/>
    <n v="2"/>
    <n v="7380"/>
    <x v="271"/>
    <s v="Monday"/>
    <s v="Weekday"/>
  </r>
  <r>
    <s v="ORD-00472"/>
    <s v="CUST0141"/>
    <x v="2"/>
    <x v="0"/>
    <n v="58"/>
    <x v="3"/>
    <x v="0"/>
    <x v="0"/>
    <n v="36900"/>
    <n v="4"/>
    <n v="147600"/>
    <x v="214"/>
    <s v="Friday"/>
    <s v="Weekend"/>
  </r>
  <r>
    <s v="ORD-00473"/>
    <s v="CUST0144"/>
    <x v="1"/>
    <x v="0"/>
    <n v="54"/>
    <x v="0"/>
    <x v="6"/>
    <x v="0"/>
    <n v="98400"/>
    <n v="5"/>
    <n v="492000"/>
    <x v="272"/>
    <s v="Wednesday"/>
    <s v="Weekday"/>
  </r>
  <r>
    <s v="ORD-00474"/>
    <s v="CUST0156"/>
    <x v="2"/>
    <x v="2"/>
    <n v="57"/>
    <x v="3"/>
    <x v="0"/>
    <x v="0"/>
    <n v="36900"/>
    <n v="1"/>
    <n v="36900"/>
    <x v="63"/>
    <s v="Sunday"/>
    <s v="Weekday"/>
  </r>
  <r>
    <s v="ORD-00475"/>
    <s v="CUST0199"/>
    <x v="2"/>
    <x v="5"/>
    <n v="41"/>
    <x v="1"/>
    <x v="6"/>
    <x v="0"/>
    <n v="98400"/>
    <n v="3"/>
    <n v="295200"/>
    <x v="273"/>
    <s v="Friday"/>
    <s v="Weekend"/>
  </r>
  <r>
    <s v="ORD-00476"/>
    <s v="CUST0197"/>
    <x v="0"/>
    <x v="4"/>
    <n v="54"/>
    <x v="2"/>
    <x v="2"/>
    <x v="0"/>
    <n v="184500"/>
    <n v="4"/>
    <n v="738000"/>
    <x v="272"/>
    <s v="Wednesday"/>
    <s v="Weekday"/>
  </r>
  <r>
    <s v="ORD-00477"/>
    <s v="CUST0196"/>
    <x v="1"/>
    <x v="1"/>
    <n v="37"/>
    <x v="2"/>
    <x v="2"/>
    <x v="0"/>
    <n v="184500"/>
    <n v="1"/>
    <n v="184500"/>
    <x v="110"/>
    <s v="Monday"/>
    <s v="Weekday"/>
  </r>
  <r>
    <s v="ORD-00478"/>
    <s v="CUST0243"/>
    <x v="2"/>
    <x v="3"/>
    <n v="58"/>
    <x v="0"/>
    <x v="1"/>
    <x v="1"/>
    <n v="12300"/>
    <n v="5"/>
    <n v="61500"/>
    <x v="44"/>
    <s v="Sunday"/>
    <s v="Weekday"/>
  </r>
  <r>
    <s v="ORD-00479"/>
    <s v="CUST0182"/>
    <x v="0"/>
    <x v="0"/>
    <n v="19"/>
    <x v="0"/>
    <x v="6"/>
    <x v="0"/>
    <n v="98400"/>
    <n v="4"/>
    <n v="393600"/>
    <x v="150"/>
    <s v="Monday"/>
    <s v="Weekday"/>
  </r>
  <r>
    <s v="ORD-00480"/>
    <s v="CUST0296"/>
    <x v="1"/>
    <x v="1"/>
    <n v="50"/>
    <x v="2"/>
    <x v="0"/>
    <x v="0"/>
    <n v="36900"/>
    <n v="4"/>
    <n v="147600"/>
    <x v="225"/>
    <s v="Saturday"/>
    <s v="Weekend"/>
  </r>
  <r>
    <s v="ORD-00481"/>
    <s v="CUST0296"/>
    <x v="1"/>
    <x v="1"/>
    <n v="50"/>
    <x v="2"/>
    <x v="5"/>
    <x v="1"/>
    <n v="3690"/>
    <n v="1"/>
    <n v="3690"/>
    <x v="274"/>
    <s v="Wednesday"/>
    <s v="Weekday"/>
  </r>
  <r>
    <s v="ORD-00482"/>
    <s v="CUST0264"/>
    <x v="1"/>
    <x v="2"/>
    <n v="59"/>
    <x v="2"/>
    <x v="0"/>
    <x v="0"/>
    <n v="36900"/>
    <n v="3"/>
    <n v="110700"/>
    <x v="275"/>
    <s v="Tuesday"/>
    <s v="Weekday"/>
  </r>
  <r>
    <s v="ORD-00483"/>
    <s v="CUST0136"/>
    <x v="1"/>
    <x v="0"/>
    <n v="36"/>
    <x v="3"/>
    <x v="5"/>
    <x v="1"/>
    <n v="3690"/>
    <n v="5"/>
    <n v="18450"/>
    <x v="276"/>
    <s v="Saturday"/>
    <s v="Weekend"/>
  </r>
  <r>
    <s v="ORD-00484"/>
    <s v="CUST0010"/>
    <x v="2"/>
    <x v="2"/>
    <n v="37"/>
    <x v="3"/>
    <x v="1"/>
    <x v="1"/>
    <n v="12300"/>
    <n v="5"/>
    <n v="61500"/>
    <x v="114"/>
    <s v="Friday"/>
    <s v="Weekend"/>
  </r>
  <r>
    <s v="ORD-00485"/>
    <s v="CUST0131"/>
    <x v="1"/>
    <x v="1"/>
    <n v="67"/>
    <x v="1"/>
    <x v="4"/>
    <x v="1"/>
    <n v="6150"/>
    <n v="5"/>
    <n v="30750"/>
    <x v="38"/>
    <s v="Thursday"/>
    <s v="Weekday"/>
  </r>
  <r>
    <s v="ORD-00486"/>
    <s v="CUST0252"/>
    <x v="0"/>
    <x v="0"/>
    <n v="55"/>
    <x v="3"/>
    <x v="1"/>
    <x v="1"/>
    <n v="12300"/>
    <n v="5"/>
    <n v="61500"/>
    <x v="121"/>
    <s v="Tuesday"/>
    <s v="Weekday"/>
  </r>
  <r>
    <s v="ORD-00487"/>
    <s v="CUST0294"/>
    <x v="1"/>
    <x v="7"/>
    <n v="49"/>
    <x v="2"/>
    <x v="5"/>
    <x v="1"/>
    <n v="3690"/>
    <n v="5"/>
    <n v="18450"/>
    <x v="71"/>
    <s v="Monday"/>
    <s v="Weekday"/>
  </r>
  <r>
    <s v="ORD-00488"/>
    <s v="CUST0253"/>
    <x v="1"/>
    <x v="5"/>
    <n v="51"/>
    <x v="3"/>
    <x v="6"/>
    <x v="0"/>
    <n v="98400"/>
    <n v="5"/>
    <n v="492000"/>
    <x v="178"/>
    <s v="Monday"/>
    <s v="Weekday"/>
  </r>
  <r>
    <s v="ORD-00489"/>
    <s v="CUST0202"/>
    <x v="0"/>
    <x v="2"/>
    <n v="56"/>
    <x v="0"/>
    <x v="3"/>
    <x v="2"/>
    <n v="24600"/>
    <n v="5"/>
    <n v="123000"/>
    <x v="277"/>
    <s v="Monday"/>
    <s v="Weekday"/>
  </r>
  <r>
    <s v="ORD-00490"/>
    <s v="CUST0126"/>
    <x v="0"/>
    <x v="5"/>
    <n v="66"/>
    <x v="2"/>
    <x v="6"/>
    <x v="0"/>
    <n v="98400"/>
    <n v="1"/>
    <n v="98400"/>
    <x v="116"/>
    <s v="Tuesday"/>
    <s v="Weekday"/>
  </r>
  <r>
    <s v="ORD-00491"/>
    <s v="CUST0024"/>
    <x v="1"/>
    <x v="4"/>
    <n v="57"/>
    <x v="3"/>
    <x v="2"/>
    <x v="0"/>
    <n v="184500"/>
    <n v="1"/>
    <n v="184500"/>
    <x v="251"/>
    <s v="Wednesday"/>
    <s v="Weekday"/>
  </r>
  <r>
    <s v="ORD-00492"/>
    <s v="CUST0058"/>
    <x v="2"/>
    <x v="1"/>
    <n v="42"/>
    <x v="2"/>
    <x v="2"/>
    <x v="0"/>
    <n v="184500"/>
    <n v="4"/>
    <n v="738000"/>
    <x v="176"/>
    <s v="Monday"/>
    <s v="Weekday"/>
  </r>
  <r>
    <s v="ORD-00493"/>
    <s v="CUST0170"/>
    <x v="2"/>
    <x v="3"/>
    <n v="40"/>
    <x v="0"/>
    <x v="4"/>
    <x v="1"/>
    <n v="6150"/>
    <n v="2"/>
    <n v="12300"/>
    <x v="117"/>
    <s v="Thursday"/>
    <s v="Weekday"/>
  </r>
  <r>
    <s v="ORD-00494"/>
    <s v="CUST0064"/>
    <x v="0"/>
    <x v="2"/>
    <n v="61"/>
    <x v="0"/>
    <x v="2"/>
    <x v="0"/>
    <n v="184500"/>
    <n v="3"/>
    <n v="553500"/>
    <x v="23"/>
    <s v="Saturday"/>
    <s v="Weekend"/>
  </r>
  <r>
    <s v="ORD-00495"/>
    <s v="CUST0043"/>
    <x v="0"/>
    <x v="3"/>
    <n v="22"/>
    <x v="3"/>
    <x v="4"/>
    <x v="1"/>
    <n v="6150"/>
    <n v="4"/>
    <n v="24600"/>
    <x v="126"/>
    <s v="Thursday"/>
    <s v="Weekday"/>
  </r>
  <r>
    <s v="ORD-00496"/>
    <s v="CUST0103"/>
    <x v="2"/>
    <x v="0"/>
    <n v="23"/>
    <x v="2"/>
    <x v="3"/>
    <x v="2"/>
    <n v="24600"/>
    <n v="5"/>
    <n v="123000"/>
    <x v="274"/>
    <s v="Wednesday"/>
    <s v="Weekday"/>
  </r>
  <r>
    <s v="ORD-00497"/>
    <s v="CUST0032"/>
    <x v="0"/>
    <x v="4"/>
    <n v="63"/>
    <x v="1"/>
    <x v="5"/>
    <x v="1"/>
    <n v="3690"/>
    <n v="4"/>
    <n v="14760"/>
    <x v="278"/>
    <s v="Saturday"/>
    <s v="Weekend"/>
  </r>
  <r>
    <s v="ORD-00498"/>
    <s v="CUST0182"/>
    <x v="0"/>
    <x v="0"/>
    <n v="19"/>
    <x v="0"/>
    <x v="5"/>
    <x v="1"/>
    <n v="3690"/>
    <n v="1"/>
    <n v="3690"/>
    <x v="139"/>
    <s v="Thursday"/>
    <s v="Weekday"/>
  </r>
  <r>
    <s v="ORD-00499"/>
    <s v="CUST0076"/>
    <x v="0"/>
    <x v="0"/>
    <n v="26"/>
    <x v="1"/>
    <x v="1"/>
    <x v="1"/>
    <n v="12300"/>
    <n v="2"/>
    <n v="24600"/>
    <x v="279"/>
    <s v="Tuesday"/>
    <s v="Weekday"/>
  </r>
  <r>
    <s v="ORD-00500"/>
    <s v="CUST0215"/>
    <x v="1"/>
    <x v="5"/>
    <n v="35"/>
    <x v="3"/>
    <x v="0"/>
    <x v="0"/>
    <n v="36900"/>
    <n v="5"/>
    <n v="184500"/>
    <x v="280"/>
    <s v="Sunday"/>
    <s v="Weekday"/>
  </r>
  <r>
    <s v="ORD-00501"/>
    <s v="CUST0105"/>
    <x v="0"/>
    <x v="4"/>
    <n v="27"/>
    <x v="0"/>
    <x v="4"/>
    <x v="1"/>
    <n v="6150"/>
    <n v="5"/>
    <n v="30750"/>
    <x v="281"/>
    <s v="Sunday"/>
    <s v="Weekday"/>
  </r>
  <r>
    <s v="ORD-00502"/>
    <s v="CUST0295"/>
    <x v="2"/>
    <x v="0"/>
    <n v="26"/>
    <x v="1"/>
    <x v="6"/>
    <x v="0"/>
    <n v="98400"/>
    <n v="5"/>
    <n v="492000"/>
    <x v="281"/>
    <s v="Sunday"/>
    <s v="Weekday"/>
  </r>
  <r>
    <s v="ORD-00503"/>
    <s v="CUST0002"/>
    <x v="0"/>
    <x v="2"/>
    <n v="23"/>
    <x v="0"/>
    <x v="4"/>
    <x v="1"/>
    <n v="6150"/>
    <n v="5"/>
    <n v="30750"/>
    <x v="259"/>
    <s v="Friday"/>
    <s v="Weekend"/>
  </r>
  <r>
    <s v="ORD-00504"/>
    <s v="CUST0283"/>
    <x v="1"/>
    <x v="2"/>
    <n v="67"/>
    <x v="1"/>
    <x v="2"/>
    <x v="0"/>
    <n v="184500"/>
    <n v="1"/>
    <n v="184500"/>
    <x v="180"/>
    <s v="Sunday"/>
    <s v="Weekday"/>
  </r>
  <r>
    <s v="ORD-00505"/>
    <s v="CUST0047"/>
    <x v="1"/>
    <x v="1"/>
    <n v="41"/>
    <x v="2"/>
    <x v="2"/>
    <x v="0"/>
    <n v="184500"/>
    <n v="1"/>
    <n v="184500"/>
    <x v="143"/>
    <s v="Saturday"/>
    <s v="Weekend"/>
  </r>
  <r>
    <s v="ORD-00506"/>
    <s v="CUST0153"/>
    <x v="1"/>
    <x v="5"/>
    <n v="40"/>
    <x v="2"/>
    <x v="5"/>
    <x v="1"/>
    <n v="3690"/>
    <n v="2"/>
    <n v="7380"/>
    <x v="73"/>
    <s v="Tuesday"/>
    <s v="Weekday"/>
  </r>
  <r>
    <s v="ORD-00507"/>
    <s v="CUST0047"/>
    <x v="1"/>
    <x v="1"/>
    <n v="41"/>
    <x v="3"/>
    <x v="1"/>
    <x v="1"/>
    <n v="12300"/>
    <n v="2"/>
    <n v="24600"/>
    <x v="9"/>
    <s v="Sunday"/>
    <s v="Weekday"/>
  </r>
  <r>
    <s v="ORD-00508"/>
    <s v="CUST0269"/>
    <x v="0"/>
    <x v="1"/>
    <n v="64"/>
    <x v="0"/>
    <x v="0"/>
    <x v="0"/>
    <n v="36900"/>
    <n v="4"/>
    <n v="147600"/>
    <x v="282"/>
    <s v="Saturday"/>
    <s v="Weekend"/>
  </r>
  <r>
    <s v="ORD-00509"/>
    <s v="CUST0022"/>
    <x v="1"/>
    <x v="0"/>
    <n v="33"/>
    <x v="1"/>
    <x v="2"/>
    <x v="0"/>
    <n v="184500"/>
    <n v="2"/>
    <n v="369000"/>
    <x v="283"/>
    <s v="Saturday"/>
    <s v="Weekend"/>
  </r>
  <r>
    <s v="ORD-00510"/>
    <s v="CUST0106"/>
    <x v="1"/>
    <x v="0"/>
    <n v="50"/>
    <x v="3"/>
    <x v="6"/>
    <x v="0"/>
    <n v="98400"/>
    <n v="3"/>
    <n v="295200"/>
    <x v="98"/>
    <s v="Monday"/>
    <s v="Weekday"/>
  </r>
  <r>
    <s v="ORD-00511"/>
    <s v="CUST0284"/>
    <x v="1"/>
    <x v="0"/>
    <n v="64"/>
    <x v="2"/>
    <x v="1"/>
    <x v="1"/>
    <n v="12300"/>
    <n v="2"/>
    <n v="24600"/>
    <x v="241"/>
    <s v="Saturday"/>
    <s v="Weekend"/>
  </r>
  <r>
    <s v="ORD-00512"/>
    <s v="CUST0149"/>
    <x v="0"/>
    <x v="0"/>
    <n v="40"/>
    <x v="2"/>
    <x v="2"/>
    <x v="0"/>
    <n v="184500"/>
    <n v="1"/>
    <n v="184500"/>
    <x v="79"/>
    <s v="Saturday"/>
    <s v="Weekend"/>
  </r>
  <r>
    <s v="ORD-00513"/>
    <s v="CUST0068"/>
    <x v="0"/>
    <x v="0"/>
    <n v="64"/>
    <x v="3"/>
    <x v="3"/>
    <x v="2"/>
    <n v="24600"/>
    <n v="3"/>
    <n v="73800"/>
    <x v="260"/>
    <s v="Friday"/>
    <s v="Weekend"/>
  </r>
  <r>
    <s v="ORD-00514"/>
    <s v="CUST0289"/>
    <x v="1"/>
    <x v="3"/>
    <n v="37"/>
    <x v="0"/>
    <x v="3"/>
    <x v="2"/>
    <n v="24600"/>
    <n v="5"/>
    <n v="123000"/>
    <x v="112"/>
    <s v="Saturday"/>
    <s v="Weekend"/>
  </r>
  <r>
    <s v="ORD-00515"/>
    <s v="CUST0247"/>
    <x v="0"/>
    <x v="1"/>
    <n v="44"/>
    <x v="1"/>
    <x v="2"/>
    <x v="0"/>
    <n v="184500"/>
    <n v="3"/>
    <n v="553500"/>
    <x v="132"/>
    <s v="Monday"/>
    <s v="Weekday"/>
  </r>
  <r>
    <s v="ORD-00516"/>
    <s v="CUST0295"/>
    <x v="2"/>
    <x v="0"/>
    <n v="26"/>
    <x v="2"/>
    <x v="2"/>
    <x v="0"/>
    <n v="184500"/>
    <n v="3"/>
    <n v="553500"/>
    <x v="145"/>
    <s v="Saturday"/>
    <s v="Weekend"/>
  </r>
  <r>
    <s v="ORD-00517"/>
    <s v="CUST0236"/>
    <x v="0"/>
    <x v="0"/>
    <n v="18"/>
    <x v="3"/>
    <x v="2"/>
    <x v="0"/>
    <n v="184500"/>
    <n v="2"/>
    <n v="369000"/>
    <x v="150"/>
    <s v="Monday"/>
    <s v="Weekday"/>
  </r>
  <r>
    <s v="ORD-00518"/>
    <s v="CUST0148"/>
    <x v="0"/>
    <x v="7"/>
    <n v="67"/>
    <x v="2"/>
    <x v="4"/>
    <x v="1"/>
    <n v="6150"/>
    <n v="4"/>
    <n v="24600"/>
    <x v="209"/>
    <s v="Sunday"/>
    <s v="Weekday"/>
  </r>
  <r>
    <s v="ORD-00519"/>
    <s v="CUST0122"/>
    <x v="0"/>
    <x v="0"/>
    <n v="68"/>
    <x v="2"/>
    <x v="1"/>
    <x v="1"/>
    <n v="12300"/>
    <n v="4"/>
    <n v="49200"/>
    <x v="181"/>
    <s v="Wednesday"/>
    <s v="Weekday"/>
  </r>
  <r>
    <s v="ORD-00520"/>
    <s v="CUST0246"/>
    <x v="1"/>
    <x v="0"/>
    <n v="64"/>
    <x v="1"/>
    <x v="0"/>
    <x v="0"/>
    <n v="36900"/>
    <n v="3"/>
    <n v="110700"/>
    <x v="54"/>
    <s v="Friday"/>
    <s v="Weekend"/>
  </r>
  <r>
    <s v="ORD-00521"/>
    <s v="CUST0282"/>
    <x v="0"/>
    <x v="0"/>
    <n v="68"/>
    <x v="0"/>
    <x v="2"/>
    <x v="0"/>
    <n v="184500"/>
    <n v="4"/>
    <n v="738000"/>
    <x v="127"/>
    <s v="Tuesday"/>
    <s v="Weekday"/>
  </r>
  <r>
    <s v="ORD-00522"/>
    <s v="CUST0204"/>
    <x v="0"/>
    <x v="1"/>
    <n v="54"/>
    <x v="0"/>
    <x v="1"/>
    <x v="1"/>
    <n v="12300"/>
    <n v="5"/>
    <n v="61500"/>
    <x v="218"/>
    <s v="Friday"/>
    <s v="Weekend"/>
  </r>
  <r>
    <s v="ORD-00523"/>
    <s v="CUST0053"/>
    <x v="1"/>
    <x v="5"/>
    <n v="25"/>
    <x v="1"/>
    <x v="2"/>
    <x v="0"/>
    <n v="184500"/>
    <n v="4"/>
    <n v="738000"/>
    <x v="172"/>
    <s v="Monday"/>
    <s v="Weekday"/>
  </r>
  <r>
    <s v="ORD-00524"/>
    <s v="CUST0036"/>
    <x v="2"/>
    <x v="0"/>
    <n v="33"/>
    <x v="3"/>
    <x v="6"/>
    <x v="0"/>
    <n v="98400"/>
    <n v="4"/>
    <n v="393600"/>
    <x v="208"/>
    <s v="Sunday"/>
    <s v="Weekday"/>
  </r>
  <r>
    <s v="ORD-00525"/>
    <s v="CUST0085"/>
    <x v="0"/>
    <x v="1"/>
    <n v="18"/>
    <x v="3"/>
    <x v="6"/>
    <x v="0"/>
    <n v="98400"/>
    <n v="5"/>
    <n v="492000"/>
    <x v="243"/>
    <s v="Tuesday"/>
    <s v="Weekday"/>
  </r>
  <r>
    <s v="ORD-00526"/>
    <s v="CUST0071"/>
    <x v="2"/>
    <x v="0"/>
    <n v="46"/>
    <x v="0"/>
    <x v="1"/>
    <x v="1"/>
    <n v="12300"/>
    <n v="1"/>
    <n v="12300"/>
    <x v="25"/>
    <s v="Monday"/>
    <s v="Weekday"/>
  </r>
  <r>
    <s v="ORD-00527"/>
    <s v="CUST0248"/>
    <x v="2"/>
    <x v="7"/>
    <n v="67"/>
    <x v="2"/>
    <x v="0"/>
    <x v="0"/>
    <n v="36900"/>
    <n v="1"/>
    <n v="36900"/>
    <x v="119"/>
    <s v="Sunday"/>
    <s v="Weekday"/>
  </r>
  <r>
    <s v="ORD-00528"/>
    <s v="CUST0088"/>
    <x v="2"/>
    <x v="5"/>
    <n v="66"/>
    <x v="2"/>
    <x v="1"/>
    <x v="1"/>
    <n v="12300"/>
    <n v="5"/>
    <n v="61500"/>
    <x v="207"/>
    <s v="Thursday"/>
    <s v="Weekday"/>
  </r>
  <r>
    <s v="ORD-00529"/>
    <s v="CUST0020"/>
    <x v="1"/>
    <x v="1"/>
    <n v="55"/>
    <x v="3"/>
    <x v="0"/>
    <x v="0"/>
    <n v="36900"/>
    <n v="1"/>
    <n v="36900"/>
    <x v="284"/>
    <s v="Thursday"/>
    <s v="Weekday"/>
  </r>
  <r>
    <s v="ORD-00530"/>
    <s v="CUST0274"/>
    <x v="2"/>
    <x v="1"/>
    <n v="51"/>
    <x v="1"/>
    <x v="2"/>
    <x v="0"/>
    <n v="184500"/>
    <n v="5"/>
    <n v="922500"/>
    <x v="267"/>
    <s v="Saturday"/>
    <s v="Weekend"/>
  </r>
  <r>
    <s v="ORD-00531"/>
    <s v="CUST0196"/>
    <x v="1"/>
    <x v="1"/>
    <n v="37"/>
    <x v="2"/>
    <x v="3"/>
    <x v="2"/>
    <n v="24600"/>
    <n v="5"/>
    <n v="123000"/>
    <x v="9"/>
    <s v="Sunday"/>
    <s v="Weekday"/>
  </r>
  <r>
    <s v="ORD-00532"/>
    <s v="CUST0022"/>
    <x v="1"/>
    <x v="0"/>
    <n v="33"/>
    <x v="3"/>
    <x v="6"/>
    <x v="0"/>
    <n v="98400"/>
    <n v="3"/>
    <n v="295200"/>
    <x v="269"/>
    <s v="Tuesday"/>
    <s v="Weekday"/>
  </r>
  <r>
    <s v="ORD-00533"/>
    <s v="CUST0211"/>
    <x v="2"/>
    <x v="0"/>
    <n v="35"/>
    <x v="1"/>
    <x v="4"/>
    <x v="1"/>
    <n v="6150"/>
    <n v="1"/>
    <n v="6150"/>
    <x v="153"/>
    <s v="Saturday"/>
    <s v="Weekend"/>
  </r>
  <r>
    <s v="ORD-00534"/>
    <s v="CUST0152"/>
    <x v="0"/>
    <x v="0"/>
    <n v="69"/>
    <x v="0"/>
    <x v="3"/>
    <x v="2"/>
    <n v="24600"/>
    <n v="3"/>
    <n v="73800"/>
    <x v="285"/>
    <s v="Sunday"/>
    <s v="Weekday"/>
  </r>
  <r>
    <s v="ORD-00535"/>
    <s v="CUST0042"/>
    <x v="1"/>
    <x v="1"/>
    <n v="57"/>
    <x v="1"/>
    <x v="3"/>
    <x v="2"/>
    <n v="24600"/>
    <n v="5"/>
    <n v="123000"/>
    <x v="286"/>
    <s v="Wednesday"/>
    <s v="Weekday"/>
  </r>
  <r>
    <s v="ORD-00536"/>
    <s v="CUST0235"/>
    <x v="0"/>
    <x v="6"/>
    <n v="19"/>
    <x v="0"/>
    <x v="1"/>
    <x v="1"/>
    <n v="12300"/>
    <n v="5"/>
    <n v="61500"/>
    <x v="169"/>
    <s v="Saturday"/>
    <s v="Weekend"/>
  </r>
  <r>
    <s v="ORD-00537"/>
    <s v="CUST0206"/>
    <x v="2"/>
    <x v="0"/>
    <n v="43"/>
    <x v="3"/>
    <x v="2"/>
    <x v="0"/>
    <n v="184500"/>
    <n v="5"/>
    <n v="922500"/>
    <x v="118"/>
    <s v="Wednesday"/>
    <s v="Weekday"/>
  </r>
  <r>
    <s v="ORD-00538"/>
    <s v="CUST0103"/>
    <x v="2"/>
    <x v="0"/>
    <n v="23"/>
    <x v="1"/>
    <x v="5"/>
    <x v="1"/>
    <n v="3690"/>
    <n v="2"/>
    <n v="7380"/>
    <x v="287"/>
    <s v="Saturday"/>
    <s v="Weekend"/>
  </r>
  <r>
    <s v="ORD-00539"/>
    <s v="CUST0179"/>
    <x v="0"/>
    <x v="0"/>
    <n v="45"/>
    <x v="3"/>
    <x v="6"/>
    <x v="0"/>
    <n v="98400"/>
    <n v="4"/>
    <n v="393600"/>
    <x v="160"/>
    <s v="Thursday"/>
    <s v="Weekday"/>
  </r>
  <r>
    <s v="ORD-00540"/>
    <s v="CUST0157"/>
    <x v="1"/>
    <x v="0"/>
    <n v="48"/>
    <x v="0"/>
    <x v="4"/>
    <x v="1"/>
    <n v="6150"/>
    <n v="4"/>
    <n v="24600"/>
    <x v="288"/>
    <s v="Monday"/>
    <s v="Weekday"/>
  </r>
  <r>
    <s v="ORD-00541"/>
    <s v="CUST0272"/>
    <x v="2"/>
    <x v="5"/>
    <n v="52"/>
    <x v="2"/>
    <x v="5"/>
    <x v="1"/>
    <n v="3690"/>
    <n v="3"/>
    <n v="11070"/>
    <x v="224"/>
    <s v="Thursday"/>
    <s v="Weekday"/>
  </r>
  <r>
    <s v="ORD-00542"/>
    <s v="CUST0071"/>
    <x v="2"/>
    <x v="0"/>
    <n v="46"/>
    <x v="2"/>
    <x v="1"/>
    <x v="1"/>
    <n v="12300"/>
    <n v="5"/>
    <n v="61500"/>
    <x v="82"/>
    <s v="Wednesday"/>
    <s v="Weekday"/>
  </r>
  <r>
    <s v="ORD-00543"/>
    <s v="CUST0268"/>
    <x v="0"/>
    <x v="0"/>
    <n v="21"/>
    <x v="0"/>
    <x v="4"/>
    <x v="1"/>
    <n v="6150"/>
    <n v="3"/>
    <n v="18450"/>
    <x v="79"/>
    <s v="Saturday"/>
    <s v="Weekend"/>
  </r>
  <r>
    <s v="ORD-00544"/>
    <s v="CUST0017"/>
    <x v="1"/>
    <x v="0"/>
    <n v="36"/>
    <x v="2"/>
    <x v="4"/>
    <x v="1"/>
    <n v="6150"/>
    <n v="5"/>
    <n v="30750"/>
    <x v="289"/>
    <s v="Sunday"/>
    <s v="Weekday"/>
  </r>
  <r>
    <s v="ORD-00545"/>
    <s v="CUST0221"/>
    <x v="0"/>
    <x v="7"/>
    <n v="33"/>
    <x v="2"/>
    <x v="0"/>
    <x v="0"/>
    <n v="36900"/>
    <n v="3"/>
    <n v="110700"/>
    <x v="212"/>
    <s v="Wednesday"/>
    <s v="Weekday"/>
  </r>
  <r>
    <s v="ORD-00546"/>
    <s v="CUST0213"/>
    <x v="1"/>
    <x v="7"/>
    <n v="45"/>
    <x v="1"/>
    <x v="5"/>
    <x v="1"/>
    <n v="3690"/>
    <n v="2"/>
    <n v="7380"/>
    <x v="290"/>
    <s v="Sunday"/>
    <s v="Weekday"/>
  </r>
  <r>
    <s v="ORD-00547"/>
    <s v="CUST0077"/>
    <x v="0"/>
    <x v="1"/>
    <n v="50"/>
    <x v="1"/>
    <x v="0"/>
    <x v="0"/>
    <n v="36900"/>
    <n v="3"/>
    <n v="110700"/>
    <x v="170"/>
    <s v="Sunday"/>
    <s v="Weekday"/>
  </r>
  <r>
    <s v="ORD-00548"/>
    <s v="CUST0253"/>
    <x v="1"/>
    <x v="5"/>
    <n v="51"/>
    <x v="2"/>
    <x v="1"/>
    <x v="1"/>
    <n v="12300"/>
    <n v="4"/>
    <n v="49200"/>
    <x v="124"/>
    <s v="Monday"/>
    <s v="Weekday"/>
  </r>
  <r>
    <s v="ORD-00549"/>
    <s v="CUST0253"/>
    <x v="1"/>
    <x v="5"/>
    <n v="51"/>
    <x v="1"/>
    <x v="4"/>
    <x v="1"/>
    <n v="6150"/>
    <n v="3"/>
    <n v="18450"/>
    <x v="152"/>
    <s v="Tuesday"/>
    <s v="Weekday"/>
  </r>
  <r>
    <s v="ORD-00550"/>
    <s v="CUST0225"/>
    <x v="2"/>
    <x v="0"/>
    <n v="65"/>
    <x v="0"/>
    <x v="3"/>
    <x v="2"/>
    <n v="24600"/>
    <n v="1"/>
    <n v="24600"/>
    <x v="184"/>
    <s v="Sunday"/>
    <s v="Weekday"/>
  </r>
  <r>
    <s v="ORD-00551"/>
    <s v="CUST0091"/>
    <x v="2"/>
    <x v="2"/>
    <n v="30"/>
    <x v="1"/>
    <x v="1"/>
    <x v="1"/>
    <n v="12300"/>
    <n v="1"/>
    <n v="12300"/>
    <x v="10"/>
    <s v="Thursday"/>
    <s v="Weekday"/>
  </r>
  <r>
    <s v="ORD-00552"/>
    <s v="CUST0142"/>
    <x v="0"/>
    <x v="1"/>
    <n v="32"/>
    <x v="1"/>
    <x v="4"/>
    <x v="1"/>
    <n v="6150"/>
    <n v="5"/>
    <n v="30750"/>
    <x v="29"/>
    <s v="Wednesday"/>
    <s v="Weekday"/>
  </r>
  <r>
    <s v="ORD-00553"/>
    <s v="CUST0142"/>
    <x v="0"/>
    <x v="1"/>
    <n v="32"/>
    <x v="1"/>
    <x v="0"/>
    <x v="0"/>
    <n v="36900"/>
    <n v="1"/>
    <n v="36900"/>
    <x v="131"/>
    <s v="Monday"/>
    <s v="Weekday"/>
  </r>
  <r>
    <s v="ORD-00554"/>
    <s v="CUST0032"/>
    <x v="0"/>
    <x v="4"/>
    <n v="63"/>
    <x v="3"/>
    <x v="6"/>
    <x v="0"/>
    <n v="98400"/>
    <n v="2"/>
    <n v="196800"/>
    <x v="0"/>
    <s v="Friday"/>
    <s v="Weekend"/>
  </r>
  <r>
    <s v="ORD-00555"/>
    <s v="CUST0011"/>
    <x v="2"/>
    <x v="0"/>
    <n v="54"/>
    <x v="0"/>
    <x v="4"/>
    <x v="1"/>
    <n v="6150"/>
    <n v="1"/>
    <n v="6150"/>
    <x v="291"/>
    <s v="Saturday"/>
    <s v="Weekend"/>
  </r>
  <r>
    <s v="ORD-00556"/>
    <s v="CUST0204"/>
    <x v="0"/>
    <x v="1"/>
    <n v="54"/>
    <x v="2"/>
    <x v="2"/>
    <x v="0"/>
    <n v="184500"/>
    <n v="5"/>
    <n v="922500"/>
    <x v="152"/>
    <s v="Tuesday"/>
    <s v="Weekday"/>
  </r>
  <r>
    <s v="ORD-00557"/>
    <s v="CUST0068"/>
    <x v="0"/>
    <x v="0"/>
    <n v="64"/>
    <x v="2"/>
    <x v="3"/>
    <x v="2"/>
    <n v="24600"/>
    <n v="2"/>
    <n v="49200"/>
    <x v="203"/>
    <s v="Sunday"/>
    <s v="Weekday"/>
  </r>
  <r>
    <s v="ORD-00558"/>
    <s v="CUST0222"/>
    <x v="1"/>
    <x v="0"/>
    <n v="61"/>
    <x v="3"/>
    <x v="5"/>
    <x v="1"/>
    <n v="3690"/>
    <n v="2"/>
    <n v="7380"/>
    <x v="292"/>
    <s v="Monday"/>
    <s v="Weekday"/>
  </r>
  <r>
    <s v="ORD-00559"/>
    <s v="CUST0145"/>
    <x v="0"/>
    <x v="2"/>
    <n v="51"/>
    <x v="1"/>
    <x v="2"/>
    <x v="0"/>
    <n v="184500"/>
    <n v="1"/>
    <n v="184500"/>
    <x v="106"/>
    <s v="Tuesday"/>
    <s v="Weekday"/>
  </r>
  <r>
    <s v="ORD-00560"/>
    <s v="CUST0083"/>
    <x v="0"/>
    <x v="2"/>
    <n v="28"/>
    <x v="0"/>
    <x v="2"/>
    <x v="0"/>
    <n v="184500"/>
    <n v="1"/>
    <n v="184500"/>
    <x v="12"/>
    <s v="Friday"/>
    <s v="Weekend"/>
  </r>
  <r>
    <s v="ORD-00561"/>
    <s v="CUST0158"/>
    <x v="1"/>
    <x v="1"/>
    <n v="51"/>
    <x v="0"/>
    <x v="1"/>
    <x v="1"/>
    <n v="12300"/>
    <n v="3"/>
    <n v="36900"/>
    <x v="293"/>
    <s v="Monday"/>
    <s v="Weekday"/>
  </r>
  <r>
    <s v="ORD-00562"/>
    <s v="CUST0063"/>
    <x v="0"/>
    <x v="0"/>
    <n v="20"/>
    <x v="2"/>
    <x v="2"/>
    <x v="0"/>
    <n v="184500"/>
    <n v="5"/>
    <n v="922500"/>
    <x v="23"/>
    <s v="Saturday"/>
    <s v="Weekend"/>
  </r>
  <r>
    <s v="ORD-00563"/>
    <s v="CUST0249"/>
    <x v="0"/>
    <x v="0"/>
    <n v="33"/>
    <x v="3"/>
    <x v="0"/>
    <x v="0"/>
    <n v="36900"/>
    <n v="5"/>
    <n v="184500"/>
    <x v="61"/>
    <s v="Monday"/>
    <s v="Weekday"/>
  </r>
  <r>
    <s v="ORD-00564"/>
    <s v="CUST0012"/>
    <x v="0"/>
    <x v="1"/>
    <n v="28"/>
    <x v="3"/>
    <x v="0"/>
    <x v="0"/>
    <n v="36900"/>
    <n v="2"/>
    <n v="73800"/>
    <x v="102"/>
    <s v="Saturday"/>
    <s v="Weekend"/>
  </r>
  <r>
    <s v="ORD-00565"/>
    <s v="CUST0038"/>
    <x v="0"/>
    <x v="0"/>
    <n v="57"/>
    <x v="3"/>
    <x v="0"/>
    <x v="0"/>
    <n v="36900"/>
    <n v="2"/>
    <n v="73800"/>
    <x v="294"/>
    <s v="Monday"/>
    <s v="Weekday"/>
  </r>
  <r>
    <s v="ORD-00566"/>
    <s v="CUST0216"/>
    <x v="0"/>
    <x v="3"/>
    <n v="53"/>
    <x v="3"/>
    <x v="4"/>
    <x v="1"/>
    <n v="6150"/>
    <n v="5"/>
    <n v="30750"/>
    <x v="47"/>
    <s v="Friday"/>
    <s v="Weekend"/>
  </r>
  <r>
    <s v="ORD-00567"/>
    <s v="CUST0172"/>
    <x v="1"/>
    <x v="5"/>
    <n v="56"/>
    <x v="0"/>
    <x v="0"/>
    <x v="0"/>
    <n v="36900"/>
    <n v="5"/>
    <n v="184500"/>
    <x v="168"/>
    <s v="Thursday"/>
    <s v="Weekday"/>
  </r>
  <r>
    <s v="ORD-00568"/>
    <s v="CUST0048"/>
    <x v="0"/>
    <x v="7"/>
    <n v="34"/>
    <x v="1"/>
    <x v="0"/>
    <x v="0"/>
    <n v="36900"/>
    <n v="2"/>
    <n v="73800"/>
    <x v="183"/>
    <s v="Saturday"/>
    <s v="Weekend"/>
  </r>
  <r>
    <s v="ORD-00569"/>
    <s v="CUST0260"/>
    <x v="0"/>
    <x v="0"/>
    <n v="32"/>
    <x v="2"/>
    <x v="0"/>
    <x v="0"/>
    <n v="36900"/>
    <n v="2"/>
    <n v="73800"/>
    <x v="15"/>
    <s v="Friday"/>
    <s v="Weekend"/>
  </r>
  <r>
    <s v="ORD-00570"/>
    <s v="CUST0063"/>
    <x v="0"/>
    <x v="0"/>
    <n v="20"/>
    <x v="0"/>
    <x v="3"/>
    <x v="2"/>
    <n v="24600"/>
    <n v="4"/>
    <n v="98400"/>
    <x v="52"/>
    <s v="Wednesday"/>
    <s v="Weekday"/>
  </r>
  <r>
    <s v="ORD-00571"/>
    <s v="CUST0218"/>
    <x v="0"/>
    <x v="2"/>
    <n v="36"/>
    <x v="3"/>
    <x v="2"/>
    <x v="0"/>
    <n v="184500"/>
    <n v="4"/>
    <n v="738000"/>
    <x v="22"/>
    <s v="Tuesday"/>
    <s v="Weekday"/>
  </r>
  <r>
    <s v="ORD-00572"/>
    <s v="CUST0263"/>
    <x v="1"/>
    <x v="0"/>
    <n v="40"/>
    <x v="3"/>
    <x v="6"/>
    <x v="0"/>
    <n v="98400"/>
    <n v="2"/>
    <n v="196800"/>
    <x v="295"/>
    <s v="Monday"/>
    <s v="Weekday"/>
  </r>
  <r>
    <s v="ORD-00573"/>
    <s v="CUST0160"/>
    <x v="0"/>
    <x v="0"/>
    <n v="69"/>
    <x v="2"/>
    <x v="0"/>
    <x v="0"/>
    <n v="36900"/>
    <n v="2"/>
    <n v="73800"/>
    <x v="175"/>
    <s v="Saturday"/>
    <s v="Weekend"/>
  </r>
  <r>
    <s v="ORD-00574"/>
    <s v="CUST0250"/>
    <x v="1"/>
    <x v="1"/>
    <n v="64"/>
    <x v="1"/>
    <x v="6"/>
    <x v="0"/>
    <n v="98400"/>
    <n v="2"/>
    <n v="196800"/>
    <x v="149"/>
    <s v="Saturday"/>
    <s v="Weekend"/>
  </r>
  <r>
    <s v="ORD-00575"/>
    <s v="CUST0038"/>
    <x v="0"/>
    <x v="0"/>
    <n v="57"/>
    <x v="1"/>
    <x v="4"/>
    <x v="1"/>
    <n v="6150"/>
    <n v="3"/>
    <n v="18450"/>
    <x v="59"/>
    <s v="Tuesday"/>
    <s v="Weekday"/>
  </r>
  <r>
    <s v="ORD-00576"/>
    <s v="CUST0048"/>
    <x v="0"/>
    <x v="7"/>
    <n v="34"/>
    <x v="1"/>
    <x v="0"/>
    <x v="0"/>
    <n v="36900"/>
    <n v="2"/>
    <n v="73800"/>
    <x v="296"/>
    <s v="Friday"/>
    <s v="Weekend"/>
  </r>
  <r>
    <s v="ORD-00577"/>
    <s v="CUST0183"/>
    <x v="1"/>
    <x v="2"/>
    <n v="42"/>
    <x v="3"/>
    <x v="0"/>
    <x v="0"/>
    <n v="36900"/>
    <n v="3"/>
    <n v="110700"/>
    <x v="61"/>
    <s v="Monday"/>
    <s v="Weekday"/>
  </r>
  <r>
    <s v="ORD-00578"/>
    <s v="CUST0240"/>
    <x v="0"/>
    <x v="7"/>
    <n v="39"/>
    <x v="0"/>
    <x v="1"/>
    <x v="1"/>
    <n v="12300"/>
    <n v="1"/>
    <n v="12300"/>
    <x v="98"/>
    <s v="Monday"/>
    <s v="Weekday"/>
  </r>
  <r>
    <s v="ORD-00579"/>
    <s v="CUST0155"/>
    <x v="2"/>
    <x v="1"/>
    <n v="41"/>
    <x v="0"/>
    <x v="3"/>
    <x v="2"/>
    <n v="24600"/>
    <n v="1"/>
    <n v="24600"/>
    <x v="297"/>
    <s v="Thursday"/>
    <s v="Weekday"/>
  </r>
  <r>
    <s v="ORD-00580"/>
    <s v="CUST0185"/>
    <x v="1"/>
    <x v="1"/>
    <n v="29"/>
    <x v="1"/>
    <x v="2"/>
    <x v="0"/>
    <n v="184500"/>
    <n v="5"/>
    <n v="922500"/>
    <x v="238"/>
    <s v="Monday"/>
    <s v="Weekday"/>
  </r>
  <r>
    <s v="ORD-00581"/>
    <s v="CUST0229"/>
    <x v="2"/>
    <x v="2"/>
    <n v="45"/>
    <x v="2"/>
    <x v="1"/>
    <x v="1"/>
    <n v="12300"/>
    <n v="4"/>
    <n v="49200"/>
    <x v="202"/>
    <s v="Monday"/>
    <s v="Weekday"/>
  </r>
  <r>
    <s v="ORD-00582"/>
    <s v="CUST0229"/>
    <x v="2"/>
    <x v="2"/>
    <n v="45"/>
    <x v="1"/>
    <x v="5"/>
    <x v="1"/>
    <n v="3690"/>
    <n v="3"/>
    <n v="11070"/>
    <x v="80"/>
    <s v="Saturday"/>
    <s v="Weekend"/>
  </r>
  <r>
    <s v="ORD-00583"/>
    <s v="CUST0139"/>
    <x v="0"/>
    <x v="1"/>
    <n v="57"/>
    <x v="1"/>
    <x v="5"/>
    <x v="1"/>
    <n v="3690"/>
    <n v="5"/>
    <n v="18450"/>
    <x v="267"/>
    <s v="Saturday"/>
    <s v="Weekend"/>
  </r>
  <r>
    <s v="ORD-00584"/>
    <s v="CUST0009"/>
    <x v="0"/>
    <x v="0"/>
    <n v="50"/>
    <x v="2"/>
    <x v="1"/>
    <x v="1"/>
    <n v="12300"/>
    <n v="2"/>
    <n v="24600"/>
    <x v="209"/>
    <s v="Sunday"/>
    <s v="Weekday"/>
  </r>
  <r>
    <s v="ORD-00585"/>
    <s v="CUST0095"/>
    <x v="1"/>
    <x v="0"/>
    <n v="60"/>
    <x v="1"/>
    <x v="4"/>
    <x v="1"/>
    <n v="6150"/>
    <n v="5"/>
    <n v="30750"/>
    <x v="298"/>
    <s v="Tuesday"/>
    <s v="Weekday"/>
  </r>
  <r>
    <s v="ORD-00586"/>
    <s v="CUST0001"/>
    <x v="2"/>
    <x v="1"/>
    <n v="38"/>
    <x v="2"/>
    <x v="4"/>
    <x v="1"/>
    <n v="6150"/>
    <n v="3"/>
    <n v="18450"/>
    <x v="253"/>
    <s v="Monday"/>
    <s v="Weekday"/>
  </r>
  <r>
    <s v="ORD-00587"/>
    <s v="CUST0200"/>
    <x v="1"/>
    <x v="0"/>
    <n v="68"/>
    <x v="2"/>
    <x v="2"/>
    <x v="0"/>
    <n v="184500"/>
    <n v="3"/>
    <n v="553500"/>
    <x v="10"/>
    <s v="Thursday"/>
    <s v="Weekday"/>
  </r>
  <r>
    <s v="ORD-00588"/>
    <s v="CUST0086"/>
    <x v="0"/>
    <x v="7"/>
    <n v="26"/>
    <x v="0"/>
    <x v="3"/>
    <x v="2"/>
    <n v="24600"/>
    <n v="5"/>
    <n v="123000"/>
    <x v="299"/>
    <s v="Monday"/>
    <s v="Weekday"/>
  </r>
  <r>
    <s v="ORD-00589"/>
    <s v="CUST0193"/>
    <x v="2"/>
    <x v="1"/>
    <n v="64"/>
    <x v="2"/>
    <x v="0"/>
    <x v="0"/>
    <n v="36900"/>
    <n v="3"/>
    <n v="110700"/>
    <x v="300"/>
    <s v="Sunday"/>
    <s v="Weekday"/>
  </r>
  <r>
    <s v="ORD-00590"/>
    <s v="CUST0193"/>
    <x v="2"/>
    <x v="1"/>
    <n v="64"/>
    <x v="1"/>
    <x v="1"/>
    <x v="1"/>
    <n v="12300"/>
    <n v="4"/>
    <n v="49200"/>
    <x v="301"/>
    <s v="Saturday"/>
    <s v="Weekend"/>
  </r>
  <r>
    <s v="ORD-00591"/>
    <s v="CUST0044"/>
    <x v="0"/>
    <x v="0"/>
    <n v="30"/>
    <x v="2"/>
    <x v="0"/>
    <x v="0"/>
    <n v="36900"/>
    <n v="4"/>
    <n v="147600"/>
    <x v="302"/>
    <s v="Sunday"/>
    <s v="Weekday"/>
  </r>
  <r>
    <s v="ORD-00592"/>
    <s v="CUST0187"/>
    <x v="2"/>
    <x v="0"/>
    <n v="25"/>
    <x v="1"/>
    <x v="2"/>
    <x v="0"/>
    <n v="184500"/>
    <n v="5"/>
    <n v="922500"/>
    <x v="129"/>
    <s v="Saturday"/>
    <s v="Weekend"/>
  </r>
  <r>
    <s v="ORD-00593"/>
    <s v="CUST0006"/>
    <x v="2"/>
    <x v="0"/>
    <n v="52"/>
    <x v="2"/>
    <x v="1"/>
    <x v="1"/>
    <n v="12300"/>
    <n v="2"/>
    <n v="24600"/>
    <x v="90"/>
    <s v="Tuesday"/>
    <s v="Weekday"/>
  </r>
  <r>
    <s v="ORD-00594"/>
    <s v="CUST0021"/>
    <x v="2"/>
    <x v="7"/>
    <n v="43"/>
    <x v="0"/>
    <x v="5"/>
    <x v="1"/>
    <n v="3690"/>
    <n v="4"/>
    <n v="14760"/>
    <x v="203"/>
    <s v="Sunday"/>
    <s v="Weekday"/>
  </r>
  <r>
    <s v="ORD-00595"/>
    <s v="CUST0271"/>
    <x v="0"/>
    <x v="0"/>
    <n v="46"/>
    <x v="1"/>
    <x v="1"/>
    <x v="1"/>
    <n v="12300"/>
    <n v="2"/>
    <n v="24600"/>
    <x v="101"/>
    <s v="Tuesday"/>
    <s v="Weekday"/>
  </r>
  <r>
    <s v="ORD-00596"/>
    <s v="CUST0160"/>
    <x v="0"/>
    <x v="0"/>
    <n v="69"/>
    <x v="1"/>
    <x v="2"/>
    <x v="0"/>
    <n v="184500"/>
    <n v="4"/>
    <n v="738000"/>
    <x v="274"/>
    <s v="Wednesday"/>
    <s v="Weekday"/>
  </r>
  <r>
    <s v="ORD-00597"/>
    <s v="CUST0095"/>
    <x v="1"/>
    <x v="0"/>
    <n v="60"/>
    <x v="1"/>
    <x v="2"/>
    <x v="0"/>
    <n v="184500"/>
    <n v="5"/>
    <n v="922500"/>
    <x v="211"/>
    <s v="Friday"/>
    <s v="Weekend"/>
  </r>
  <r>
    <s v="ORD-00598"/>
    <s v="CUST0025"/>
    <x v="1"/>
    <x v="0"/>
    <n v="56"/>
    <x v="2"/>
    <x v="0"/>
    <x v="0"/>
    <n v="36900"/>
    <n v="3"/>
    <n v="110700"/>
    <x v="288"/>
    <s v="Monday"/>
    <s v="Weekday"/>
  </r>
  <r>
    <s v="ORD-00599"/>
    <s v="CUST0188"/>
    <x v="0"/>
    <x v="5"/>
    <n v="29"/>
    <x v="0"/>
    <x v="4"/>
    <x v="1"/>
    <n v="6150"/>
    <n v="3"/>
    <n v="18450"/>
    <x v="303"/>
    <s v="Sunday"/>
    <s v="Weekday"/>
  </r>
  <r>
    <s v="ORD-00600"/>
    <s v="CUST0238"/>
    <x v="0"/>
    <x v="0"/>
    <n v="26"/>
    <x v="0"/>
    <x v="5"/>
    <x v="1"/>
    <n v="3690"/>
    <n v="2"/>
    <n v="7380"/>
    <x v="274"/>
    <s v="Wednesday"/>
    <s v="Weekday"/>
  </r>
  <r>
    <s v="ORD-00601"/>
    <s v="CUST0180"/>
    <x v="0"/>
    <x v="5"/>
    <n v="68"/>
    <x v="0"/>
    <x v="2"/>
    <x v="0"/>
    <n v="184500"/>
    <n v="2"/>
    <n v="369000"/>
    <x v="69"/>
    <s v="Thursday"/>
    <s v="Weekday"/>
  </r>
  <r>
    <s v="ORD-00602"/>
    <s v="CUST0011"/>
    <x v="2"/>
    <x v="0"/>
    <n v="54"/>
    <x v="0"/>
    <x v="6"/>
    <x v="0"/>
    <n v="98400"/>
    <n v="5"/>
    <n v="492000"/>
    <x v="108"/>
    <s v="Tuesday"/>
    <s v="Weekday"/>
  </r>
  <r>
    <s v="ORD-00603"/>
    <s v="CUST0264"/>
    <x v="1"/>
    <x v="2"/>
    <n v="59"/>
    <x v="2"/>
    <x v="4"/>
    <x v="1"/>
    <n v="6150"/>
    <n v="2"/>
    <n v="12300"/>
    <x v="285"/>
    <s v="Sunday"/>
    <s v="Weekday"/>
  </r>
  <r>
    <s v="ORD-00604"/>
    <s v="CUST0156"/>
    <x v="2"/>
    <x v="2"/>
    <n v="57"/>
    <x v="1"/>
    <x v="3"/>
    <x v="2"/>
    <n v="24600"/>
    <n v="5"/>
    <n v="123000"/>
    <x v="201"/>
    <s v="Friday"/>
    <s v="Weekend"/>
  </r>
  <r>
    <s v="ORD-00605"/>
    <s v="CUST0044"/>
    <x v="0"/>
    <x v="0"/>
    <n v="30"/>
    <x v="3"/>
    <x v="1"/>
    <x v="1"/>
    <n v="12300"/>
    <n v="1"/>
    <n v="12300"/>
    <x v="304"/>
    <s v="Wednesday"/>
    <s v="Weekday"/>
  </r>
  <r>
    <s v="ORD-00606"/>
    <s v="CUST0202"/>
    <x v="0"/>
    <x v="2"/>
    <n v="56"/>
    <x v="0"/>
    <x v="6"/>
    <x v="0"/>
    <n v="98400"/>
    <n v="5"/>
    <n v="492000"/>
    <x v="95"/>
    <s v="Saturday"/>
    <s v="Weekend"/>
  </r>
  <r>
    <s v="ORD-00607"/>
    <s v="CUST0171"/>
    <x v="0"/>
    <x v="0"/>
    <n v="21"/>
    <x v="3"/>
    <x v="1"/>
    <x v="1"/>
    <n v="12300"/>
    <n v="5"/>
    <n v="61500"/>
    <x v="35"/>
    <s v="Saturday"/>
    <s v="Weekend"/>
  </r>
  <r>
    <s v="ORD-00608"/>
    <s v="CUST0109"/>
    <x v="0"/>
    <x v="0"/>
    <n v="57"/>
    <x v="2"/>
    <x v="2"/>
    <x v="0"/>
    <n v="184500"/>
    <n v="4"/>
    <n v="738000"/>
    <x v="211"/>
    <s v="Friday"/>
    <s v="Weekend"/>
  </r>
  <r>
    <s v="ORD-00609"/>
    <s v="CUST0213"/>
    <x v="1"/>
    <x v="7"/>
    <n v="45"/>
    <x v="2"/>
    <x v="0"/>
    <x v="0"/>
    <n v="36900"/>
    <n v="4"/>
    <n v="147600"/>
    <x v="255"/>
    <s v="Monday"/>
    <s v="Weekday"/>
  </r>
  <r>
    <s v="ORD-00610"/>
    <s v="CUST0261"/>
    <x v="0"/>
    <x v="5"/>
    <n v="48"/>
    <x v="3"/>
    <x v="5"/>
    <x v="1"/>
    <n v="3690"/>
    <n v="3"/>
    <n v="11070"/>
    <x v="305"/>
    <s v="Thursday"/>
    <s v="Weekday"/>
  </r>
  <r>
    <s v="ORD-00611"/>
    <s v="CUST0030"/>
    <x v="1"/>
    <x v="0"/>
    <n v="44"/>
    <x v="1"/>
    <x v="6"/>
    <x v="0"/>
    <n v="98400"/>
    <n v="5"/>
    <n v="492000"/>
    <x v="299"/>
    <s v="Monday"/>
    <s v="Weekday"/>
  </r>
  <r>
    <s v="ORD-00612"/>
    <s v="CUST0145"/>
    <x v="0"/>
    <x v="2"/>
    <n v="51"/>
    <x v="3"/>
    <x v="1"/>
    <x v="1"/>
    <n v="12300"/>
    <n v="4"/>
    <n v="49200"/>
    <x v="35"/>
    <s v="Saturday"/>
    <s v="Weekend"/>
  </r>
  <r>
    <s v="ORD-00613"/>
    <s v="CUST0044"/>
    <x v="0"/>
    <x v="0"/>
    <n v="30"/>
    <x v="2"/>
    <x v="6"/>
    <x v="0"/>
    <n v="98400"/>
    <n v="1"/>
    <n v="98400"/>
    <x v="306"/>
    <s v="Thursday"/>
    <s v="Weekday"/>
  </r>
  <r>
    <s v="ORD-00614"/>
    <s v="CUST0199"/>
    <x v="2"/>
    <x v="5"/>
    <n v="41"/>
    <x v="3"/>
    <x v="0"/>
    <x v="0"/>
    <n v="36900"/>
    <n v="1"/>
    <n v="36900"/>
    <x v="257"/>
    <s v="Sunday"/>
    <s v="Weekday"/>
  </r>
  <r>
    <s v="ORD-00615"/>
    <s v="CUST0111"/>
    <x v="1"/>
    <x v="0"/>
    <n v="19"/>
    <x v="0"/>
    <x v="0"/>
    <x v="0"/>
    <n v="36900"/>
    <n v="3"/>
    <n v="110700"/>
    <x v="121"/>
    <s v="Tuesday"/>
    <s v="Weekday"/>
  </r>
  <r>
    <s v="ORD-00616"/>
    <s v="CUST0124"/>
    <x v="1"/>
    <x v="4"/>
    <n v="53"/>
    <x v="0"/>
    <x v="6"/>
    <x v="0"/>
    <n v="98400"/>
    <n v="1"/>
    <n v="98400"/>
    <x v="72"/>
    <s v="Thursday"/>
    <s v="Weekday"/>
  </r>
  <r>
    <s v="ORD-00617"/>
    <s v="CUST0299"/>
    <x v="1"/>
    <x v="5"/>
    <n v="58"/>
    <x v="1"/>
    <x v="6"/>
    <x v="0"/>
    <n v="98400"/>
    <n v="5"/>
    <n v="492000"/>
    <x v="96"/>
    <s v="Tuesday"/>
    <s v="Weekday"/>
  </r>
  <r>
    <s v="ORD-00618"/>
    <s v="CUST0241"/>
    <x v="1"/>
    <x v="0"/>
    <n v="27"/>
    <x v="3"/>
    <x v="4"/>
    <x v="1"/>
    <n v="6150"/>
    <n v="2"/>
    <n v="12300"/>
    <x v="307"/>
    <s v="Friday"/>
    <s v="Weekend"/>
  </r>
  <r>
    <s v="ORD-00619"/>
    <s v="CUST0010"/>
    <x v="2"/>
    <x v="2"/>
    <n v="37"/>
    <x v="3"/>
    <x v="3"/>
    <x v="2"/>
    <n v="24600"/>
    <n v="2"/>
    <n v="49200"/>
    <x v="22"/>
    <s v="Tuesday"/>
    <s v="Weekday"/>
  </r>
  <r>
    <s v="ORD-00620"/>
    <s v="CUST0293"/>
    <x v="0"/>
    <x v="1"/>
    <n v="32"/>
    <x v="3"/>
    <x v="2"/>
    <x v="0"/>
    <n v="184500"/>
    <n v="5"/>
    <n v="922500"/>
    <x v="23"/>
    <s v="Saturday"/>
    <s v="Weekend"/>
  </r>
  <r>
    <s v="ORD-00621"/>
    <s v="CUST0225"/>
    <x v="2"/>
    <x v="0"/>
    <n v="65"/>
    <x v="3"/>
    <x v="0"/>
    <x v="0"/>
    <n v="36900"/>
    <n v="4"/>
    <n v="147600"/>
    <x v="308"/>
    <s v="Tuesday"/>
    <s v="Weekday"/>
  </r>
  <r>
    <s v="ORD-00622"/>
    <s v="CUST0197"/>
    <x v="0"/>
    <x v="4"/>
    <n v="54"/>
    <x v="1"/>
    <x v="2"/>
    <x v="0"/>
    <n v="184500"/>
    <n v="4"/>
    <n v="738000"/>
    <x v="211"/>
    <s v="Friday"/>
    <s v="Weekend"/>
  </r>
  <r>
    <s v="ORD-00623"/>
    <s v="CUST0035"/>
    <x v="1"/>
    <x v="6"/>
    <n v="20"/>
    <x v="2"/>
    <x v="5"/>
    <x v="1"/>
    <n v="3690"/>
    <n v="4"/>
    <n v="14760"/>
    <x v="179"/>
    <s v="Saturday"/>
    <s v="Weekend"/>
  </r>
  <r>
    <s v="ORD-00624"/>
    <s v="CUST0280"/>
    <x v="0"/>
    <x v="5"/>
    <n v="44"/>
    <x v="1"/>
    <x v="4"/>
    <x v="1"/>
    <n v="6150"/>
    <n v="1"/>
    <n v="6150"/>
    <x v="178"/>
    <s v="Monday"/>
    <s v="Weekday"/>
  </r>
  <r>
    <s v="ORD-00625"/>
    <s v="CUST0129"/>
    <x v="0"/>
    <x v="2"/>
    <n v="66"/>
    <x v="2"/>
    <x v="2"/>
    <x v="0"/>
    <n v="184500"/>
    <n v="4"/>
    <n v="738000"/>
    <x v="293"/>
    <s v="Monday"/>
    <s v="Weekday"/>
  </r>
  <r>
    <s v="ORD-00626"/>
    <s v="CUST0144"/>
    <x v="1"/>
    <x v="0"/>
    <n v="54"/>
    <x v="2"/>
    <x v="2"/>
    <x v="0"/>
    <n v="184500"/>
    <n v="4"/>
    <n v="738000"/>
    <x v="137"/>
    <s v="Friday"/>
    <s v="Weekend"/>
  </r>
  <r>
    <s v="ORD-00627"/>
    <s v="CUST0174"/>
    <x v="1"/>
    <x v="1"/>
    <n v="68"/>
    <x v="2"/>
    <x v="5"/>
    <x v="1"/>
    <n v="3690"/>
    <n v="2"/>
    <n v="7380"/>
    <x v="309"/>
    <s v="Thursday"/>
    <s v="Weekday"/>
  </r>
  <r>
    <s v="ORD-00628"/>
    <s v="CUST0219"/>
    <x v="1"/>
    <x v="0"/>
    <n v="48"/>
    <x v="3"/>
    <x v="4"/>
    <x v="1"/>
    <n v="6150"/>
    <n v="5"/>
    <n v="30750"/>
    <x v="160"/>
    <s v="Thursday"/>
    <s v="Weekday"/>
  </r>
  <r>
    <s v="ORD-00629"/>
    <s v="CUST0198"/>
    <x v="0"/>
    <x v="0"/>
    <n v="56"/>
    <x v="1"/>
    <x v="0"/>
    <x v="0"/>
    <n v="36900"/>
    <n v="2"/>
    <n v="73800"/>
    <x v="36"/>
    <s v="Tuesday"/>
    <s v="Weekday"/>
  </r>
  <r>
    <s v="ORD-00630"/>
    <s v="CUST0139"/>
    <x v="0"/>
    <x v="1"/>
    <n v="57"/>
    <x v="2"/>
    <x v="0"/>
    <x v="0"/>
    <n v="36900"/>
    <n v="1"/>
    <n v="36900"/>
    <x v="116"/>
    <s v="Tuesday"/>
    <s v="Weekday"/>
  </r>
  <r>
    <s v="ORD-00631"/>
    <s v="CUST0149"/>
    <x v="0"/>
    <x v="0"/>
    <n v="40"/>
    <x v="0"/>
    <x v="5"/>
    <x v="1"/>
    <n v="3690"/>
    <n v="5"/>
    <n v="18450"/>
    <x v="310"/>
    <s v="Tuesday"/>
    <s v="Weekday"/>
  </r>
  <r>
    <s v="ORD-00632"/>
    <s v="CUST0031"/>
    <x v="0"/>
    <x v="1"/>
    <n v="67"/>
    <x v="2"/>
    <x v="2"/>
    <x v="0"/>
    <n v="184500"/>
    <n v="4"/>
    <n v="738000"/>
    <x v="212"/>
    <s v="Wednesday"/>
    <s v="Weekday"/>
  </r>
  <r>
    <s v="ORD-00633"/>
    <s v="CUST0036"/>
    <x v="2"/>
    <x v="0"/>
    <n v="33"/>
    <x v="1"/>
    <x v="1"/>
    <x v="1"/>
    <n v="12300"/>
    <n v="5"/>
    <n v="61500"/>
    <x v="191"/>
    <s v="Friday"/>
    <s v="Weekend"/>
  </r>
  <r>
    <s v="ORD-00634"/>
    <s v="CUST0029"/>
    <x v="2"/>
    <x v="2"/>
    <n v="66"/>
    <x v="3"/>
    <x v="2"/>
    <x v="0"/>
    <n v="184500"/>
    <n v="2"/>
    <n v="369000"/>
    <x v="106"/>
    <s v="Tuesday"/>
    <s v="Weekday"/>
  </r>
  <r>
    <s v="ORD-00635"/>
    <s v="CUST0071"/>
    <x v="2"/>
    <x v="0"/>
    <n v="46"/>
    <x v="0"/>
    <x v="0"/>
    <x v="0"/>
    <n v="36900"/>
    <n v="3"/>
    <n v="110700"/>
    <x v="123"/>
    <s v="Tuesday"/>
    <s v="Weekday"/>
  </r>
  <r>
    <s v="ORD-00636"/>
    <s v="CUST0224"/>
    <x v="2"/>
    <x v="4"/>
    <n v="57"/>
    <x v="2"/>
    <x v="2"/>
    <x v="0"/>
    <n v="184500"/>
    <n v="5"/>
    <n v="922500"/>
    <x v="311"/>
    <s v="Thursday"/>
    <s v="Weekday"/>
  </r>
  <r>
    <s v="ORD-00637"/>
    <s v="CUST0251"/>
    <x v="0"/>
    <x v="4"/>
    <n v="42"/>
    <x v="3"/>
    <x v="2"/>
    <x v="0"/>
    <n v="184500"/>
    <n v="2"/>
    <n v="369000"/>
    <x v="295"/>
    <s v="Monday"/>
    <s v="Weekday"/>
  </r>
  <r>
    <s v="ORD-00638"/>
    <s v="CUST0142"/>
    <x v="0"/>
    <x v="1"/>
    <n v="32"/>
    <x v="1"/>
    <x v="2"/>
    <x v="0"/>
    <n v="184500"/>
    <n v="1"/>
    <n v="184500"/>
    <x v="216"/>
    <s v="Friday"/>
    <s v="Weekend"/>
  </r>
  <r>
    <s v="ORD-00639"/>
    <s v="CUST0025"/>
    <x v="1"/>
    <x v="0"/>
    <n v="56"/>
    <x v="1"/>
    <x v="0"/>
    <x v="0"/>
    <n v="36900"/>
    <n v="1"/>
    <n v="36900"/>
    <x v="66"/>
    <s v="Tuesday"/>
    <s v="Weekday"/>
  </r>
  <r>
    <s v="ORD-00640"/>
    <s v="CUST0031"/>
    <x v="0"/>
    <x v="1"/>
    <n v="67"/>
    <x v="0"/>
    <x v="3"/>
    <x v="2"/>
    <n v="24600"/>
    <n v="1"/>
    <n v="24600"/>
    <x v="258"/>
    <s v="Saturday"/>
    <s v="Weekend"/>
  </r>
  <r>
    <s v="ORD-00641"/>
    <s v="CUST0159"/>
    <x v="0"/>
    <x v="4"/>
    <n v="18"/>
    <x v="0"/>
    <x v="1"/>
    <x v="1"/>
    <n v="12300"/>
    <n v="2"/>
    <n v="24600"/>
    <x v="284"/>
    <s v="Thursday"/>
    <s v="Weekday"/>
  </r>
  <r>
    <s v="ORD-00642"/>
    <s v="CUST0094"/>
    <x v="0"/>
    <x v="7"/>
    <n v="30"/>
    <x v="2"/>
    <x v="1"/>
    <x v="1"/>
    <n v="12300"/>
    <n v="4"/>
    <n v="49200"/>
    <x v="76"/>
    <s v="Friday"/>
    <s v="Weekend"/>
  </r>
  <r>
    <s v="ORD-00643"/>
    <s v="CUST0072"/>
    <x v="0"/>
    <x v="5"/>
    <n v="21"/>
    <x v="3"/>
    <x v="1"/>
    <x v="1"/>
    <n v="12300"/>
    <n v="4"/>
    <n v="49200"/>
    <x v="11"/>
    <s v="Wednesday"/>
    <s v="Weekday"/>
  </r>
  <r>
    <s v="ORD-00644"/>
    <s v="CUST0078"/>
    <x v="1"/>
    <x v="4"/>
    <n v="38"/>
    <x v="3"/>
    <x v="4"/>
    <x v="1"/>
    <n v="6150"/>
    <n v="4"/>
    <n v="24600"/>
    <x v="275"/>
    <s v="Tuesday"/>
    <s v="Weekday"/>
  </r>
  <r>
    <s v="ORD-00645"/>
    <s v="CUST0105"/>
    <x v="0"/>
    <x v="4"/>
    <n v="27"/>
    <x v="1"/>
    <x v="2"/>
    <x v="0"/>
    <n v="184500"/>
    <n v="2"/>
    <n v="369000"/>
    <x v="304"/>
    <s v="Wednesday"/>
    <s v="Weekday"/>
  </r>
  <r>
    <s v="ORD-00646"/>
    <s v="CUST0152"/>
    <x v="0"/>
    <x v="0"/>
    <n v="69"/>
    <x v="1"/>
    <x v="0"/>
    <x v="0"/>
    <n v="36900"/>
    <n v="5"/>
    <n v="184500"/>
    <x v="310"/>
    <s v="Tuesday"/>
    <s v="Weekday"/>
  </r>
  <r>
    <s v="ORD-00647"/>
    <s v="CUST0160"/>
    <x v="0"/>
    <x v="0"/>
    <n v="69"/>
    <x v="2"/>
    <x v="6"/>
    <x v="0"/>
    <n v="98400"/>
    <n v="3"/>
    <n v="295200"/>
    <x v="256"/>
    <s v="Tuesday"/>
    <s v="Weekday"/>
  </r>
  <r>
    <s v="ORD-00648"/>
    <s v="CUST0248"/>
    <x v="2"/>
    <x v="7"/>
    <n v="67"/>
    <x v="2"/>
    <x v="2"/>
    <x v="0"/>
    <n v="184500"/>
    <n v="1"/>
    <n v="184500"/>
    <x v="164"/>
    <s v="Wednesday"/>
    <s v="Weekday"/>
  </r>
  <r>
    <s v="ORD-00649"/>
    <s v="CUST0133"/>
    <x v="0"/>
    <x v="0"/>
    <n v="47"/>
    <x v="1"/>
    <x v="3"/>
    <x v="2"/>
    <n v="24600"/>
    <n v="3"/>
    <n v="73800"/>
    <x v="7"/>
    <s v="Thursday"/>
    <s v="Weekday"/>
  </r>
  <r>
    <s v="ORD-00650"/>
    <s v="CUST0260"/>
    <x v="0"/>
    <x v="0"/>
    <n v="32"/>
    <x v="1"/>
    <x v="0"/>
    <x v="0"/>
    <n v="36900"/>
    <n v="3"/>
    <n v="110700"/>
    <x v="288"/>
    <s v="Monday"/>
    <s v="Weekday"/>
  </r>
  <r>
    <s v="ORD-00651"/>
    <s v="CUST0051"/>
    <x v="2"/>
    <x v="4"/>
    <n v="41"/>
    <x v="3"/>
    <x v="2"/>
    <x v="0"/>
    <n v="184500"/>
    <n v="3"/>
    <n v="553500"/>
    <x v="28"/>
    <s v="Thursday"/>
    <s v="Weekday"/>
  </r>
  <r>
    <s v="ORD-00652"/>
    <s v="CUST0177"/>
    <x v="1"/>
    <x v="1"/>
    <n v="29"/>
    <x v="3"/>
    <x v="5"/>
    <x v="1"/>
    <n v="3690"/>
    <n v="1"/>
    <n v="3690"/>
    <x v="163"/>
    <s v="Tuesday"/>
    <s v="Weekday"/>
  </r>
  <r>
    <s v="ORD-00653"/>
    <s v="CUST0116"/>
    <x v="0"/>
    <x v="3"/>
    <n v="20"/>
    <x v="3"/>
    <x v="6"/>
    <x v="0"/>
    <n v="98400"/>
    <n v="5"/>
    <n v="492000"/>
    <x v="312"/>
    <s v="Monday"/>
    <s v="Weekday"/>
  </r>
  <r>
    <s v="ORD-00654"/>
    <s v="CUST0195"/>
    <x v="1"/>
    <x v="0"/>
    <n v="48"/>
    <x v="2"/>
    <x v="3"/>
    <x v="2"/>
    <n v="24600"/>
    <n v="5"/>
    <n v="123000"/>
    <x v="309"/>
    <s v="Thursday"/>
    <s v="Weekday"/>
  </r>
  <r>
    <s v="ORD-00655"/>
    <s v="CUST0122"/>
    <x v="0"/>
    <x v="0"/>
    <n v="68"/>
    <x v="3"/>
    <x v="2"/>
    <x v="0"/>
    <n v="184500"/>
    <n v="1"/>
    <n v="184500"/>
    <x v="119"/>
    <s v="Sunday"/>
    <s v="Weekday"/>
  </r>
  <r>
    <s v="ORD-00656"/>
    <s v="CUST0058"/>
    <x v="2"/>
    <x v="1"/>
    <n v="42"/>
    <x v="0"/>
    <x v="5"/>
    <x v="1"/>
    <n v="3690"/>
    <n v="5"/>
    <n v="18450"/>
    <x v="310"/>
    <s v="Tuesday"/>
    <s v="Weekday"/>
  </r>
  <r>
    <s v="ORD-00657"/>
    <s v="CUST0039"/>
    <x v="0"/>
    <x v="1"/>
    <n v="60"/>
    <x v="0"/>
    <x v="2"/>
    <x v="0"/>
    <n v="184500"/>
    <n v="1"/>
    <n v="184500"/>
    <x v="304"/>
    <s v="Wednesday"/>
    <s v="Weekday"/>
  </r>
  <r>
    <s v="ORD-00658"/>
    <s v="CUST0066"/>
    <x v="1"/>
    <x v="1"/>
    <n v="37"/>
    <x v="3"/>
    <x v="6"/>
    <x v="0"/>
    <n v="98400"/>
    <n v="1"/>
    <n v="98400"/>
    <x v="96"/>
    <s v="Tuesday"/>
    <s v="Weekday"/>
  </r>
  <r>
    <s v="ORD-00659"/>
    <s v="CUST0204"/>
    <x v="0"/>
    <x v="1"/>
    <n v="54"/>
    <x v="3"/>
    <x v="2"/>
    <x v="0"/>
    <n v="184500"/>
    <n v="4"/>
    <n v="738000"/>
    <x v="313"/>
    <s v="Monday"/>
    <s v="Weekday"/>
  </r>
  <r>
    <s v="ORD-00660"/>
    <s v="CUST0208"/>
    <x v="1"/>
    <x v="6"/>
    <n v="57"/>
    <x v="1"/>
    <x v="0"/>
    <x v="0"/>
    <n v="36900"/>
    <n v="1"/>
    <n v="36900"/>
    <x v="314"/>
    <s v="Thursday"/>
    <s v="Weekday"/>
  </r>
  <r>
    <s v="ORD-00661"/>
    <s v="CUST0196"/>
    <x v="1"/>
    <x v="1"/>
    <n v="37"/>
    <x v="1"/>
    <x v="4"/>
    <x v="1"/>
    <n v="6150"/>
    <n v="4"/>
    <n v="24600"/>
    <x v="126"/>
    <s v="Thursday"/>
    <s v="Weekday"/>
  </r>
  <r>
    <s v="ORD-00662"/>
    <s v="CUST0250"/>
    <x v="1"/>
    <x v="1"/>
    <n v="64"/>
    <x v="2"/>
    <x v="2"/>
    <x v="0"/>
    <n v="184500"/>
    <n v="1"/>
    <n v="184500"/>
    <x v="288"/>
    <s v="Monday"/>
    <s v="Weekday"/>
  </r>
  <r>
    <s v="ORD-00663"/>
    <s v="CUST0227"/>
    <x v="2"/>
    <x v="6"/>
    <n v="54"/>
    <x v="0"/>
    <x v="3"/>
    <x v="2"/>
    <n v="24600"/>
    <n v="3"/>
    <n v="73800"/>
    <x v="245"/>
    <s v="Thursday"/>
    <s v="Weekday"/>
  </r>
  <r>
    <s v="ORD-00664"/>
    <s v="CUST0107"/>
    <x v="0"/>
    <x v="5"/>
    <n v="67"/>
    <x v="0"/>
    <x v="2"/>
    <x v="0"/>
    <n v="184500"/>
    <n v="4"/>
    <n v="738000"/>
    <x v="257"/>
    <s v="Sunday"/>
    <s v="Weekday"/>
  </r>
  <r>
    <s v="ORD-00665"/>
    <s v="CUST0177"/>
    <x v="1"/>
    <x v="1"/>
    <n v="29"/>
    <x v="2"/>
    <x v="3"/>
    <x v="2"/>
    <n v="24600"/>
    <n v="4"/>
    <n v="98400"/>
    <x v="8"/>
    <s v="Saturday"/>
    <s v="Weekend"/>
  </r>
  <r>
    <s v="ORD-00666"/>
    <s v="CUST0174"/>
    <x v="1"/>
    <x v="1"/>
    <n v="68"/>
    <x v="3"/>
    <x v="1"/>
    <x v="1"/>
    <n v="12300"/>
    <n v="2"/>
    <n v="24600"/>
    <x v="271"/>
    <s v="Monday"/>
    <s v="Weekday"/>
  </r>
  <r>
    <s v="ORD-00667"/>
    <s v="CUST0066"/>
    <x v="1"/>
    <x v="1"/>
    <n v="37"/>
    <x v="3"/>
    <x v="5"/>
    <x v="1"/>
    <n v="3690"/>
    <n v="3"/>
    <n v="11070"/>
    <x v="166"/>
    <s v="Tuesday"/>
    <s v="Weekday"/>
  </r>
  <r>
    <s v="ORD-00668"/>
    <s v="CUST0117"/>
    <x v="2"/>
    <x v="0"/>
    <n v="22"/>
    <x v="2"/>
    <x v="5"/>
    <x v="1"/>
    <n v="3690"/>
    <n v="5"/>
    <n v="18450"/>
    <x v="31"/>
    <s v="Wednesday"/>
    <s v="Weekday"/>
  </r>
  <r>
    <s v="ORD-00669"/>
    <s v="CUST0008"/>
    <x v="1"/>
    <x v="6"/>
    <n v="18"/>
    <x v="0"/>
    <x v="0"/>
    <x v="0"/>
    <n v="36900"/>
    <n v="2"/>
    <n v="73800"/>
    <x v="194"/>
    <s v="Tuesday"/>
    <s v="Weekday"/>
  </r>
  <r>
    <s v="ORD-00670"/>
    <s v="CUST0010"/>
    <x v="2"/>
    <x v="2"/>
    <n v="37"/>
    <x v="0"/>
    <x v="2"/>
    <x v="0"/>
    <n v="184500"/>
    <n v="3"/>
    <n v="553500"/>
    <x v="21"/>
    <s v="Wednesday"/>
    <s v="Weekday"/>
  </r>
  <r>
    <s v="ORD-00671"/>
    <s v="CUST0107"/>
    <x v="0"/>
    <x v="5"/>
    <n v="67"/>
    <x v="3"/>
    <x v="4"/>
    <x v="1"/>
    <n v="6150"/>
    <n v="5"/>
    <n v="30750"/>
    <x v="60"/>
    <s v="Friday"/>
    <s v="Weekend"/>
  </r>
  <r>
    <s v="ORD-00672"/>
    <s v="CUST0271"/>
    <x v="0"/>
    <x v="0"/>
    <n v="46"/>
    <x v="1"/>
    <x v="3"/>
    <x v="2"/>
    <n v="24600"/>
    <n v="2"/>
    <n v="49200"/>
    <x v="253"/>
    <s v="Monday"/>
    <s v="Weekday"/>
  </r>
  <r>
    <s v="ORD-00673"/>
    <s v="CUST0149"/>
    <x v="0"/>
    <x v="0"/>
    <n v="40"/>
    <x v="2"/>
    <x v="3"/>
    <x v="2"/>
    <n v="24600"/>
    <n v="4"/>
    <n v="98400"/>
    <x v="21"/>
    <s v="Wednesday"/>
    <s v="Weekday"/>
  </r>
  <r>
    <s v="ORD-00674"/>
    <s v="CUST0173"/>
    <x v="0"/>
    <x v="0"/>
    <n v="65"/>
    <x v="2"/>
    <x v="2"/>
    <x v="0"/>
    <n v="184500"/>
    <n v="3"/>
    <n v="553500"/>
    <x v="76"/>
    <s v="Friday"/>
    <s v="Weekend"/>
  </r>
  <r>
    <s v="ORD-00675"/>
    <s v="CUST0042"/>
    <x v="1"/>
    <x v="1"/>
    <n v="57"/>
    <x v="3"/>
    <x v="6"/>
    <x v="0"/>
    <n v="98400"/>
    <n v="2"/>
    <n v="196800"/>
    <x v="20"/>
    <s v="Wednesday"/>
    <s v="Weekday"/>
  </r>
  <r>
    <s v="ORD-00676"/>
    <s v="CUST0106"/>
    <x v="1"/>
    <x v="0"/>
    <n v="50"/>
    <x v="2"/>
    <x v="1"/>
    <x v="1"/>
    <n v="12300"/>
    <n v="3"/>
    <n v="36900"/>
    <x v="28"/>
    <s v="Thursday"/>
    <s v="Weekday"/>
  </r>
  <r>
    <s v="ORD-00677"/>
    <s v="CUST0235"/>
    <x v="0"/>
    <x v="6"/>
    <n v="19"/>
    <x v="0"/>
    <x v="0"/>
    <x v="0"/>
    <n v="36900"/>
    <n v="1"/>
    <n v="36900"/>
    <x v="315"/>
    <s v="Monday"/>
    <s v="Weekday"/>
  </r>
  <r>
    <s v="ORD-00678"/>
    <s v="CUST0220"/>
    <x v="0"/>
    <x v="1"/>
    <n v="67"/>
    <x v="3"/>
    <x v="5"/>
    <x v="1"/>
    <n v="3690"/>
    <n v="1"/>
    <n v="3690"/>
    <x v="125"/>
    <s v="Sunday"/>
    <s v="Weekday"/>
  </r>
  <r>
    <s v="ORD-00679"/>
    <s v="CUST0264"/>
    <x v="1"/>
    <x v="2"/>
    <n v="59"/>
    <x v="0"/>
    <x v="5"/>
    <x v="1"/>
    <n v="3690"/>
    <n v="5"/>
    <n v="18450"/>
    <x v="28"/>
    <s v="Thursday"/>
    <s v="Weekday"/>
  </r>
  <r>
    <s v="ORD-00680"/>
    <s v="CUST0020"/>
    <x v="1"/>
    <x v="1"/>
    <n v="55"/>
    <x v="1"/>
    <x v="6"/>
    <x v="0"/>
    <n v="98400"/>
    <n v="4"/>
    <n v="393600"/>
    <x v="11"/>
    <s v="Wednesday"/>
    <s v="Weekday"/>
  </r>
  <r>
    <s v="ORD-00681"/>
    <s v="CUST0139"/>
    <x v="0"/>
    <x v="1"/>
    <n v="57"/>
    <x v="2"/>
    <x v="6"/>
    <x v="0"/>
    <n v="98400"/>
    <n v="3"/>
    <n v="295200"/>
    <x v="281"/>
    <s v="Sunday"/>
    <s v="Weekday"/>
  </r>
  <r>
    <s v="ORD-00682"/>
    <s v="CUST0022"/>
    <x v="1"/>
    <x v="0"/>
    <n v="33"/>
    <x v="2"/>
    <x v="4"/>
    <x v="1"/>
    <n v="6150"/>
    <n v="2"/>
    <n v="12300"/>
    <x v="297"/>
    <s v="Thursday"/>
    <s v="Weekday"/>
  </r>
  <r>
    <s v="ORD-00683"/>
    <s v="CUST0101"/>
    <x v="1"/>
    <x v="1"/>
    <n v="53"/>
    <x v="0"/>
    <x v="0"/>
    <x v="0"/>
    <n v="36900"/>
    <n v="4"/>
    <n v="147600"/>
    <x v="316"/>
    <s v="Friday"/>
    <s v="Weekend"/>
  </r>
  <r>
    <s v="ORD-00684"/>
    <s v="CUST0271"/>
    <x v="0"/>
    <x v="0"/>
    <n v="46"/>
    <x v="3"/>
    <x v="0"/>
    <x v="0"/>
    <n v="36900"/>
    <n v="4"/>
    <n v="147600"/>
    <x v="244"/>
    <s v="Monday"/>
    <s v="Weekday"/>
  </r>
  <r>
    <s v="ORD-00685"/>
    <s v="CUST0197"/>
    <x v="0"/>
    <x v="4"/>
    <n v="54"/>
    <x v="3"/>
    <x v="5"/>
    <x v="1"/>
    <n v="3690"/>
    <n v="3"/>
    <n v="11070"/>
    <x v="317"/>
    <s v="Saturday"/>
    <s v="Weekend"/>
  </r>
  <r>
    <s v="ORD-00686"/>
    <s v="CUST0135"/>
    <x v="0"/>
    <x v="6"/>
    <n v="41"/>
    <x v="2"/>
    <x v="3"/>
    <x v="2"/>
    <n v="24600"/>
    <n v="1"/>
    <n v="24600"/>
    <x v="22"/>
    <s v="Tuesday"/>
    <s v="Weekday"/>
  </r>
  <r>
    <s v="ORD-00687"/>
    <s v="CUST0174"/>
    <x v="1"/>
    <x v="1"/>
    <n v="68"/>
    <x v="0"/>
    <x v="5"/>
    <x v="1"/>
    <n v="3690"/>
    <n v="5"/>
    <n v="18450"/>
    <x v="279"/>
    <s v="Tuesday"/>
    <s v="Weekday"/>
  </r>
  <r>
    <s v="ORD-00688"/>
    <s v="CUST0139"/>
    <x v="0"/>
    <x v="1"/>
    <n v="57"/>
    <x v="1"/>
    <x v="2"/>
    <x v="0"/>
    <n v="184500"/>
    <n v="5"/>
    <n v="922500"/>
    <x v="318"/>
    <s v="Sunday"/>
    <s v="Weekday"/>
  </r>
  <r>
    <s v="ORD-00689"/>
    <s v="CUST0058"/>
    <x v="2"/>
    <x v="1"/>
    <n v="42"/>
    <x v="0"/>
    <x v="1"/>
    <x v="1"/>
    <n v="12300"/>
    <n v="5"/>
    <n v="61500"/>
    <x v="77"/>
    <s v="Tuesday"/>
    <s v="Weekday"/>
  </r>
  <r>
    <s v="ORD-00690"/>
    <s v="CUST0152"/>
    <x v="0"/>
    <x v="0"/>
    <n v="69"/>
    <x v="3"/>
    <x v="3"/>
    <x v="2"/>
    <n v="24600"/>
    <n v="5"/>
    <n v="123000"/>
    <x v="177"/>
    <s v="Wednesday"/>
    <s v="Weekday"/>
  </r>
  <r>
    <s v="ORD-00691"/>
    <s v="CUST0288"/>
    <x v="0"/>
    <x v="5"/>
    <n v="55"/>
    <x v="2"/>
    <x v="4"/>
    <x v="1"/>
    <n v="6150"/>
    <n v="3"/>
    <n v="18450"/>
    <x v="319"/>
    <s v="Sunday"/>
    <s v="Weekday"/>
  </r>
  <r>
    <s v="ORD-00692"/>
    <s v="CUST0219"/>
    <x v="1"/>
    <x v="0"/>
    <n v="48"/>
    <x v="2"/>
    <x v="3"/>
    <x v="2"/>
    <n v="24600"/>
    <n v="5"/>
    <n v="123000"/>
    <x v="320"/>
    <s v="Thursday"/>
    <s v="Weekday"/>
  </r>
  <r>
    <s v="ORD-00693"/>
    <s v="CUST0155"/>
    <x v="2"/>
    <x v="1"/>
    <n v="41"/>
    <x v="2"/>
    <x v="0"/>
    <x v="0"/>
    <n v="36900"/>
    <n v="1"/>
    <n v="36900"/>
    <x v="135"/>
    <s v="Wednesday"/>
    <s v="Weekday"/>
  </r>
  <r>
    <s v="ORD-00694"/>
    <s v="CUST0128"/>
    <x v="1"/>
    <x v="1"/>
    <n v="52"/>
    <x v="1"/>
    <x v="0"/>
    <x v="0"/>
    <n v="36900"/>
    <n v="3"/>
    <n v="110700"/>
    <x v="163"/>
    <s v="Tuesday"/>
    <s v="Weekday"/>
  </r>
  <r>
    <s v="ORD-00695"/>
    <s v="CUST0178"/>
    <x v="0"/>
    <x v="4"/>
    <n v="44"/>
    <x v="1"/>
    <x v="3"/>
    <x v="2"/>
    <n v="24600"/>
    <n v="3"/>
    <n v="73800"/>
    <x v="152"/>
    <s v="Tuesday"/>
    <s v="Weekday"/>
  </r>
  <r>
    <s v="ORD-00696"/>
    <s v="CUST0298"/>
    <x v="2"/>
    <x v="0"/>
    <n v="58"/>
    <x v="3"/>
    <x v="6"/>
    <x v="0"/>
    <n v="98400"/>
    <n v="2"/>
    <n v="196800"/>
    <x v="276"/>
    <s v="Saturday"/>
    <s v="Weekend"/>
  </r>
  <r>
    <s v="ORD-00697"/>
    <s v="CUST0064"/>
    <x v="0"/>
    <x v="2"/>
    <n v="61"/>
    <x v="0"/>
    <x v="2"/>
    <x v="0"/>
    <n v="184500"/>
    <n v="1"/>
    <n v="184500"/>
    <x v="47"/>
    <s v="Friday"/>
    <s v="Weekend"/>
  </r>
  <r>
    <s v="ORD-00698"/>
    <s v="CUST0091"/>
    <x v="2"/>
    <x v="2"/>
    <n v="30"/>
    <x v="0"/>
    <x v="5"/>
    <x v="1"/>
    <n v="3690"/>
    <n v="3"/>
    <n v="11070"/>
    <x v="27"/>
    <s v="Monday"/>
    <s v="Weekday"/>
  </r>
  <r>
    <s v="ORD-00699"/>
    <s v="CUST0113"/>
    <x v="2"/>
    <x v="7"/>
    <n v="38"/>
    <x v="0"/>
    <x v="2"/>
    <x v="0"/>
    <n v="184500"/>
    <n v="3"/>
    <n v="553500"/>
    <x v="250"/>
    <s v="Friday"/>
    <s v="Weekend"/>
  </r>
  <r>
    <s v="ORD-00700"/>
    <s v="CUST0087"/>
    <x v="1"/>
    <x v="0"/>
    <n v="49"/>
    <x v="1"/>
    <x v="5"/>
    <x v="1"/>
    <n v="3690"/>
    <n v="2"/>
    <n v="7380"/>
    <x v="63"/>
    <s v="Sunday"/>
    <s v="Weekday"/>
  </r>
  <r>
    <s v="ORD-00701"/>
    <s v="CUST0087"/>
    <x v="1"/>
    <x v="0"/>
    <n v="49"/>
    <x v="2"/>
    <x v="0"/>
    <x v="0"/>
    <n v="36900"/>
    <n v="3"/>
    <n v="110700"/>
    <x v="248"/>
    <s v="Friday"/>
    <s v="Weekend"/>
  </r>
  <r>
    <s v="ORD-00702"/>
    <s v="CUST0255"/>
    <x v="0"/>
    <x v="1"/>
    <n v="39"/>
    <x v="3"/>
    <x v="6"/>
    <x v="0"/>
    <n v="98400"/>
    <n v="3"/>
    <n v="295200"/>
    <x v="80"/>
    <s v="Saturday"/>
    <s v="Weekend"/>
  </r>
  <r>
    <s v="ORD-00703"/>
    <s v="CUST0044"/>
    <x v="0"/>
    <x v="0"/>
    <n v="30"/>
    <x v="3"/>
    <x v="0"/>
    <x v="0"/>
    <n v="36900"/>
    <n v="1"/>
    <n v="36900"/>
    <x v="175"/>
    <s v="Saturday"/>
    <s v="Weekend"/>
  </r>
  <r>
    <s v="ORD-00704"/>
    <s v="CUST0133"/>
    <x v="0"/>
    <x v="0"/>
    <n v="47"/>
    <x v="1"/>
    <x v="2"/>
    <x v="0"/>
    <n v="184500"/>
    <n v="3"/>
    <n v="553500"/>
    <x v="66"/>
    <s v="Tuesday"/>
    <s v="Weekday"/>
  </r>
  <r>
    <s v="ORD-00705"/>
    <s v="CUST0122"/>
    <x v="0"/>
    <x v="0"/>
    <n v="68"/>
    <x v="1"/>
    <x v="0"/>
    <x v="0"/>
    <n v="36900"/>
    <n v="3"/>
    <n v="110700"/>
    <x v="268"/>
    <s v="Saturday"/>
    <s v="Weekend"/>
  </r>
  <r>
    <s v="ORD-00706"/>
    <s v="CUST0220"/>
    <x v="0"/>
    <x v="1"/>
    <n v="67"/>
    <x v="2"/>
    <x v="2"/>
    <x v="0"/>
    <n v="184500"/>
    <n v="2"/>
    <n v="369000"/>
    <x v="224"/>
    <s v="Thursday"/>
    <s v="Weekday"/>
  </r>
  <r>
    <s v="ORD-00707"/>
    <s v="CUST0182"/>
    <x v="0"/>
    <x v="0"/>
    <n v="19"/>
    <x v="2"/>
    <x v="1"/>
    <x v="1"/>
    <n v="12300"/>
    <n v="2"/>
    <n v="24600"/>
    <x v="280"/>
    <s v="Sunday"/>
    <s v="Weekday"/>
  </r>
  <r>
    <s v="ORD-00708"/>
    <s v="CUST0081"/>
    <x v="0"/>
    <x v="6"/>
    <n v="38"/>
    <x v="1"/>
    <x v="0"/>
    <x v="0"/>
    <n v="36900"/>
    <n v="2"/>
    <n v="73800"/>
    <x v="4"/>
    <s v="Thursday"/>
    <s v="Weekday"/>
  </r>
  <r>
    <s v="ORD-00709"/>
    <s v="CUST0224"/>
    <x v="2"/>
    <x v="4"/>
    <n v="57"/>
    <x v="3"/>
    <x v="3"/>
    <x v="2"/>
    <n v="24600"/>
    <n v="4"/>
    <n v="98400"/>
    <x v="49"/>
    <s v="Wednesday"/>
    <s v="Weekday"/>
  </r>
  <r>
    <s v="ORD-00710"/>
    <s v="CUST0070"/>
    <x v="0"/>
    <x v="3"/>
    <n v="23"/>
    <x v="2"/>
    <x v="6"/>
    <x v="0"/>
    <n v="98400"/>
    <n v="1"/>
    <n v="98400"/>
    <x v="100"/>
    <s v="Thursday"/>
    <s v="Weekday"/>
  </r>
  <r>
    <s v="ORD-00711"/>
    <s v="CUST0263"/>
    <x v="1"/>
    <x v="0"/>
    <n v="40"/>
    <x v="2"/>
    <x v="0"/>
    <x v="0"/>
    <n v="36900"/>
    <n v="1"/>
    <n v="36900"/>
    <x v="179"/>
    <s v="Saturday"/>
    <s v="Weekend"/>
  </r>
  <r>
    <s v="ORD-00712"/>
    <s v="CUST0052"/>
    <x v="0"/>
    <x v="0"/>
    <n v="66"/>
    <x v="3"/>
    <x v="4"/>
    <x v="1"/>
    <n v="6150"/>
    <n v="4"/>
    <n v="24600"/>
    <x v="22"/>
    <s v="Tuesday"/>
    <s v="Weekday"/>
  </r>
  <r>
    <s v="ORD-00713"/>
    <s v="CUST0253"/>
    <x v="1"/>
    <x v="5"/>
    <n v="51"/>
    <x v="2"/>
    <x v="0"/>
    <x v="0"/>
    <n v="36900"/>
    <n v="5"/>
    <n v="184500"/>
    <x v="213"/>
    <s v="Thursday"/>
    <s v="Weekday"/>
  </r>
  <r>
    <s v="ORD-00714"/>
    <s v="CUST0095"/>
    <x v="1"/>
    <x v="0"/>
    <n v="60"/>
    <x v="3"/>
    <x v="0"/>
    <x v="0"/>
    <n v="36900"/>
    <n v="2"/>
    <n v="73800"/>
    <x v="321"/>
    <s v="Thursday"/>
    <s v="Weekday"/>
  </r>
  <r>
    <s v="ORD-00715"/>
    <s v="CUST0031"/>
    <x v="0"/>
    <x v="1"/>
    <n v="67"/>
    <x v="0"/>
    <x v="4"/>
    <x v="1"/>
    <n v="6150"/>
    <n v="1"/>
    <n v="6150"/>
    <x v="175"/>
    <s v="Saturday"/>
    <s v="Weekend"/>
  </r>
  <r>
    <s v="ORD-00716"/>
    <s v="CUST0128"/>
    <x v="1"/>
    <x v="1"/>
    <n v="52"/>
    <x v="2"/>
    <x v="6"/>
    <x v="0"/>
    <n v="98400"/>
    <n v="4"/>
    <n v="393600"/>
    <x v="78"/>
    <s v="Sunday"/>
    <s v="Weekday"/>
  </r>
  <r>
    <s v="ORD-00717"/>
    <s v="CUST0077"/>
    <x v="0"/>
    <x v="1"/>
    <n v="50"/>
    <x v="2"/>
    <x v="5"/>
    <x v="1"/>
    <n v="3690"/>
    <n v="4"/>
    <n v="14760"/>
    <x v="266"/>
    <s v="Thursday"/>
    <s v="Weekday"/>
  </r>
  <r>
    <s v="ORD-00718"/>
    <s v="CUST0073"/>
    <x v="0"/>
    <x v="0"/>
    <n v="19"/>
    <x v="0"/>
    <x v="3"/>
    <x v="2"/>
    <n v="24600"/>
    <n v="3"/>
    <n v="73800"/>
    <x v="112"/>
    <s v="Saturday"/>
    <s v="Weekend"/>
  </r>
  <r>
    <s v="ORD-00719"/>
    <s v="CUST0173"/>
    <x v="0"/>
    <x v="0"/>
    <n v="65"/>
    <x v="3"/>
    <x v="5"/>
    <x v="1"/>
    <n v="3690"/>
    <n v="5"/>
    <n v="18450"/>
    <x v="139"/>
    <s v="Thursday"/>
    <s v="Weekday"/>
  </r>
  <r>
    <s v="ORD-00720"/>
    <s v="CUST0218"/>
    <x v="0"/>
    <x v="2"/>
    <n v="36"/>
    <x v="2"/>
    <x v="0"/>
    <x v="0"/>
    <n v="36900"/>
    <n v="4"/>
    <n v="147600"/>
    <x v="322"/>
    <s v="Thursday"/>
    <s v="Weekday"/>
  </r>
  <r>
    <s v="ORD-00721"/>
    <s v="CUST0274"/>
    <x v="2"/>
    <x v="1"/>
    <n v="51"/>
    <x v="0"/>
    <x v="4"/>
    <x v="1"/>
    <n v="6150"/>
    <n v="5"/>
    <n v="30750"/>
    <x v="158"/>
    <s v="Monday"/>
    <s v="Weekday"/>
  </r>
  <r>
    <s v="ORD-00722"/>
    <s v="CUST0034"/>
    <x v="1"/>
    <x v="5"/>
    <n v="65"/>
    <x v="3"/>
    <x v="4"/>
    <x v="1"/>
    <n v="6150"/>
    <n v="3"/>
    <n v="18450"/>
    <x v="30"/>
    <s v="Friday"/>
    <s v="Weekend"/>
  </r>
  <r>
    <s v="ORD-00723"/>
    <s v="CUST0285"/>
    <x v="1"/>
    <x v="1"/>
    <n v="58"/>
    <x v="2"/>
    <x v="0"/>
    <x v="0"/>
    <n v="36900"/>
    <n v="4"/>
    <n v="147600"/>
    <x v="316"/>
    <s v="Friday"/>
    <s v="Weekend"/>
  </r>
  <r>
    <s v="ORD-00724"/>
    <s v="CUST0117"/>
    <x v="2"/>
    <x v="0"/>
    <n v="22"/>
    <x v="1"/>
    <x v="1"/>
    <x v="1"/>
    <n v="12300"/>
    <n v="3"/>
    <n v="36900"/>
    <x v="168"/>
    <s v="Thursday"/>
    <s v="Weekday"/>
  </r>
  <r>
    <s v="ORD-00725"/>
    <s v="CUST0208"/>
    <x v="1"/>
    <x v="6"/>
    <n v="57"/>
    <x v="0"/>
    <x v="5"/>
    <x v="1"/>
    <n v="3690"/>
    <n v="4"/>
    <n v="14760"/>
    <x v="178"/>
    <s v="Monday"/>
    <s v="Weekday"/>
  </r>
  <r>
    <s v="ORD-00726"/>
    <s v="CUST0107"/>
    <x v="0"/>
    <x v="5"/>
    <n v="67"/>
    <x v="3"/>
    <x v="1"/>
    <x v="1"/>
    <n v="12300"/>
    <n v="5"/>
    <n v="61500"/>
    <x v="207"/>
    <s v="Thursday"/>
    <s v="Weekday"/>
  </r>
  <r>
    <s v="ORD-00727"/>
    <s v="CUST0145"/>
    <x v="0"/>
    <x v="2"/>
    <n v="51"/>
    <x v="1"/>
    <x v="1"/>
    <x v="1"/>
    <n v="12300"/>
    <n v="4"/>
    <n v="49200"/>
    <x v="0"/>
    <s v="Friday"/>
    <s v="Weekend"/>
  </r>
  <r>
    <s v="ORD-00728"/>
    <s v="CUST0232"/>
    <x v="2"/>
    <x v="4"/>
    <n v="44"/>
    <x v="3"/>
    <x v="2"/>
    <x v="0"/>
    <n v="184500"/>
    <n v="5"/>
    <n v="922500"/>
    <x v="127"/>
    <s v="Tuesday"/>
    <s v="Weekday"/>
  </r>
  <r>
    <s v="ORD-00729"/>
    <s v="CUST0039"/>
    <x v="0"/>
    <x v="1"/>
    <n v="60"/>
    <x v="1"/>
    <x v="3"/>
    <x v="2"/>
    <n v="24600"/>
    <n v="1"/>
    <n v="24600"/>
    <x v="323"/>
    <s v="Saturday"/>
    <s v="Weekend"/>
  </r>
  <r>
    <s v="ORD-00730"/>
    <s v="CUST0195"/>
    <x v="1"/>
    <x v="0"/>
    <n v="48"/>
    <x v="1"/>
    <x v="4"/>
    <x v="1"/>
    <n v="6150"/>
    <n v="3"/>
    <n v="18450"/>
    <x v="215"/>
    <s v="Tuesday"/>
    <s v="Weekday"/>
  </r>
  <r>
    <s v="ORD-00731"/>
    <s v="CUST0185"/>
    <x v="1"/>
    <x v="1"/>
    <n v="29"/>
    <x v="0"/>
    <x v="0"/>
    <x v="0"/>
    <n v="36900"/>
    <n v="5"/>
    <n v="184500"/>
    <x v="304"/>
    <s v="Wednesday"/>
    <s v="Weekday"/>
  </r>
  <r>
    <s v="ORD-00732"/>
    <s v="CUST0281"/>
    <x v="1"/>
    <x v="6"/>
    <n v="44"/>
    <x v="0"/>
    <x v="4"/>
    <x v="1"/>
    <n v="6150"/>
    <n v="3"/>
    <n v="18450"/>
    <x v="324"/>
    <s v="Sunday"/>
    <s v="Weekday"/>
  </r>
  <r>
    <s v="ORD-00733"/>
    <s v="CUST0061"/>
    <x v="1"/>
    <x v="5"/>
    <n v="35"/>
    <x v="1"/>
    <x v="6"/>
    <x v="0"/>
    <n v="98400"/>
    <n v="1"/>
    <n v="98400"/>
    <x v="125"/>
    <s v="Sunday"/>
    <s v="Weekday"/>
  </r>
  <r>
    <s v="ORD-00734"/>
    <s v="CUST0232"/>
    <x v="2"/>
    <x v="4"/>
    <n v="44"/>
    <x v="0"/>
    <x v="5"/>
    <x v="1"/>
    <n v="3690"/>
    <n v="3"/>
    <n v="11070"/>
    <x v="218"/>
    <s v="Friday"/>
    <s v="Weekend"/>
  </r>
  <r>
    <s v="ORD-00735"/>
    <s v="CUST0013"/>
    <x v="1"/>
    <x v="7"/>
    <n v="55"/>
    <x v="3"/>
    <x v="3"/>
    <x v="2"/>
    <n v="24600"/>
    <n v="4"/>
    <n v="98400"/>
    <x v="72"/>
    <s v="Thursday"/>
    <s v="Weekday"/>
  </r>
  <r>
    <s v="ORD-00736"/>
    <s v="CUST0058"/>
    <x v="2"/>
    <x v="1"/>
    <n v="42"/>
    <x v="2"/>
    <x v="4"/>
    <x v="1"/>
    <n v="6150"/>
    <n v="1"/>
    <n v="6150"/>
    <x v="325"/>
    <s v="Thursday"/>
    <s v="Weekday"/>
  </r>
  <r>
    <s v="ORD-00737"/>
    <s v="CUST0159"/>
    <x v="0"/>
    <x v="4"/>
    <n v="18"/>
    <x v="3"/>
    <x v="2"/>
    <x v="0"/>
    <n v="184500"/>
    <n v="1"/>
    <n v="184500"/>
    <x v="326"/>
    <s v="Saturday"/>
    <s v="Weekend"/>
  </r>
  <r>
    <s v="ORD-00738"/>
    <s v="CUST0236"/>
    <x v="0"/>
    <x v="0"/>
    <n v="18"/>
    <x v="1"/>
    <x v="2"/>
    <x v="0"/>
    <n v="184500"/>
    <n v="3"/>
    <n v="553500"/>
    <x v="327"/>
    <s v="Saturday"/>
    <s v="Weekend"/>
  </r>
  <r>
    <s v="ORD-00739"/>
    <s v="CUST0281"/>
    <x v="1"/>
    <x v="6"/>
    <n v="44"/>
    <x v="3"/>
    <x v="0"/>
    <x v="0"/>
    <n v="36900"/>
    <n v="2"/>
    <n v="73800"/>
    <x v="258"/>
    <s v="Saturday"/>
    <s v="Weekend"/>
  </r>
  <r>
    <s v="ORD-00740"/>
    <s v="CUST0213"/>
    <x v="1"/>
    <x v="7"/>
    <n v="45"/>
    <x v="1"/>
    <x v="3"/>
    <x v="2"/>
    <n v="24600"/>
    <n v="5"/>
    <n v="123000"/>
    <x v="215"/>
    <s v="Tuesday"/>
    <s v="Weekday"/>
  </r>
  <r>
    <s v="ORD-00741"/>
    <s v="CUST0286"/>
    <x v="2"/>
    <x v="7"/>
    <n v="63"/>
    <x v="3"/>
    <x v="4"/>
    <x v="1"/>
    <n v="6150"/>
    <n v="2"/>
    <n v="12300"/>
    <x v="198"/>
    <s v="Tuesday"/>
    <s v="Weekday"/>
  </r>
  <r>
    <s v="ORD-00742"/>
    <s v="CUST0136"/>
    <x v="1"/>
    <x v="0"/>
    <n v="36"/>
    <x v="3"/>
    <x v="4"/>
    <x v="1"/>
    <n v="6150"/>
    <n v="4"/>
    <n v="24600"/>
    <x v="192"/>
    <s v="Sunday"/>
    <s v="Weekday"/>
  </r>
  <r>
    <s v="ORD-00743"/>
    <s v="CUST0228"/>
    <x v="0"/>
    <x v="1"/>
    <n v="25"/>
    <x v="0"/>
    <x v="4"/>
    <x v="1"/>
    <n v="6150"/>
    <n v="1"/>
    <n v="6150"/>
    <x v="28"/>
    <s v="Thursday"/>
    <s v="Weekday"/>
  </r>
  <r>
    <s v="ORD-00744"/>
    <s v="CUST0124"/>
    <x v="1"/>
    <x v="4"/>
    <n v="53"/>
    <x v="1"/>
    <x v="1"/>
    <x v="1"/>
    <n v="12300"/>
    <n v="5"/>
    <n v="61500"/>
    <x v="307"/>
    <s v="Friday"/>
    <s v="Weekend"/>
  </r>
  <r>
    <s v="ORD-00745"/>
    <s v="CUST0201"/>
    <x v="1"/>
    <x v="1"/>
    <n v="49"/>
    <x v="1"/>
    <x v="6"/>
    <x v="0"/>
    <n v="98400"/>
    <n v="1"/>
    <n v="98400"/>
    <x v="328"/>
    <s v="Tuesday"/>
    <s v="Weekday"/>
  </r>
  <r>
    <s v="ORD-00746"/>
    <s v="CUST0038"/>
    <x v="0"/>
    <x v="0"/>
    <n v="57"/>
    <x v="2"/>
    <x v="6"/>
    <x v="0"/>
    <n v="98400"/>
    <n v="2"/>
    <n v="196800"/>
    <x v="10"/>
    <s v="Thursday"/>
    <s v="Weekday"/>
  </r>
  <r>
    <s v="ORD-00747"/>
    <s v="CUST0276"/>
    <x v="0"/>
    <x v="0"/>
    <n v="66"/>
    <x v="3"/>
    <x v="2"/>
    <x v="0"/>
    <n v="184500"/>
    <n v="3"/>
    <n v="553500"/>
    <x v="200"/>
    <s v="Friday"/>
    <s v="Weekend"/>
  </r>
  <r>
    <s v="ORD-00748"/>
    <s v="CUST0201"/>
    <x v="1"/>
    <x v="1"/>
    <n v="49"/>
    <x v="3"/>
    <x v="3"/>
    <x v="2"/>
    <n v="24600"/>
    <n v="3"/>
    <n v="73800"/>
    <x v="6"/>
    <s v="Monday"/>
    <s v="Weekday"/>
  </r>
  <r>
    <s v="ORD-00749"/>
    <s v="CUST0104"/>
    <x v="0"/>
    <x v="1"/>
    <n v="40"/>
    <x v="2"/>
    <x v="4"/>
    <x v="1"/>
    <n v="6150"/>
    <n v="4"/>
    <n v="24600"/>
    <x v="223"/>
    <s v="Saturday"/>
    <s v="Weekend"/>
  </r>
  <r>
    <s v="ORD-00750"/>
    <s v="CUST0101"/>
    <x v="1"/>
    <x v="1"/>
    <n v="53"/>
    <x v="1"/>
    <x v="3"/>
    <x v="2"/>
    <n v="24600"/>
    <n v="4"/>
    <n v="98400"/>
    <x v="185"/>
    <s v="Sunday"/>
    <s v="Weekday"/>
  </r>
  <r>
    <s v="ORD-00751"/>
    <s v="CUST0138"/>
    <x v="2"/>
    <x v="0"/>
    <n v="46"/>
    <x v="3"/>
    <x v="2"/>
    <x v="0"/>
    <n v="184500"/>
    <n v="2"/>
    <n v="369000"/>
    <x v="0"/>
    <s v="Friday"/>
    <s v="Weekend"/>
  </r>
  <r>
    <s v="ORD-00752"/>
    <s v="CUST0035"/>
    <x v="1"/>
    <x v="6"/>
    <n v="20"/>
    <x v="2"/>
    <x v="4"/>
    <x v="1"/>
    <n v="6150"/>
    <n v="3"/>
    <n v="18450"/>
    <x v="197"/>
    <s v="Saturday"/>
    <s v="Weekend"/>
  </r>
  <r>
    <s v="ORD-00753"/>
    <s v="CUST0273"/>
    <x v="2"/>
    <x v="0"/>
    <n v="55"/>
    <x v="2"/>
    <x v="5"/>
    <x v="1"/>
    <n v="3690"/>
    <n v="3"/>
    <n v="11070"/>
    <x v="282"/>
    <s v="Saturday"/>
    <s v="Weekend"/>
  </r>
  <r>
    <s v="ORD-00754"/>
    <s v="CUST0228"/>
    <x v="0"/>
    <x v="1"/>
    <n v="25"/>
    <x v="2"/>
    <x v="6"/>
    <x v="0"/>
    <n v="98400"/>
    <n v="1"/>
    <n v="98400"/>
    <x v="266"/>
    <s v="Thursday"/>
    <s v="Weekday"/>
  </r>
  <r>
    <s v="ORD-00755"/>
    <s v="CUST0191"/>
    <x v="1"/>
    <x v="2"/>
    <n v="41"/>
    <x v="3"/>
    <x v="2"/>
    <x v="0"/>
    <n v="184500"/>
    <n v="4"/>
    <n v="738000"/>
    <x v="36"/>
    <s v="Tuesday"/>
    <s v="Weekday"/>
  </r>
  <r>
    <s v="ORD-00756"/>
    <s v="CUST0087"/>
    <x v="1"/>
    <x v="0"/>
    <n v="49"/>
    <x v="1"/>
    <x v="1"/>
    <x v="1"/>
    <n v="12300"/>
    <n v="2"/>
    <n v="24600"/>
    <x v="154"/>
    <s v="Monday"/>
    <s v="Weekday"/>
  </r>
  <r>
    <s v="ORD-00757"/>
    <s v="CUST0070"/>
    <x v="0"/>
    <x v="3"/>
    <n v="23"/>
    <x v="1"/>
    <x v="2"/>
    <x v="0"/>
    <n v="184500"/>
    <n v="5"/>
    <n v="922500"/>
    <x v="270"/>
    <s v="Thursday"/>
    <s v="Weekday"/>
  </r>
  <r>
    <s v="ORD-00758"/>
    <s v="CUST0088"/>
    <x v="2"/>
    <x v="5"/>
    <n v="66"/>
    <x v="2"/>
    <x v="0"/>
    <x v="0"/>
    <n v="36900"/>
    <n v="1"/>
    <n v="36900"/>
    <x v="0"/>
    <s v="Friday"/>
    <s v="Weekend"/>
  </r>
  <r>
    <s v="ORD-00759"/>
    <s v="CUST0287"/>
    <x v="1"/>
    <x v="0"/>
    <n v="60"/>
    <x v="2"/>
    <x v="6"/>
    <x v="0"/>
    <n v="98400"/>
    <n v="4"/>
    <n v="393600"/>
    <x v="14"/>
    <s v="Thursday"/>
    <s v="Weekday"/>
  </r>
  <r>
    <s v="ORD-00760"/>
    <s v="CUST0116"/>
    <x v="0"/>
    <x v="3"/>
    <n v="20"/>
    <x v="1"/>
    <x v="0"/>
    <x v="0"/>
    <n v="36900"/>
    <n v="2"/>
    <n v="73800"/>
    <x v="203"/>
    <s v="Sunday"/>
    <s v="Weekday"/>
  </r>
  <r>
    <s v="ORD-00761"/>
    <s v="CUST0037"/>
    <x v="2"/>
    <x v="2"/>
    <n v="51"/>
    <x v="2"/>
    <x v="6"/>
    <x v="0"/>
    <n v="98400"/>
    <n v="3"/>
    <n v="295200"/>
    <x v="288"/>
    <s v="Monday"/>
    <s v="Weekday"/>
  </r>
  <r>
    <s v="ORD-00762"/>
    <s v="CUST0215"/>
    <x v="1"/>
    <x v="5"/>
    <n v="35"/>
    <x v="2"/>
    <x v="5"/>
    <x v="1"/>
    <n v="3690"/>
    <n v="3"/>
    <n v="11070"/>
    <x v="175"/>
    <s v="Saturday"/>
    <s v="Weekend"/>
  </r>
  <r>
    <s v="ORD-00763"/>
    <s v="CUST0104"/>
    <x v="0"/>
    <x v="1"/>
    <n v="40"/>
    <x v="1"/>
    <x v="4"/>
    <x v="1"/>
    <n v="6150"/>
    <n v="4"/>
    <n v="24600"/>
    <x v="262"/>
    <s v="Thursday"/>
    <s v="Weekday"/>
  </r>
  <r>
    <s v="ORD-00764"/>
    <s v="CUST0197"/>
    <x v="0"/>
    <x v="4"/>
    <n v="54"/>
    <x v="3"/>
    <x v="6"/>
    <x v="0"/>
    <n v="98400"/>
    <n v="5"/>
    <n v="492000"/>
    <x v="140"/>
    <s v="Saturday"/>
    <s v="Weekend"/>
  </r>
  <r>
    <s v="ORD-00765"/>
    <s v="CUST0298"/>
    <x v="2"/>
    <x v="0"/>
    <n v="58"/>
    <x v="2"/>
    <x v="5"/>
    <x v="1"/>
    <n v="3690"/>
    <n v="4"/>
    <n v="14760"/>
    <x v="18"/>
    <s v="Wednesday"/>
    <s v="Weekday"/>
  </r>
  <r>
    <s v="ORD-00766"/>
    <s v="CUST0079"/>
    <x v="0"/>
    <x v="0"/>
    <n v="26"/>
    <x v="3"/>
    <x v="4"/>
    <x v="1"/>
    <n v="6150"/>
    <n v="2"/>
    <n v="12300"/>
    <x v="329"/>
    <s v="Tuesday"/>
    <s v="Weekday"/>
  </r>
  <r>
    <s v="ORD-00767"/>
    <s v="CUST0021"/>
    <x v="2"/>
    <x v="7"/>
    <n v="43"/>
    <x v="2"/>
    <x v="3"/>
    <x v="2"/>
    <n v="24600"/>
    <n v="1"/>
    <n v="24600"/>
    <x v="330"/>
    <s v="Thursday"/>
    <s v="Weekday"/>
  </r>
  <r>
    <s v="ORD-00768"/>
    <s v="CUST0162"/>
    <x v="0"/>
    <x v="3"/>
    <n v="69"/>
    <x v="2"/>
    <x v="2"/>
    <x v="0"/>
    <n v="184500"/>
    <n v="3"/>
    <n v="553500"/>
    <x v="100"/>
    <s v="Thursday"/>
    <s v="Weekday"/>
  </r>
  <r>
    <s v="ORD-00769"/>
    <s v="CUST0090"/>
    <x v="0"/>
    <x v="0"/>
    <n v="61"/>
    <x v="2"/>
    <x v="2"/>
    <x v="0"/>
    <n v="184500"/>
    <n v="4"/>
    <n v="738000"/>
    <x v="329"/>
    <s v="Tuesday"/>
    <s v="Weekday"/>
  </r>
  <r>
    <s v="ORD-00770"/>
    <s v="CUST0064"/>
    <x v="0"/>
    <x v="2"/>
    <n v="61"/>
    <x v="0"/>
    <x v="1"/>
    <x v="1"/>
    <n v="12300"/>
    <n v="1"/>
    <n v="12300"/>
    <x v="293"/>
    <s v="Monday"/>
    <s v="Weekday"/>
  </r>
  <r>
    <s v="ORD-00771"/>
    <s v="CUST0148"/>
    <x v="0"/>
    <x v="7"/>
    <n v="67"/>
    <x v="3"/>
    <x v="5"/>
    <x v="1"/>
    <n v="3690"/>
    <n v="4"/>
    <n v="14760"/>
    <x v="313"/>
    <s v="Monday"/>
    <s v="Weekday"/>
  </r>
  <r>
    <s v="ORD-00772"/>
    <s v="CUST0081"/>
    <x v="0"/>
    <x v="6"/>
    <n v="38"/>
    <x v="3"/>
    <x v="0"/>
    <x v="0"/>
    <n v="36900"/>
    <n v="4"/>
    <n v="147600"/>
    <x v="119"/>
    <s v="Sunday"/>
    <s v="Weekday"/>
  </r>
  <r>
    <s v="ORD-00773"/>
    <s v="CUST0160"/>
    <x v="0"/>
    <x v="0"/>
    <n v="69"/>
    <x v="2"/>
    <x v="4"/>
    <x v="1"/>
    <n v="6150"/>
    <n v="5"/>
    <n v="30750"/>
    <x v="250"/>
    <s v="Friday"/>
    <s v="Weekend"/>
  </r>
  <r>
    <s v="ORD-00774"/>
    <s v="CUST0080"/>
    <x v="0"/>
    <x v="5"/>
    <n v="51"/>
    <x v="1"/>
    <x v="6"/>
    <x v="0"/>
    <n v="98400"/>
    <n v="5"/>
    <n v="492000"/>
    <x v="331"/>
    <s v="Wednesday"/>
    <s v="Weekday"/>
  </r>
  <r>
    <s v="ORD-00775"/>
    <s v="CUST0091"/>
    <x v="2"/>
    <x v="2"/>
    <n v="30"/>
    <x v="2"/>
    <x v="1"/>
    <x v="1"/>
    <n v="12300"/>
    <n v="2"/>
    <n v="24600"/>
    <x v="122"/>
    <s v="Saturday"/>
    <s v="Weekend"/>
  </r>
  <r>
    <s v="ORD-00776"/>
    <s v="CUST0112"/>
    <x v="0"/>
    <x v="1"/>
    <n v="33"/>
    <x v="0"/>
    <x v="2"/>
    <x v="0"/>
    <n v="184500"/>
    <n v="2"/>
    <n v="369000"/>
    <x v="193"/>
    <s v="Tuesday"/>
    <s v="Weekday"/>
  </r>
  <r>
    <s v="ORD-00777"/>
    <s v="CUST0030"/>
    <x v="1"/>
    <x v="0"/>
    <n v="44"/>
    <x v="2"/>
    <x v="1"/>
    <x v="1"/>
    <n v="12300"/>
    <n v="4"/>
    <n v="49200"/>
    <x v="187"/>
    <s v="Thursday"/>
    <s v="Weekday"/>
  </r>
  <r>
    <s v="ORD-00778"/>
    <s v="CUST0276"/>
    <x v="0"/>
    <x v="0"/>
    <n v="66"/>
    <x v="0"/>
    <x v="4"/>
    <x v="1"/>
    <n v="6150"/>
    <n v="2"/>
    <n v="12300"/>
    <x v="332"/>
    <s v="Friday"/>
    <s v="Weekend"/>
  </r>
  <r>
    <s v="ORD-00779"/>
    <s v="CUST0034"/>
    <x v="1"/>
    <x v="5"/>
    <n v="65"/>
    <x v="2"/>
    <x v="4"/>
    <x v="1"/>
    <n v="6150"/>
    <n v="1"/>
    <n v="6150"/>
    <x v="333"/>
    <s v="Tuesday"/>
    <s v="Weekday"/>
  </r>
  <r>
    <s v="ORD-00780"/>
    <s v="CUST0271"/>
    <x v="0"/>
    <x v="0"/>
    <n v="46"/>
    <x v="3"/>
    <x v="5"/>
    <x v="1"/>
    <n v="3690"/>
    <n v="4"/>
    <n v="14760"/>
    <x v="127"/>
    <s v="Tuesday"/>
    <s v="Weekday"/>
  </r>
  <r>
    <s v="ORD-00781"/>
    <s v="CUST0034"/>
    <x v="1"/>
    <x v="5"/>
    <n v="65"/>
    <x v="2"/>
    <x v="2"/>
    <x v="0"/>
    <n v="184500"/>
    <n v="5"/>
    <n v="922500"/>
    <x v="169"/>
    <s v="Saturday"/>
    <s v="Weekend"/>
  </r>
  <r>
    <s v="ORD-00782"/>
    <s v="CUST0122"/>
    <x v="0"/>
    <x v="0"/>
    <n v="68"/>
    <x v="3"/>
    <x v="2"/>
    <x v="0"/>
    <n v="184500"/>
    <n v="2"/>
    <n v="369000"/>
    <x v="334"/>
    <s v="Friday"/>
    <s v="Weekend"/>
  </r>
  <r>
    <s v="ORD-00783"/>
    <s v="CUST0223"/>
    <x v="1"/>
    <x v="1"/>
    <n v="20"/>
    <x v="1"/>
    <x v="2"/>
    <x v="0"/>
    <n v="184500"/>
    <n v="5"/>
    <n v="922500"/>
    <x v="26"/>
    <s v="Wednesday"/>
    <s v="Weekday"/>
  </r>
  <r>
    <s v="ORD-00784"/>
    <s v="CUST0052"/>
    <x v="0"/>
    <x v="0"/>
    <n v="66"/>
    <x v="1"/>
    <x v="6"/>
    <x v="0"/>
    <n v="98400"/>
    <n v="4"/>
    <n v="393600"/>
    <x v="145"/>
    <s v="Saturday"/>
    <s v="Weekend"/>
  </r>
  <r>
    <s v="ORD-00785"/>
    <s v="CUST0176"/>
    <x v="0"/>
    <x v="0"/>
    <n v="51"/>
    <x v="2"/>
    <x v="4"/>
    <x v="1"/>
    <n v="6150"/>
    <n v="4"/>
    <n v="24600"/>
    <x v="67"/>
    <s v="Sunday"/>
    <s v="Weekday"/>
  </r>
  <r>
    <s v="ORD-00786"/>
    <s v="CUST0276"/>
    <x v="0"/>
    <x v="0"/>
    <n v="66"/>
    <x v="2"/>
    <x v="6"/>
    <x v="0"/>
    <n v="98400"/>
    <n v="3"/>
    <n v="295200"/>
    <x v="296"/>
    <s v="Friday"/>
    <s v="Weekend"/>
  </r>
  <r>
    <s v="ORD-00787"/>
    <s v="CUST0185"/>
    <x v="1"/>
    <x v="1"/>
    <n v="29"/>
    <x v="1"/>
    <x v="4"/>
    <x v="1"/>
    <n v="6150"/>
    <n v="4"/>
    <n v="24600"/>
    <x v="76"/>
    <s v="Friday"/>
    <s v="Weekend"/>
  </r>
  <r>
    <s v="ORD-00788"/>
    <s v="CUST0253"/>
    <x v="1"/>
    <x v="5"/>
    <n v="51"/>
    <x v="0"/>
    <x v="1"/>
    <x v="1"/>
    <n v="12300"/>
    <n v="2"/>
    <n v="24600"/>
    <x v="329"/>
    <s v="Tuesday"/>
    <s v="Weekday"/>
  </r>
  <r>
    <s v="ORD-00789"/>
    <s v="CUST0055"/>
    <x v="1"/>
    <x v="1"/>
    <n v="45"/>
    <x v="1"/>
    <x v="3"/>
    <x v="2"/>
    <n v="24600"/>
    <n v="4"/>
    <n v="98400"/>
    <x v="5"/>
    <s v="Wednesday"/>
    <s v="Weekday"/>
  </r>
  <r>
    <s v="ORD-00790"/>
    <s v="CUST0229"/>
    <x v="2"/>
    <x v="2"/>
    <n v="45"/>
    <x v="1"/>
    <x v="0"/>
    <x v="0"/>
    <n v="36900"/>
    <n v="1"/>
    <n v="36900"/>
    <x v="64"/>
    <s v="Tuesday"/>
    <s v="Weekday"/>
  </r>
  <r>
    <s v="ORD-00791"/>
    <s v="CUST0149"/>
    <x v="0"/>
    <x v="0"/>
    <n v="40"/>
    <x v="0"/>
    <x v="1"/>
    <x v="1"/>
    <n v="12300"/>
    <n v="2"/>
    <n v="24600"/>
    <x v="15"/>
    <s v="Friday"/>
    <s v="Weekend"/>
  </r>
  <r>
    <s v="ORD-00792"/>
    <s v="CUST0028"/>
    <x v="0"/>
    <x v="1"/>
    <n v="50"/>
    <x v="1"/>
    <x v="5"/>
    <x v="1"/>
    <n v="3690"/>
    <n v="5"/>
    <n v="18450"/>
    <x v="260"/>
    <s v="Friday"/>
    <s v="Weekend"/>
  </r>
  <r>
    <s v="ORD-00793"/>
    <s v="CUST0011"/>
    <x v="2"/>
    <x v="0"/>
    <n v="54"/>
    <x v="1"/>
    <x v="1"/>
    <x v="1"/>
    <n v="12300"/>
    <n v="1"/>
    <n v="12300"/>
    <x v="294"/>
    <s v="Monday"/>
    <s v="Weekday"/>
  </r>
  <r>
    <s v="ORD-00794"/>
    <s v="CUST0259"/>
    <x v="0"/>
    <x v="4"/>
    <n v="59"/>
    <x v="0"/>
    <x v="5"/>
    <x v="1"/>
    <n v="3690"/>
    <n v="2"/>
    <n v="7380"/>
    <x v="30"/>
    <s v="Friday"/>
    <s v="Weekend"/>
  </r>
  <r>
    <s v="ORD-00795"/>
    <s v="CUST0296"/>
    <x v="1"/>
    <x v="1"/>
    <n v="50"/>
    <x v="0"/>
    <x v="0"/>
    <x v="0"/>
    <n v="36900"/>
    <n v="1"/>
    <n v="36900"/>
    <x v="275"/>
    <s v="Tuesday"/>
    <s v="Weekday"/>
  </r>
  <r>
    <s v="ORD-00796"/>
    <s v="CUST0101"/>
    <x v="1"/>
    <x v="1"/>
    <n v="53"/>
    <x v="3"/>
    <x v="1"/>
    <x v="1"/>
    <n v="12300"/>
    <n v="3"/>
    <n v="36900"/>
    <x v="25"/>
    <s v="Monday"/>
    <s v="Weekday"/>
  </r>
  <r>
    <s v="ORD-00797"/>
    <s v="CUST0288"/>
    <x v="0"/>
    <x v="5"/>
    <n v="55"/>
    <x v="2"/>
    <x v="2"/>
    <x v="0"/>
    <n v="184500"/>
    <n v="2"/>
    <n v="369000"/>
    <x v="207"/>
    <s v="Thursday"/>
    <s v="Weekday"/>
  </r>
  <r>
    <s v="ORD-00798"/>
    <s v="CUST0206"/>
    <x v="2"/>
    <x v="0"/>
    <n v="43"/>
    <x v="3"/>
    <x v="4"/>
    <x v="1"/>
    <n v="6150"/>
    <n v="4"/>
    <n v="24600"/>
    <x v="27"/>
    <s v="Monday"/>
    <s v="Weekday"/>
  </r>
  <r>
    <s v="ORD-00799"/>
    <s v="CUST0179"/>
    <x v="0"/>
    <x v="0"/>
    <n v="45"/>
    <x v="0"/>
    <x v="0"/>
    <x v="0"/>
    <n v="36900"/>
    <n v="4"/>
    <n v="147600"/>
    <x v="292"/>
    <s v="Monday"/>
    <s v="Weekday"/>
  </r>
  <r>
    <s v="ORD-00800"/>
    <s v="CUST0293"/>
    <x v="0"/>
    <x v="1"/>
    <n v="32"/>
    <x v="1"/>
    <x v="0"/>
    <x v="0"/>
    <n v="36900"/>
    <n v="2"/>
    <n v="73800"/>
    <x v="166"/>
    <s v="Tuesday"/>
    <s v="Weekday"/>
  </r>
  <r>
    <s v="ORD-00801"/>
    <s v="CUST0120"/>
    <x v="2"/>
    <x v="1"/>
    <n v="35"/>
    <x v="0"/>
    <x v="1"/>
    <x v="1"/>
    <n v="12300"/>
    <n v="4"/>
    <n v="49200"/>
    <x v="208"/>
    <s v="Sunday"/>
    <s v="Weekday"/>
  </r>
  <r>
    <s v="ORD-00802"/>
    <s v="CUST0112"/>
    <x v="0"/>
    <x v="1"/>
    <n v="33"/>
    <x v="1"/>
    <x v="6"/>
    <x v="0"/>
    <n v="98400"/>
    <n v="5"/>
    <n v="492000"/>
    <x v="7"/>
    <s v="Thursday"/>
    <s v="Weekday"/>
  </r>
  <r>
    <s v="ORD-00803"/>
    <s v="CUST0218"/>
    <x v="0"/>
    <x v="2"/>
    <n v="36"/>
    <x v="3"/>
    <x v="5"/>
    <x v="1"/>
    <n v="3690"/>
    <n v="5"/>
    <n v="18450"/>
    <x v="335"/>
    <s v="Tuesday"/>
    <s v="Weekday"/>
  </r>
  <r>
    <s v="ORD-00804"/>
    <s v="CUST0018"/>
    <x v="1"/>
    <x v="2"/>
    <n v="38"/>
    <x v="3"/>
    <x v="4"/>
    <x v="1"/>
    <n v="6150"/>
    <n v="5"/>
    <n v="30750"/>
    <x v="336"/>
    <s v="Friday"/>
    <s v="Weekend"/>
  </r>
  <r>
    <s v="ORD-00805"/>
    <s v="CUST0193"/>
    <x v="2"/>
    <x v="1"/>
    <n v="64"/>
    <x v="3"/>
    <x v="2"/>
    <x v="0"/>
    <n v="184500"/>
    <n v="4"/>
    <n v="738000"/>
    <x v="184"/>
    <s v="Sunday"/>
    <s v="Weekday"/>
  </r>
  <r>
    <s v="ORD-00806"/>
    <s v="CUST0088"/>
    <x v="2"/>
    <x v="5"/>
    <n v="66"/>
    <x v="1"/>
    <x v="2"/>
    <x v="0"/>
    <n v="184500"/>
    <n v="4"/>
    <n v="738000"/>
    <x v="166"/>
    <s v="Tuesday"/>
    <s v="Weekday"/>
  </r>
  <r>
    <s v="ORD-00807"/>
    <s v="CUST0116"/>
    <x v="0"/>
    <x v="3"/>
    <n v="20"/>
    <x v="2"/>
    <x v="5"/>
    <x v="1"/>
    <n v="3690"/>
    <n v="3"/>
    <n v="11070"/>
    <x v="258"/>
    <s v="Saturday"/>
    <s v="Weekend"/>
  </r>
  <r>
    <s v="ORD-00808"/>
    <s v="CUST0152"/>
    <x v="0"/>
    <x v="0"/>
    <n v="69"/>
    <x v="2"/>
    <x v="4"/>
    <x v="1"/>
    <n v="6150"/>
    <n v="4"/>
    <n v="24600"/>
    <x v="79"/>
    <s v="Saturday"/>
    <s v="Weekend"/>
  </r>
  <r>
    <s v="ORD-00809"/>
    <s v="CUST0290"/>
    <x v="1"/>
    <x v="0"/>
    <n v="37"/>
    <x v="2"/>
    <x v="3"/>
    <x v="2"/>
    <n v="24600"/>
    <n v="4"/>
    <n v="98400"/>
    <x v="337"/>
    <s v="Thursday"/>
    <s v="Weekday"/>
  </r>
  <r>
    <s v="ORD-00810"/>
    <s v="CUST0293"/>
    <x v="0"/>
    <x v="1"/>
    <n v="32"/>
    <x v="0"/>
    <x v="0"/>
    <x v="0"/>
    <n v="36900"/>
    <n v="2"/>
    <n v="73800"/>
    <x v="50"/>
    <s v="Monday"/>
    <s v="Weekday"/>
  </r>
  <r>
    <s v="ORD-00811"/>
    <s v="CUST0080"/>
    <x v="0"/>
    <x v="5"/>
    <n v="51"/>
    <x v="0"/>
    <x v="0"/>
    <x v="0"/>
    <n v="36900"/>
    <n v="5"/>
    <n v="184500"/>
    <x v="338"/>
    <s v="Monday"/>
    <s v="Weekday"/>
  </r>
  <r>
    <s v="ORD-00812"/>
    <s v="CUST0134"/>
    <x v="0"/>
    <x v="5"/>
    <n v="58"/>
    <x v="1"/>
    <x v="4"/>
    <x v="1"/>
    <n v="6150"/>
    <n v="4"/>
    <n v="24600"/>
    <x v="102"/>
    <s v="Saturday"/>
    <s v="Weekend"/>
  </r>
  <r>
    <s v="ORD-00813"/>
    <s v="CUST0010"/>
    <x v="2"/>
    <x v="2"/>
    <n v="37"/>
    <x v="0"/>
    <x v="6"/>
    <x v="0"/>
    <n v="98400"/>
    <n v="5"/>
    <n v="492000"/>
    <x v="286"/>
    <s v="Wednesday"/>
    <s v="Weekday"/>
  </r>
  <r>
    <s v="ORD-00814"/>
    <s v="CUST0252"/>
    <x v="0"/>
    <x v="0"/>
    <n v="55"/>
    <x v="1"/>
    <x v="3"/>
    <x v="2"/>
    <n v="24600"/>
    <n v="3"/>
    <n v="73800"/>
    <x v="40"/>
    <s v="Wednesday"/>
    <s v="Weekday"/>
  </r>
  <r>
    <s v="ORD-00815"/>
    <s v="CUST0211"/>
    <x v="2"/>
    <x v="0"/>
    <n v="35"/>
    <x v="3"/>
    <x v="0"/>
    <x v="0"/>
    <n v="36900"/>
    <n v="5"/>
    <n v="184500"/>
    <x v="315"/>
    <s v="Monday"/>
    <s v="Weekday"/>
  </r>
  <r>
    <s v="ORD-00816"/>
    <s v="CUST0095"/>
    <x v="1"/>
    <x v="0"/>
    <n v="60"/>
    <x v="1"/>
    <x v="0"/>
    <x v="0"/>
    <n v="36900"/>
    <n v="3"/>
    <n v="110700"/>
    <x v="339"/>
    <s v="Sunday"/>
    <s v="Weekday"/>
  </r>
  <r>
    <s v="ORD-00817"/>
    <s v="CUST0226"/>
    <x v="0"/>
    <x v="5"/>
    <n v="43"/>
    <x v="0"/>
    <x v="6"/>
    <x v="0"/>
    <n v="98400"/>
    <n v="4"/>
    <n v="393600"/>
    <x v="8"/>
    <s v="Saturday"/>
    <s v="Weekend"/>
  </r>
  <r>
    <s v="ORD-00818"/>
    <s v="CUST0238"/>
    <x v="0"/>
    <x v="0"/>
    <n v="26"/>
    <x v="3"/>
    <x v="3"/>
    <x v="2"/>
    <n v="24600"/>
    <n v="4"/>
    <n v="98400"/>
    <x v="96"/>
    <s v="Tuesday"/>
    <s v="Weekday"/>
  </r>
  <r>
    <s v="ORD-00819"/>
    <s v="CUST0274"/>
    <x v="2"/>
    <x v="1"/>
    <n v="51"/>
    <x v="3"/>
    <x v="0"/>
    <x v="0"/>
    <n v="36900"/>
    <n v="4"/>
    <n v="147600"/>
    <x v="330"/>
    <s v="Thursday"/>
    <s v="Weekday"/>
  </r>
  <r>
    <s v="ORD-00820"/>
    <s v="CUST0225"/>
    <x v="2"/>
    <x v="0"/>
    <n v="65"/>
    <x v="1"/>
    <x v="4"/>
    <x v="1"/>
    <n v="6150"/>
    <n v="3"/>
    <n v="18450"/>
    <x v="112"/>
    <s v="Saturday"/>
    <s v="Weekend"/>
  </r>
  <r>
    <s v="ORD-00821"/>
    <s v="CUST0233"/>
    <x v="0"/>
    <x v="0"/>
    <n v="24"/>
    <x v="2"/>
    <x v="3"/>
    <x v="2"/>
    <n v="24600"/>
    <n v="3"/>
    <n v="73800"/>
    <x v="278"/>
    <s v="Saturday"/>
    <s v="Weekend"/>
  </r>
  <r>
    <s v="ORD-00822"/>
    <s v="CUST0208"/>
    <x v="1"/>
    <x v="6"/>
    <n v="57"/>
    <x v="0"/>
    <x v="1"/>
    <x v="1"/>
    <n v="12300"/>
    <n v="4"/>
    <n v="49200"/>
    <x v="123"/>
    <s v="Tuesday"/>
    <s v="Weekday"/>
  </r>
  <r>
    <s v="ORD-00823"/>
    <s v="CUST0006"/>
    <x v="2"/>
    <x v="0"/>
    <n v="52"/>
    <x v="0"/>
    <x v="3"/>
    <x v="2"/>
    <n v="24600"/>
    <n v="5"/>
    <n v="123000"/>
    <x v="120"/>
    <s v="Monday"/>
    <s v="Weekday"/>
  </r>
  <r>
    <s v="ORD-00824"/>
    <s v="CUST0181"/>
    <x v="0"/>
    <x v="6"/>
    <n v="59"/>
    <x v="2"/>
    <x v="0"/>
    <x v="0"/>
    <n v="36900"/>
    <n v="4"/>
    <n v="147600"/>
    <x v="6"/>
    <s v="Monday"/>
    <s v="Weekday"/>
  </r>
  <r>
    <s v="ORD-00825"/>
    <s v="CUST0126"/>
    <x v="0"/>
    <x v="5"/>
    <n v="66"/>
    <x v="0"/>
    <x v="3"/>
    <x v="2"/>
    <n v="24600"/>
    <n v="5"/>
    <n v="123000"/>
    <x v="254"/>
    <s v="Tuesday"/>
    <s v="Weekday"/>
  </r>
  <r>
    <s v="ORD-00826"/>
    <s v="CUST0118"/>
    <x v="0"/>
    <x v="2"/>
    <n v="23"/>
    <x v="2"/>
    <x v="4"/>
    <x v="1"/>
    <n v="6150"/>
    <n v="1"/>
    <n v="6150"/>
    <x v="61"/>
    <s v="Monday"/>
    <s v="Weekday"/>
  </r>
  <r>
    <s v="ORD-00827"/>
    <s v="CUST0007"/>
    <x v="1"/>
    <x v="5"/>
    <n v="52"/>
    <x v="2"/>
    <x v="3"/>
    <x v="2"/>
    <n v="24600"/>
    <n v="3"/>
    <n v="73800"/>
    <x v="253"/>
    <s v="Monday"/>
    <s v="Weekday"/>
  </r>
  <r>
    <s v="ORD-00828"/>
    <s v="CUST0263"/>
    <x v="1"/>
    <x v="0"/>
    <n v="40"/>
    <x v="3"/>
    <x v="1"/>
    <x v="1"/>
    <n v="12300"/>
    <n v="3"/>
    <n v="36900"/>
    <x v="11"/>
    <s v="Wednesday"/>
    <s v="Weekday"/>
  </r>
  <r>
    <s v="ORD-00829"/>
    <s v="CUST0256"/>
    <x v="0"/>
    <x v="2"/>
    <n v="69"/>
    <x v="3"/>
    <x v="2"/>
    <x v="0"/>
    <n v="184500"/>
    <n v="3"/>
    <n v="553500"/>
    <x v="116"/>
    <s v="Tuesday"/>
    <s v="Weekday"/>
  </r>
  <r>
    <s v="ORD-00830"/>
    <s v="CUST0172"/>
    <x v="1"/>
    <x v="5"/>
    <n v="56"/>
    <x v="1"/>
    <x v="5"/>
    <x v="1"/>
    <n v="3690"/>
    <n v="4"/>
    <n v="14760"/>
    <x v="117"/>
    <s v="Thursday"/>
    <s v="Weekday"/>
  </r>
  <r>
    <s v="ORD-00831"/>
    <s v="CUST0114"/>
    <x v="0"/>
    <x v="0"/>
    <n v="60"/>
    <x v="3"/>
    <x v="6"/>
    <x v="0"/>
    <n v="98400"/>
    <n v="3"/>
    <n v="295200"/>
    <x v="89"/>
    <s v="Saturday"/>
    <s v="Weekend"/>
  </r>
  <r>
    <s v="ORD-00832"/>
    <s v="CUST0198"/>
    <x v="0"/>
    <x v="0"/>
    <n v="56"/>
    <x v="2"/>
    <x v="6"/>
    <x v="0"/>
    <n v="98400"/>
    <n v="5"/>
    <n v="492000"/>
    <x v="49"/>
    <s v="Wednesday"/>
    <s v="Weekday"/>
  </r>
  <r>
    <s v="ORD-00833"/>
    <s v="CUST0234"/>
    <x v="2"/>
    <x v="5"/>
    <n v="44"/>
    <x v="1"/>
    <x v="3"/>
    <x v="2"/>
    <n v="24600"/>
    <n v="1"/>
    <n v="24600"/>
    <x v="340"/>
    <s v="Saturday"/>
    <s v="Weekend"/>
  </r>
  <r>
    <s v="ORD-00834"/>
    <s v="CUST0182"/>
    <x v="0"/>
    <x v="0"/>
    <n v="19"/>
    <x v="0"/>
    <x v="4"/>
    <x v="1"/>
    <n v="6150"/>
    <n v="3"/>
    <n v="18450"/>
    <x v="66"/>
    <s v="Tuesday"/>
    <s v="Weekday"/>
  </r>
  <r>
    <s v="ORD-00835"/>
    <s v="CUST0104"/>
    <x v="0"/>
    <x v="1"/>
    <n v="40"/>
    <x v="2"/>
    <x v="3"/>
    <x v="2"/>
    <n v="24600"/>
    <n v="1"/>
    <n v="24600"/>
    <x v="340"/>
    <s v="Saturday"/>
    <s v="Weekend"/>
  </r>
  <r>
    <s v="ORD-00836"/>
    <s v="CUST0232"/>
    <x v="2"/>
    <x v="4"/>
    <n v="44"/>
    <x v="1"/>
    <x v="1"/>
    <x v="1"/>
    <n v="12300"/>
    <n v="1"/>
    <n v="12300"/>
    <x v="237"/>
    <s v="Friday"/>
    <s v="Weekend"/>
  </r>
  <r>
    <s v="ORD-00837"/>
    <s v="CUST0160"/>
    <x v="0"/>
    <x v="0"/>
    <n v="69"/>
    <x v="3"/>
    <x v="2"/>
    <x v="0"/>
    <n v="184500"/>
    <n v="1"/>
    <n v="184500"/>
    <x v="123"/>
    <s v="Tuesday"/>
    <s v="Weekday"/>
  </r>
  <r>
    <s v="ORD-00838"/>
    <s v="CUST0105"/>
    <x v="0"/>
    <x v="4"/>
    <n v="27"/>
    <x v="2"/>
    <x v="3"/>
    <x v="2"/>
    <n v="24600"/>
    <n v="2"/>
    <n v="49200"/>
    <x v="3"/>
    <s v="Wednesday"/>
    <s v="Weekday"/>
  </r>
  <r>
    <s v="ORD-00839"/>
    <s v="CUST0065"/>
    <x v="1"/>
    <x v="0"/>
    <n v="41"/>
    <x v="1"/>
    <x v="3"/>
    <x v="2"/>
    <n v="24600"/>
    <n v="5"/>
    <n v="123000"/>
    <x v="341"/>
    <s v="Friday"/>
    <s v="Weekend"/>
  </r>
  <r>
    <s v="ORD-00840"/>
    <s v="CUST0220"/>
    <x v="0"/>
    <x v="1"/>
    <n v="67"/>
    <x v="0"/>
    <x v="5"/>
    <x v="1"/>
    <n v="3690"/>
    <n v="4"/>
    <n v="14760"/>
    <x v="192"/>
    <s v="Sunday"/>
    <s v="Weekday"/>
  </r>
  <r>
    <s v="ORD-00841"/>
    <s v="CUST0150"/>
    <x v="2"/>
    <x v="1"/>
    <n v="63"/>
    <x v="2"/>
    <x v="5"/>
    <x v="1"/>
    <n v="3690"/>
    <n v="5"/>
    <n v="18450"/>
    <x v="342"/>
    <s v="Saturday"/>
    <s v="Weekend"/>
  </r>
  <r>
    <s v="ORD-00842"/>
    <s v="CUST0300"/>
    <x v="2"/>
    <x v="0"/>
    <n v="66"/>
    <x v="2"/>
    <x v="3"/>
    <x v="2"/>
    <n v="24600"/>
    <n v="4"/>
    <n v="98400"/>
    <x v="300"/>
    <s v="Sunday"/>
    <s v="Weekday"/>
  </r>
  <r>
    <s v="ORD-00843"/>
    <s v="CUST0079"/>
    <x v="0"/>
    <x v="0"/>
    <n v="26"/>
    <x v="1"/>
    <x v="3"/>
    <x v="2"/>
    <n v="24600"/>
    <n v="4"/>
    <n v="98400"/>
    <x v="343"/>
    <s v="Friday"/>
    <s v="Weekend"/>
  </r>
  <r>
    <s v="ORD-00844"/>
    <s v="CUST0255"/>
    <x v="0"/>
    <x v="1"/>
    <n v="39"/>
    <x v="1"/>
    <x v="2"/>
    <x v="0"/>
    <n v="184500"/>
    <n v="2"/>
    <n v="369000"/>
    <x v="51"/>
    <s v="Thursday"/>
    <s v="Weekday"/>
  </r>
  <r>
    <s v="ORD-00845"/>
    <s v="CUST0154"/>
    <x v="2"/>
    <x v="6"/>
    <n v="31"/>
    <x v="3"/>
    <x v="0"/>
    <x v="0"/>
    <n v="36900"/>
    <n v="2"/>
    <n v="73800"/>
    <x v="327"/>
    <s v="Saturday"/>
    <s v="Weekend"/>
  </r>
  <r>
    <s v="ORD-00846"/>
    <s v="CUST0112"/>
    <x v="0"/>
    <x v="1"/>
    <n v="33"/>
    <x v="3"/>
    <x v="6"/>
    <x v="0"/>
    <n v="98400"/>
    <n v="2"/>
    <n v="196800"/>
    <x v="0"/>
    <s v="Friday"/>
    <s v="Weekend"/>
  </r>
  <r>
    <s v="ORD-00847"/>
    <s v="CUST0130"/>
    <x v="0"/>
    <x v="0"/>
    <n v="68"/>
    <x v="2"/>
    <x v="1"/>
    <x v="1"/>
    <n v="12300"/>
    <n v="4"/>
    <n v="49200"/>
    <x v="317"/>
    <s v="Saturday"/>
    <s v="Weekend"/>
  </r>
  <r>
    <s v="ORD-00848"/>
    <s v="CUST0061"/>
    <x v="1"/>
    <x v="5"/>
    <n v="35"/>
    <x v="0"/>
    <x v="0"/>
    <x v="0"/>
    <n v="36900"/>
    <n v="1"/>
    <n v="36900"/>
    <x v="177"/>
    <s v="Wednesday"/>
    <s v="Weekday"/>
  </r>
  <r>
    <s v="ORD-00849"/>
    <s v="CUST0046"/>
    <x v="1"/>
    <x v="0"/>
    <n v="22"/>
    <x v="3"/>
    <x v="2"/>
    <x v="0"/>
    <n v="184500"/>
    <n v="2"/>
    <n v="369000"/>
    <x v="268"/>
    <s v="Saturday"/>
    <s v="Weekend"/>
  </r>
  <r>
    <s v="ORD-00850"/>
    <s v="CUST0200"/>
    <x v="1"/>
    <x v="0"/>
    <n v="68"/>
    <x v="0"/>
    <x v="2"/>
    <x v="0"/>
    <n v="184500"/>
    <n v="1"/>
    <n v="184500"/>
    <x v="230"/>
    <s v="Sunday"/>
    <s v="Weekday"/>
  </r>
  <r>
    <s v="ORD-00851"/>
    <s v="CUST0001"/>
    <x v="2"/>
    <x v="1"/>
    <n v="38"/>
    <x v="1"/>
    <x v="2"/>
    <x v="0"/>
    <n v="184500"/>
    <n v="4"/>
    <n v="738000"/>
    <x v="252"/>
    <s v="Wednesday"/>
    <s v="Weekday"/>
  </r>
  <r>
    <s v="ORD-00852"/>
    <s v="CUST0101"/>
    <x v="1"/>
    <x v="1"/>
    <n v="53"/>
    <x v="1"/>
    <x v="6"/>
    <x v="0"/>
    <n v="98400"/>
    <n v="4"/>
    <n v="393600"/>
    <x v="333"/>
    <s v="Tuesday"/>
    <s v="Weekday"/>
  </r>
  <r>
    <s v="ORD-00853"/>
    <s v="CUST0113"/>
    <x v="2"/>
    <x v="7"/>
    <n v="38"/>
    <x v="3"/>
    <x v="4"/>
    <x v="1"/>
    <n v="6150"/>
    <n v="4"/>
    <n v="24600"/>
    <x v="53"/>
    <s v="Thursday"/>
    <s v="Weekday"/>
  </r>
  <r>
    <s v="ORD-00854"/>
    <s v="CUST0076"/>
    <x v="0"/>
    <x v="0"/>
    <n v="26"/>
    <x v="2"/>
    <x v="5"/>
    <x v="1"/>
    <n v="3690"/>
    <n v="1"/>
    <n v="3690"/>
    <x v="284"/>
    <s v="Thursday"/>
    <s v="Weekday"/>
  </r>
  <r>
    <s v="ORD-00855"/>
    <s v="CUST0120"/>
    <x v="2"/>
    <x v="1"/>
    <n v="35"/>
    <x v="1"/>
    <x v="4"/>
    <x v="1"/>
    <n v="6150"/>
    <n v="3"/>
    <n v="18450"/>
    <x v="344"/>
    <s v="Monday"/>
    <s v="Weekday"/>
  </r>
  <r>
    <s v="ORD-00856"/>
    <s v="CUST0265"/>
    <x v="2"/>
    <x v="0"/>
    <n v="38"/>
    <x v="0"/>
    <x v="4"/>
    <x v="1"/>
    <n v="6150"/>
    <n v="4"/>
    <n v="24600"/>
    <x v="107"/>
    <s v="Monday"/>
    <s v="Weekday"/>
  </r>
  <r>
    <s v="ORD-00857"/>
    <s v="CUST0214"/>
    <x v="1"/>
    <x v="0"/>
    <n v="45"/>
    <x v="2"/>
    <x v="0"/>
    <x v="0"/>
    <n v="36900"/>
    <n v="2"/>
    <n v="73800"/>
    <x v="232"/>
    <s v="Monday"/>
    <s v="Weekday"/>
  </r>
  <r>
    <s v="ORD-00858"/>
    <s v="CUST0058"/>
    <x v="2"/>
    <x v="1"/>
    <n v="42"/>
    <x v="3"/>
    <x v="0"/>
    <x v="0"/>
    <n v="36900"/>
    <n v="4"/>
    <n v="147600"/>
    <x v="22"/>
    <s v="Tuesday"/>
    <s v="Weekday"/>
  </r>
  <r>
    <s v="ORD-00859"/>
    <s v="CUST0288"/>
    <x v="0"/>
    <x v="5"/>
    <n v="55"/>
    <x v="1"/>
    <x v="3"/>
    <x v="2"/>
    <n v="24600"/>
    <n v="2"/>
    <n v="49200"/>
    <x v="308"/>
    <s v="Tuesday"/>
    <s v="Weekday"/>
  </r>
  <r>
    <s v="ORD-00860"/>
    <s v="CUST0210"/>
    <x v="0"/>
    <x v="2"/>
    <n v="30"/>
    <x v="3"/>
    <x v="0"/>
    <x v="0"/>
    <n v="36900"/>
    <n v="1"/>
    <n v="36900"/>
    <x v="281"/>
    <s v="Sunday"/>
    <s v="Weekday"/>
  </r>
  <r>
    <s v="ORD-00861"/>
    <s v="CUST0116"/>
    <x v="0"/>
    <x v="3"/>
    <n v="20"/>
    <x v="2"/>
    <x v="5"/>
    <x v="1"/>
    <n v="3690"/>
    <n v="1"/>
    <n v="3690"/>
    <x v="126"/>
    <s v="Thursday"/>
    <s v="Weekday"/>
  </r>
  <r>
    <s v="ORD-00862"/>
    <s v="CUST0059"/>
    <x v="1"/>
    <x v="4"/>
    <n v="18"/>
    <x v="2"/>
    <x v="2"/>
    <x v="0"/>
    <n v="184500"/>
    <n v="2"/>
    <n v="369000"/>
    <x v="301"/>
    <s v="Saturday"/>
    <s v="Weekend"/>
  </r>
  <r>
    <s v="ORD-00863"/>
    <s v="CUST0239"/>
    <x v="2"/>
    <x v="1"/>
    <n v="35"/>
    <x v="2"/>
    <x v="6"/>
    <x v="0"/>
    <n v="98400"/>
    <n v="4"/>
    <n v="393600"/>
    <x v="99"/>
    <s v="Friday"/>
    <s v="Weekend"/>
  </r>
  <r>
    <s v="ORD-00864"/>
    <s v="CUST0099"/>
    <x v="2"/>
    <x v="5"/>
    <n v="26"/>
    <x v="0"/>
    <x v="3"/>
    <x v="2"/>
    <n v="24600"/>
    <n v="1"/>
    <n v="24600"/>
    <x v="242"/>
    <s v="Friday"/>
    <s v="Weekend"/>
  </r>
  <r>
    <s v="ORD-00865"/>
    <s v="CUST0018"/>
    <x v="1"/>
    <x v="2"/>
    <n v="38"/>
    <x v="2"/>
    <x v="0"/>
    <x v="0"/>
    <n v="36900"/>
    <n v="2"/>
    <n v="73800"/>
    <x v="48"/>
    <s v="Sunday"/>
    <s v="Weekday"/>
  </r>
  <r>
    <s v="ORD-00866"/>
    <s v="CUST0028"/>
    <x v="0"/>
    <x v="1"/>
    <n v="50"/>
    <x v="2"/>
    <x v="4"/>
    <x v="1"/>
    <n v="6150"/>
    <n v="4"/>
    <n v="24600"/>
    <x v="193"/>
    <s v="Tuesday"/>
    <s v="Weekday"/>
  </r>
  <r>
    <s v="ORD-00867"/>
    <s v="CUST0159"/>
    <x v="0"/>
    <x v="4"/>
    <n v="18"/>
    <x v="1"/>
    <x v="2"/>
    <x v="0"/>
    <n v="184500"/>
    <n v="3"/>
    <n v="553500"/>
    <x v="103"/>
    <s v="Wednesday"/>
    <s v="Weekday"/>
  </r>
  <r>
    <s v="ORD-00868"/>
    <s v="CUST0053"/>
    <x v="1"/>
    <x v="5"/>
    <n v="25"/>
    <x v="0"/>
    <x v="3"/>
    <x v="2"/>
    <n v="24600"/>
    <n v="1"/>
    <n v="24600"/>
    <x v="244"/>
    <s v="Monday"/>
    <s v="Weekday"/>
  </r>
  <r>
    <s v="ORD-00869"/>
    <s v="CUST0015"/>
    <x v="0"/>
    <x v="5"/>
    <n v="58"/>
    <x v="0"/>
    <x v="2"/>
    <x v="0"/>
    <n v="184500"/>
    <n v="5"/>
    <n v="922500"/>
    <x v="134"/>
    <s v="Friday"/>
    <s v="Weekend"/>
  </r>
  <r>
    <s v="ORD-00870"/>
    <s v="CUST0045"/>
    <x v="2"/>
    <x v="2"/>
    <n v="21"/>
    <x v="3"/>
    <x v="1"/>
    <x v="1"/>
    <n v="12300"/>
    <n v="4"/>
    <n v="49200"/>
    <x v="164"/>
    <s v="Wednesday"/>
    <s v="Weekday"/>
  </r>
  <r>
    <s v="ORD-00871"/>
    <s v="CUST0156"/>
    <x v="2"/>
    <x v="2"/>
    <n v="57"/>
    <x v="2"/>
    <x v="2"/>
    <x v="0"/>
    <n v="184500"/>
    <n v="5"/>
    <n v="922500"/>
    <x v="38"/>
    <s v="Thursday"/>
    <s v="Weekday"/>
  </r>
  <r>
    <s v="ORD-00872"/>
    <s v="CUST0174"/>
    <x v="1"/>
    <x v="1"/>
    <n v="68"/>
    <x v="1"/>
    <x v="4"/>
    <x v="1"/>
    <n v="6150"/>
    <n v="4"/>
    <n v="24600"/>
    <x v="345"/>
    <s v="Sunday"/>
    <s v="Weekday"/>
  </r>
  <r>
    <s v="ORD-00873"/>
    <s v="CUST0116"/>
    <x v="0"/>
    <x v="3"/>
    <n v="20"/>
    <x v="3"/>
    <x v="0"/>
    <x v="0"/>
    <n v="36900"/>
    <n v="2"/>
    <n v="73800"/>
    <x v="89"/>
    <s v="Saturday"/>
    <s v="Weekend"/>
  </r>
  <r>
    <s v="ORD-00874"/>
    <s v="CUST0239"/>
    <x v="2"/>
    <x v="1"/>
    <n v="35"/>
    <x v="2"/>
    <x v="5"/>
    <x v="1"/>
    <n v="3690"/>
    <n v="5"/>
    <n v="18450"/>
    <x v="136"/>
    <s v="Wednesday"/>
    <s v="Weekday"/>
  </r>
  <r>
    <s v="ORD-00875"/>
    <s v="CUST0268"/>
    <x v="0"/>
    <x v="0"/>
    <n v="21"/>
    <x v="0"/>
    <x v="5"/>
    <x v="1"/>
    <n v="3690"/>
    <n v="3"/>
    <n v="11070"/>
    <x v="216"/>
    <s v="Friday"/>
    <s v="Weekend"/>
  </r>
  <r>
    <s v="ORD-00876"/>
    <s v="CUST0086"/>
    <x v="0"/>
    <x v="7"/>
    <n v="26"/>
    <x v="2"/>
    <x v="0"/>
    <x v="0"/>
    <n v="36900"/>
    <n v="2"/>
    <n v="73800"/>
    <x v="255"/>
    <s v="Monday"/>
    <s v="Weekday"/>
  </r>
  <r>
    <s v="ORD-00877"/>
    <s v="CUST0087"/>
    <x v="1"/>
    <x v="0"/>
    <n v="49"/>
    <x v="2"/>
    <x v="2"/>
    <x v="0"/>
    <n v="184500"/>
    <n v="2"/>
    <n v="369000"/>
    <x v="237"/>
    <s v="Friday"/>
    <s v="Weekend"/>
  </r>
  <r>
    <s v="ORD-00878"/>
    <s v="CUST0077"/>
    <x v="0"/>
    <x v="1"/>
    <n v="50"/>
    <x v="1"/>
    <x v="0"/>
    <x v="0"/>
    <n v="36900"/>
    <n v="3"/>
    <n v="110700"/>
    <x v="337"/>
    <s v="Thursday"/>
    <s v="Weekday"/>
  </r>
  <r>
    <s v="ORD-00879"/>
    <s v="CUST0122"/>
    <x v="0"/>
    <x v="0"/>
    <n v="68"/>
    <x v="1"/>
    <x v="4"/>
    <x v="1"/>
    <n v="6150"/>
    <n v="2"/>
    <n v="12300"/>
    <x v="136"/>
    <s v="Wednesday"/>
    <s v="Weekday"/>
  </r>
  <r>
    <s v="ORD-00880"/>
    <s v="CUST0242"/>
    <x v="0"/>
    <x v="1"/>
    <n v="58"/>
    <x v="1"/>
    <x v="3"/>
    <x v="2"/>
    <n v="24600"/>
    <n v="5"/>
    <n v="123000"/>
    <x v="220"/>
    <s v="Sunday"/>
    <s v="Weekday"/>
  </r>
  <r>
    <s v="ORD-00881"/>
    <s v="CUST0079"/>
    <x v="0"/>
    <x v="0"/>
    <n v="26"/>
    <x v="3"/>
    <x v="2"/>
    <x v="0"/>
    <n v="184500"/>
    <n v="4"/>
    <n v="738000"/>
    <x v="346"/>
    <s v="Thursday"/>
    <s v="Weekday"/>
  </r>
  <r>
    <s v="ORD-00882"/>
    <s v="CUST0216"/>
    <x v="0"/>
    <x v="3"/>
    <n v="53"/>
    <x v="1"/>
    <x v="5"/>
    <x v="1"/>
    <n v="3690"/>
    <n v="2"/>
    <n v="7380"/>
    <x v="334"/>
    <s v="Friday"/>
    <s v="Weekend"/>
  </r>
  <r>
    <s v="ORD-00883"/>
    <s v="CUST0016"/>
    <x v="1"/>
    <x v="3"/>
    <n v="61"/>
    <x v="3"/>
    <x v="4"/>
    <x v="1"/>
    <n v="6150"/>
    <n v="3"/>
    <n v="18450"/>
    <x v="19"/>
    <s v="Sunday"/>
    <s v="Weekday"/>
  </r>
  <r>
    <s v="ORD-00884"/>
    <s v="CUST0196"/>
    <x v="1"/>
    <x v="1"/>
    <n v="37"/>
    <x v="2"/>
    <x v="3"/>
    <x v="2"/>
    <n v="24600"/>
    <n v="2"/>
    <n v="49200"/>
    <x v="12"/>
    <s v="Friday"/>
    <s v="Weekend"/>
  </r>
  <r>
    <s v="ORD-00885"/>
    <s v="CUST0148"/>
    <x v="0"/>
    <x v="7"/>
    <n v="67"/>
    <x v="3"/>
    <x v="0"/>
    <x v="0"/>
    <n v="36900"/>
    <n v="3"/>
    <n v="110700"/>
    <x v="305"/>
    <s v="Thursday"/>
    <s v="Weekday"/>
  </r>
  <r>
    <s v="ORD-00886"/>
    <s v="CUST0295"/>
    <x v="2"/>
    <x v="0"/>
    <n v="26"/>
    <x v="3"/>
    <x v="5"/>
    <x v="1"/>
    <n v="3690"/>
    <n v="1"/>
    <n v="3690"/>
    <x v="301"/>
    <s v="Saturday"/>
    <s v="Weekend"/>
  </r>
  <r>
    <s v="ORD-00887"/>
    <s v="CUST0048"/>
    <x v="0"/>
    <x v="7"/>
    <n v="34"/>
    <x v="1"/>
    <x v="3"/>
    <x v="2"/>
    <n v="24600"/>
    <n v="3"/>
    <n v="73800"/>
    <x v="314"/>
    <s v="Thursday"/>
    <s v="Weekday"/>
  </r>
  <r>
    <s v="ORD-00888"/>
    <s v="CUST0115"/>
    <x v="0"/>
    <x v="5"/>
    <n v="53"/>
    <x v="1"/>
    <x v="5"/>
    <x v="1"/>
    <n v="3690"/>
    <n v="3"/>
    <n v="11070"/>
    <x v="256"/>
    <s v="Tuesday"/>
    <s v="Weekday"/>
  </r>
  <r>
    <s v="ORD-00889"/>
    <s v="CUST0264"/>
    <x v="1"/>
    <x v="2"/>
    <n v="59"/>
    <x v="0"/>
    <x v="6"/>
    <x v="0"/>
    <n v="98400"/>
    <n v="4"/>
    <n v="393600"/>
    <x v="214"/>
    <s v="Friday"/>
    <s v="Weekend"/>
  </r>
  <r>
    <s v="ORD-00890"/>
    <s v="CUST0216"/>
    <x v="0"/>
    <x v="3"/>
    <n v="53"/>
    <x v="3"/>
    <x v="0"/>
    <x v="0"/>
    <n v="36900"/>
    <n v="3"/>
    <n v="110700"/>
    <x v="55"/>
    <s v="Tuesday"/>
    <s v="Weekday"/>
  </r>
  <r>
    <s v="ORD-00891"/>
    <s v="CUST0029"/>
    <x v="2"/>
    <x v="2"/>
    <n v="66"/>
    <x v="2"/>
    <x v="0"/>
    <x v="0"/>
    <n v="36900"/>
    <n v="1"/>
    <n v="36900"/>
    <x v="65"/>
    <s v="Monday"/>
    <s v="Weekday"/>
  </r>
  <r>
    <s v="ORD-00892"/>
    <s v="CUST0180"/>
    <x v="0"/>
    <x v="5"/>
    <n v="68"/>
    <x v="0"/>
    <x v="4"/>
    <x v="1"/>
    <n v="6150"/>
    <n v="1"/>
    <n v="6150"/>
    <x v="303"/>
    <s v="Sunday"/>
    <s v="Weekday"/>
  </r>
  <r>
    <s v="ORD-00893"/>
    <s v="CUST0184"/>
    <x v="1"/>
    <x v="0"/>
    <n v="54"/>
    <x v="0"/>
    <x v="6"/>
    <x v="0"/>
    <n v="98400"/>
    <n v="5"/>
    <n v="492000"/>
    <x v="340"/>
    <s v="Saturday"/>
    <s v="Weekend"/>
  </r>
  <r>
    <s v="ORD-00894"/>
    <s v="CUST0290"/>
    <x v="1"/>
    <x v="0"/>
    <n v="37"/>
    <x v="0"/>
    <x v="1"/>
    <x v="1"/>
    <n v="12300"/>
    <n v="5"/>
    <n v="61500"/>
    <x v="297"/>
    <s v="Thursday"/>
    <s v="Weekday"/>
  </r>
  <r>
    <s v="ORD-00895"/>
    <s v="CUST0228"/>
    <x v="0"/>
    <x v="1"/>
    <n v="25"/>
    <x v="1"/>
    <x v="3"/>
    <x v="2"/>
    <n v="24600"/>
    <n v="2"/>
    <n v="49200"/>
    <x v="262"/>
    <s v="Thursday"/>
    <s v="Weekday"/>
  </r>
  <r>
    <s v="ORD-00896"/>
    <s v="CUST0243"/>
    <x v="2"/>
    <x v="3"/>
    <n v="58"/>
    <x v="1"/>
    <x v="0"/>
    <x v="0"/>
    <n v="36900"/>
    <n v="4"/>
    <n v="147600"/>
    <x v="347"/>
    <s v="Sunday"/>
    <s v="Weekday"/>
  </r>
  <r>
    <s v="ORD-00897"/>
    <s v="CUST0242"/>
    <x v="0"/>
    <x v="1"/>
    <n v="58"/>
    <x v="1"/>
    <x v="3"/>
    <x v="2"/>
    <n v="24600"/>
    <n v="3"/>
    <n v="73800"/>
    <x v="54"/>
    <s v="Friday"/>
    <s v="Weekend"/>
  </r>
  <r>
    <s v="ORD-00898"/>
    <s v="CUST0142"/>
    <x v="0"/>
    <x v="1"/>
    <n v="32"/>
    <x v="2"/>
    <x v="2"/>
    <x v="0"/>
    <n v="184500"/>
    <n v="1"/>
    <n v="184500"/>
    <x v="275"/>
    <s v="Tuesday"/>
    <s v="Weekday"/>
  </r>
  <r>
    <s v="ORD-00899"/>
    <s v="CUST0131"/>
    <x v="1"/>
    <x v="1"/>
    <n v="67"/>
    <x v="3"/>
    <x v="5"/>
    <x v="1"/>
    <n v="3690"/>
    <n v="1"/>
    <n v="3690"/>
    <x v="207"/>
    <s v="Thursday"/>
    <s v="Weekday"/>
  </r>
  <r>
    <s v="ORD-00900"/>
    <s v="CUST0126"/>
    <x v="0"/>
    <x v="5"/>
    <n v="66"/>
    <x v="0"/>
    <x v="4"/>
    <x v="1"/>
    <n v="6150"/>
    <n v="4"/>
    <n v="24600"/>
    <x v="241"/>
    <s v="Saturday"/>
    <s v="Weekend"/>
  </r>
  <r>
    <s v="ORD-00901"/>
    <s v="CUST0265"/>
    <x v="2"/>
    <x v="0"/>
    <n v="38"/>
    <x v="1"/>
    <x v="1"/>
    <x v="1"/>
    <n v="12300"/>
    <n v="3"/>
    <n v="36900"/>
    <x v="348"/>
    <s v="Thursday"/>
    <s v="Weekday"/>
  </r>
  <r>
    <s v="ORD-00902"/>
    <s v="CUST0003"/>
    <x v="0"/>
    <x v="0"/>
    <n v="63"/>
    <x v="3"/>
    <x v="5"/>
    <x v="1"/>
    <n v="3690"/>
    <n v="3"/>
    <n v="11070"/>
    <x v="42"/>
    <s v="Tuesday"/>
    <s v="Weekday"/>
  </r>
  <r>
    <s v="ORD-00903"/>
    <s v="CUST0212"/>
    <x v="1"/>
    <x v="1"/>
    <n v="62"/>
    <x v="0"/>
    <x v="4"/>
    <x v="1"/>
    <n v="6150"/>
    <n v="2"/>
    <n v="12300"/>
    <x v="165"/>
    <s v="Sunday"/>
    <s v="Weekday"/>
  </r>
  <r>
    <s v="ORD-00904"/>
    <s v="CUST0106"/>
    <x v="1"/>
    <x v="0"/>
    <n v="50"/>
    <x v="3"/>
    <x v="6"/>
    <x v="0"/>
    <n v="98400"/>
    <n v="1"/>
    <n v="98400"/>
    <x v="329"/>
    <s v="Tuesday"/>
    <s v="Weekday"/>
  </r>
  <r>
    <s v="ORD-00905"/>
    <s v="CUST0118"/>
    <x v="0"/>
    <x v="2"/>
    <n v="23"/>
    <x v="0"/>
    <x v="0"/>
    <x v="0"/>
    <n v="36900"/>
    <n v="4"/>
    <n v="147600"/>
    <x v="349"/>
    <s v="Tuesday"/>
    <s v="Weekday"/>
  </r>
  <r>
    <s v="ORD-00906"/>
    <s v="CUST0126"/>
    <x v="0"/>
    <x v="5"/>
    <n v="66"/>
    <x v="3"/>
    <x v="1"/>
    <x v="1"/>
    <n v="12300"/>
    <n v="5"/>
    <n v="61500"/>
    <x v="350"/>
    <s v="Sunday"/>
    <s v="Weekday"/>
  </r>
  <r>
    <s v="ORD-00907"/>
    <s v="CUST0292"/>
    <x v="0"/>
    <x v="0"/>
    <n v="21"/>
    <x v="1"/>
    <x v="5"/>
    <x v="1"/>
    <n v="3690"/>
    <n v="4"/>
    <n v="14760"/>
    <x v="261"/>
    <s v="Wednesday"/>
    <s v="Weekday"/>
  </r>
  <r>
    <s v="ORD-00908"/>
    <s v="CUST0291"/>
    <x v="1"/>
    <x v="2"/>
    <n v="49"/>
    <x v="3"/>
    <x v="0"/>
    <x v="0"/>
    <n v="36900"/>
    <n v="3"/>
    <n v="110700"/>
    <x v="222"/>
    <s v="Sunday"/>
    <s v="Weekday"/>
  </r>
  <r>
    <s v="ORD-00909"/>
    <s v="CUST0085"/>
    <x v="0"/>
    <x v="1"/>
    <n v="18"/>
    <x v="3"/>
    <x v="4"/>
    <x v="1"/>
    <n v="6150"/>
    <n v="5"/>
    <n v="30750"/>
    <x v="126"/>
    <s v="Thursday"/>
    <s v="Weekday"/>
  </r>
  <r>
    <s v="ORD-00910"/>
    <s v="CUST0166"/>
    <x v="1"/>
    <x v="1"/>
    <n v="29"/>
    <x v="0"/>
    <x v="5"/>
    <x v="1"/>
    <n v="3690"/>
    <n v="4"/>
    <n v="14760"/>
    <x v="351"/>
    <s v="Sunday"/>
    <s v="Weekday"/>
  </r>
  <r>
    <s v="ORD-00911"/>
    <s v="CUST0040"/>
    <x v="2"/>
    <x v="7"/>
    <n v="29"/>
    <x v="3"/>
    <x v="4"/>
    <x v="1"/>
    <n v="6150"/>
    <n v="5"/>
    <n v="30750"/>
    <x v="82"/>
    <s v="Wednesday"/>
    <s v="Weekday"/>
  </r>
  <r>
    <s v="ORD-00912"/>
    <s v="CUST0295"/>
    <x v="2"/>
    <x v="0"/>
    <n v="26"/>
    <x v="2"/>
    <x v="0"/>
    <x v="0"/>
    <n v="36900"/>
    <n v="1"/>
    <n v="36900"/>
    <x v="352"/>
    <s v="Friday"/>
    <s v="Weekend"/>
  </r>
  <r>
    <s v="ORD-00913"/>
    <s v="CUST0059"/>
    <x v="1"/>
    <x v="4"/>
    <n v="18"/>
    <x v="0"/>
    <x v="5"/>
    <x v="1"/>
    <n v="3690"/>
    <n v="3"/>
    <n v="11070"/>
    <x v="111"/>
    <s v="Monday"/>
    <s v="Weekday"/>
  </r>
  <r>
    <s v="ORD-00914"/>
    <s v="CUST0281"/>
    <x v="1"/>
    <x v="6"/>
    <n v="44"/>
    <x v="3"/>
    <x v="1"/>
    <x v="1"/>
    <n v="12300"/>
    <n v="3"/>
    <n v="36900"/>
    <x v="160"/>
    <s v="Thursday"/>
    <s v="Weekday"/>
  </r>
  <r>
    <s v="ORD-00915"/>
    <s v="CUST0019"/>
    <x v="0"/>
    <x v="0"/>
    <n v="69"/>
    <x v="2"/>
    <x v="6"/>
    <x v="0"/>
    <n v="98400"/>
    <n v="4"/>
    <n v="393600"/>
    <x v="127"/>
    <s v="Tuesday"/>
    <s v="Weekday"/>
  </r>
  <r>
    <s v="ORD-00916"/>
    <s v="CUST0004"/>
    <x v="0"/>
    <x v="1"/>
    <n v="65"/>
    <x v="0"/>
    <x v="4"/>
    <x v="1"/>
    <n v="6150"/>
    <n v="5"/>
    <n v="30750"/>
    <x v="159"/>
    <s v="Tuesday"/>
    <s v="Weekday"/>
  </r>
  <r>
    <s v="ORD-00917"/>
    <s v="CUST0279"/>
    <x v="1"/>
    <x v="0"/>
    <n v="59"/>
    <x v="1"/>
    <x v="6"/>
    <x v="0"/>
    <n v="98400"/>
    <n v="5"/>
    <n v="492000"/>
    <x v="148"/>
    <s v="Friday"/>
    <s v="Weekend"/>
  </r>
  <r>
    <s v="ORD-00918"/>
    <s v="CUST0069"/>
    <x v="2"/>
    <x v="1"/>
    <n v="66"/>
    <x v="0"/>
    <x v="1"/>
    <x v="1"/>
    <n v="12300"/>
    <n v="2"/>
    <n v="24600"/>
    <x v="123"/>
    <s v="Tuesday"/>
    <s v="Weekday"/>
  </r>
  <r>
    <s v="ORD-00919"/>
    <s v="CUST0004"/>
    <x v="0"/>
    <x v="1"/>
    <n v="65"/>
    <x v="0"/>
    <x v="0"/>
    <x v="0"/>
    <n v="36900"/>
    <n v="3"/>
    <n v="110700"/>
    <x v="42"/>
    <s v="Tuesday"/>
    <s v="Weekday"/>
  </r>
  <r>
    <s v="ORD-00920"/>
    <s v="CUST0060"/>
    <x v="0"/>
    <x v="0"/>
    <n v="41"/>
    <x v="3"/>
    <x v="4"/>
    <x v="1"/>
    <n v="6150"/>
    <n v="3"/>
    <n v="18450"/>
    <x v="162"/>
    <s v="Monday"/>
    <s v="Weekday"/>
  </r>
  <r>
    <s v="ORD-00921"/>
    <s v="CUST0154"/>
    <x v="2"/>
    <x v="6"/>
    <n v="31"/>
    <x v="2"/>
    <x v="5"/>
    <x v="1"/>
    <n v="3690"/>
    <n v="1"/>
    <n v="3690"/>
    <x v="346"/>
    <s v="Thursday"/>
    <s v="Weekday"/>
  </r>
  <r>
    <s v="ORD-00922"/>
    <s v="CUST0259"/>
    <x v="0"/>
    <x v="4"/>
    <n v="59"/>
    <x v="0"/>
    <x v="0"/>
    <x v="0"/>
    <n v="36900"/>
    <n v="3"/>
    <n v="110700"/>
    <x v="132"/>
    <s v="Monday"/>
    <s v="Weekday"/>
  </r>
  <r>
    <s v="ORD-00923"/>
    <s v="CUST0203"/>
    <x v="1"/>
    <x v="0"/>
    <n v="33"/>
    <x v="0"/>
    <x v="2"/>
    <x v="0"/>
    <n v="184500"/>
    <n v="5"/>
    <n v="922500"/>
    <x v="183"/>
    <s v="Saturday"/>
    <s v="Weekend"/>
  </r>
  <r>
    <s v="ORD-00924"/>
    <s v="CUST0241"/>
    <x v="1"/>
    <x v="0"/>
    <n v="27"/>
    <x v="0"/>
    <x v="6"/>
    <x v="0"/>
    <n v="98400"/>
    <n v="4"/>
    <n v="393600"/>
    <x v="250"/>
    <s v="Friday"/>
    <s v="Weekend"/>
  </r>
  <r>
    <s v="ORD-00925"/>
    <s v="CUST0004"/>
    <x v="0"/>
    <x v="1"/>
    <n v="65"/>
    <x v="3"/>
    <x v="6"/>
    <x v="0"/>
    <n v="98400"/>
    <n v="5"/>
    <n v="492000"/>
    <x v="142"/>
    <s v="Friday"/>
    <s v="Weekend"/>
  </r>
  <r>
    <s v="ORD-00926"/>
    <s v="CUST0031"/>
    <x v="0"/>
    <x v="1"/>
    <n v="67"/>
    <x v="0"/>
    <x v="6"/>
    <x v="0"/>
    <n v="98400"/>
    <n v="3"/>
    <n v="295200"/>
    <x v="56"/>
    <s v="Thursday"/>
    <s v="Weekday"/>
  </r>
  <r>
    <s v="ORD-00927"/>
    <s v="CUST0144"/>
    <x v="1"/>
    <x v="0"/>
    <n v="54"/>
    <x v="2"/>
    <x v="5"/>
    <x v="1"/>
    <n v="3690"/>
    <n v="4"/>
    <n v="14760"/>
    <x v="235"/>
    <s v="Monday"/>
    <s v="Weekday"/>
  </r>
  <r>
    <s v="ORD-00928"/>
    <s v="CUST0031"/>
    <x v="0"/>
    <x v="1"/>
    <n v="67"/>
    <x v="3"/>
    <x v="5"/>
    <x v="1"/>
    <n v="3690"/>
    <n v="2"/>
    <n v="7380"/>
    <x v="353"/>
    <s v="Sunday"/>
    <s v="Weekday"/>
  </r>
  <r>
    <s v="ORD-00929"/>
    <s v="CUST0218"/>
    <x v="0"/>
    <x v="2"/>
    <n v="36"/>
    <x v="1"/>
    <x v="6"/>
    <x v="0"/>
    <n v="98400"/>
    <n v="2"/>
    <n v="196800"/>
    <x v="213"/>
    <s v="Thursday"/>
    <s v="Weekday"/>
  </r>
  <r>
    <s v="ORD-00930"/>
    <s v="CUST0234"/>
    <x v="2"/>
    <x v="5"/>
    <n v="44"/>
    <x v="1"/>
    <x v="2"/>
    <x v="0"/>
    <n v="184500"/>
    <n v="5"/>
    <n v="922500"/>
    <x v="269"/>
    <s v="Tuesday"/>
    <s v="Weekday"/>
  </r>
  <r>
    <s v="ORD-00931"/>
    <s v="CUST0050"/>
    <x v="2"/>
    <x v="1"/>
    <n v="40"/>
    <x v="3"/>
    <x v="2"/>
    <x v="0"/>
    <n v="184500"/>
    <n v="1"/>
    <n v="184500"/>
    <x v="134"/>
    <s v="Friday"/>
    <s v="Weekend"/>
  </r>
  <r>
    <s v="ORD-00932"/>
    <s v="CUST0140"/>
    <x v="0"/>
    <x v="7"/>
    <n v="50"/>
    <x v="2"/>
    <x v="5"/>
    <x v="1"/>
    <n v="3690"/>
    <n v="3"/>
    <n v="11070"/>
    <x v="126"/>
    <s v="Thursday"/>
    <s v="Weekday"/>
  </r>
  <r>
    <s v="ORD-00933"/>
    <s v="CUST0044"/>
    <x v="0"/>
    <x v="0"/>
    <n v="30"/>
    <x v="3"/>
    <x v="3"/>
    <x v="2"/>
    <n v="24600"/>
    <n v="4"/>
    <n v="98400"/>
    <x v="29"/>
    <s v="Wednesday"/>
    <s v="Weekday"/>
  </r>
  <r>
    <s v="ORD-00934"/>
    <s v="CUST0242"/>
    <x v="0"/>
    <x v="1"/>
    <n v="58"/>
    <x v="3"/>
    <x v="2"/>
    <x v="0"/>
    <n v="184500"/>
    <n v="4"/>
    <n v="738000"/>
    <x v="354"/>
    <s v="Friday"/>
    <s v="Weekend"/>
  </r>
  <r>
    <s v="ORD-00935"/>
    <s v="CUST0093"/>
    <x v="2"/>
    <x v="1"/>
    <n v="66"/>
    <x v="3"/>
    <x v="0"/>
    <x v="0"/>
    <n v="36900"/>
    <n v="5"/>
    <n v="184500"/>
    <x v="118"/>
    <s v="Wednesday"/>
    <s v="Weekday"/>
  </r>
  <r>
    <s v="ORD-00936"/>
    <s v="CUST0258"/>
    <x v="1"/>
    <x v="1"/>
    <n v="39"/>
    <x v="3"/>
    <x v="0"/>
    <x v="0"/>
    <n v="36900"/>
    <n v="1"/>
    <n v="36900"/>
    <x v="208"/>
    <s v="Sunday"/>
    <s v="Weekday"/>
  </r>
  <r>
    <s v="ORD-00937"/>
    <s v="CUST0133"/>
    <x v="0"/>
    <x v="0"/>
    <n v="47"/>
    <x v="0"/>
    <x v="3"/>
    <x v="2"/>
    <n v="24600"/>
    <n v="1"/>
    <n v="24600"/>
    <x v="49"/>
    <s v="Wednesday"/>
    <s v="Weekday"/>
  </r>
  <r>
    <s v="ORD-00938"/>
    <s v="CUST0271"/>
    <x v="0"/>
    <x v="0"/>
    <n v="46"/>
    <x v="1"/>
    <x v="4"/>
    <x v="1"/>
    <n v="6150"/>
    <n v="5"/>
    <n v="30750"/>
    <x v="288"/>
    <s v="Monday"/>
    <s v="Weekday"/>
  </r>
  <r>
    <s v="ORD-00939"/>
    <s v="CUST0121"/>
    <x v="1"/>
    <x v="7"/>
    <n v="66"/>
    <x v="2"/>
    <x v="4"/>
    <x v="1"/>
    <n v="6150"/>
    <n v="3"/>
    <n v="18450"/>
    <x v="279"/>
    <s v="Tuesday"/>
    <s v="Weekday"/>
  </r>
  <r>
    <s v="ORD-00940"/>
    <s v="CUST0028"/>
    <x v="0"/>
    <x v="1"/>
    <n v="50"/>
    <x v="0"/>
    <x v="0"/>
    <x v="0"/>
    <n v="36900"/>
    <n v="4"/>
    <n v="147600"/>
    <x v="153"/>
    <s v="Saturday"/>
    <s v="Weekend"/>
  </r>
  <r>
    <s v="ORD-00941"/>
    <s v="CUST0125"/>
    <x v="2"/>
    <x v="0"/>
    <n v="46"/>
    <x v="1"/>
    <x v="3"/>
    <x v="2"/>
    <n v="24600"/>
    <n v="3"/>
    <n v="73800"/>
    <x v="174"/>
    <s v="Tuesday"/>
    <s v="Weekday"/>
  </r>
  <r>
    <s v="ORD-00942"/>
    <s v="CUST0137"/>
    <x v="1"/>
    <x v="2"/>
    <n v="19"/>
    <x v="3"/>
    <x v="0"/>
    <x v="0"/>
    <n v="36900"/>
    <n v="3"/>
    <n v="110700"/>
    <x v="323"/>
    <s v="Saturday"/>
    <s v="Weekend"/>
  </r>
  <r>
    <s v="ORD-00943"/>
    <s v="CUST0240"/>
    <x v="0"/>
    <x v="7"/>
    <n v="39"/>
    <x v="1"/>
    <x v="4"/>
    <x v="1"/>
    <n v="6150"/>
    <n v="1"/>
    <n v="6150"/>
    <x v="107"/>
    <s v="Monday"/>
    <s v="Weekday"/>
  </r>
  <r>
    <s v="ORD-00944"/>
    <s v="CUST0268"/>
    <x v="0"/>
    <x v="0"/>
    <n v="21"/>
    <x v="1"/>
    <x v="0"/>
    <x v="0"/>
    <n v="36900"/>
    <n v="4"/>
    <n v="147600"/>
    <x v="121"/>
    <s v="Tuesday"/>
    <s v="Weekday"/>
  </r>
  <r>
    <s v="ORD-00945"/>
    <s v="CUST0066"/>
    <x v="1"/>
    <x v="1"/>
    <n v="37"/>
    <x v="0"/>
    <x v="1"/>
    <x v="1"/>
    <n v="12300"/>
    <n v="3"/>
    <n v="36900"/>
    <x v="36"/>
    <s v="Tuesday"/>
    <s v="Weekday"/>
  </r>
  <r>
    <s v="ORD-00946"/>
    <s v="CUST0068"/>
    <x v="0"/>
    <x v="0"/>
    <n v="64"/>
    <x v="0"/>
    <x v="5"/>
    <x v="1"/>
    <n v="3690"/>
    <n v="1"/>
    <n v="3690"/>
    <x v="338"/>
    <s v="Monday"/>
    <s v="Weekday"/>
  </r>
  <r>
    <s v="ORD-00947"/>
    <s v="CUST0221"/>
    <x v="0"/>
    <x v="7"/>
    <n v="33"/>
    <x v="2"/>
    <x v="4"/>
    <x v="1"/>
    <n v="6150"/>
    <n v="3"/>
    <n v="18450"/>
    <x v="355"/>
    <s v="Tuesday"/>
    <s v="Weekday"/>
  </r>
  <r>
    <s v="ORD-00948"/>
    <s v="CUST0266"/>
    <x v="0"/>
    <x v="1"/>
    <n v="29"/>
    <x v="3"/>
    <x v="2"/>
    <x v="0"/>
    <n v="184500"/>
    <n v="2"/>
    <n v="369000"/>
    <x v="53"/>
    <s v="Thursday"/>
    <s v="Weekday"/>
  </r>
  <r>
    <s v="ORD-00949"/>
    <s v="CUST0129"/>
    <x v="0"/>
    <x v="2"/>
    <n v="66"/>
    <x v="3"/>
    <x v="6"/>
    <x v="0"/>
    <n v="98400"/>
    <n v="5"/>
    <n v="492000"/>
    <x v="310"/>
    <s v="Tuesday"/>
    <s v="Weekday"/>
  </r>
  <r>
    <s v="ORD-00950"/>
    <s v="CUST0113"/>
    <x v="2"/>
    <x v="7"/>
    <n v="38"/>
    <x v="3"/>
    <x v="0"/>
    <x v="0"/>
    <n v="36900"/>
    <n v="5"/>
    <n v="184500"/>
    <x v="339"/>
    <s v="Sunday"/>
    <s v="Weekday"/>
  </r>
  <r>
    <s v="ORD-00951"/>
    <s v="CUST0240"/>
    <x v="0"/>
    <x v="7"/>
    <n v="39"/>
    <x v="1"/>
    <x v="6"/>
    <x v="0"/>
    <n v="98400"/>
    <n v="3"/>
    <n v="295200"/>
    <x v="164"/>
    <s v="Wednesday"/>
    <s v="Weekday"/>
  </r>
  <r>
    <s v="ORD-00952"/>
    <s v="CUST0003"/>
    <x v="0"/>
    <x v="0"/>
    <n v="63"/>
    <x v="1"/>
    <x v="3"/>
    <x v="2"/>
    <n v="24600"/>
    <n v="4"/>
    <n v="98400"/>
    <x v="155"/>
    <s v="Wednesday"/>
    <s v="Weekday"/>
  </r>
  <r>
    <s v="ORD-00953"/>
    <s v="CUST0272"/>
    <x v="2"/>
    <x v="5"/>
    <n v="52"/>
    <x v="3"/>
    <x v="6"/>
    <x v="0"/>
    <n v="98400"/>
    <n v="1"/>
    <n v="98400"/>
    <x v="107"/>
    <s v="Monday"/>
    <s v="Weekday"/>
  </r>
  <r>
    <s v="ORD-00954"/>
    <s v="CUST0276"/>
    <x v="0"/>
    <x v="0"/>
    <n v="66"/>
    <x v="2"/>
    <x v="0"/>
    <x v="0"/>
    <n v="36900"/>
    <n v="5"/>
    <n v="184500"/>
    <x v="257"/>
    <s v="Sunday"/>
    <s v="Weekday"/>
  </r>
  <r>
    <s v="ORD-00955"/>
    <s v="CUST0209"/>
    <x v="0"/>
    <x v="0"/>
    <n v="63"/>
    <x v="1"/>
    <x v="4"/>
    <x v="1"/>
    <n v="6150"/>
    <n v="5"/>
    <n v="30750"/>
    <x v="37"/>
    <s v="Sunday"/>
    <s v="Weekday"/>
  </r>
  <r>
    <s v="ORD-00956"/>
    <s v="CUST0014"/>
    <x v="0"/>
    <x v="0"/>
    <n v="20"/>
    <x v="2"/>
    <x v="0"/>
    <x v="0"/>
    <n v="36900"/>
    <n v="1"/>
    <n v="36900"/>
    <x v="294"/>
    <s v="Monday"/>
    <s v="Weekday"/>
  </r>
  <r>
    <s v="ORD-00957"/>
    <s v="CUST0186"/>
    <x v="1"/>
    <x v="7"/>
    <n v="55"/>
    <x v="1"/>
    <x v="6"/>
    <x v="0"/>
    <n v="98400"/>
    <n v="1"/>
    <n v="98400"/>
    <x v="190"/>
    <s v="Monday"/>
    <s v="Weekday"/>
  </r>
  <r>
    <s v="ORD-00958"/>
    <s v="CUST0198"/>
    <x v="0"/>
    <x v="0"/>
    <n v="56"/>
    <x v="0"/>
    <x v="2"/>
    <x v="0"/>
    <n v="184500"/>
    <n v="2"/>
    <n v="369000"/>
    <x v="79"/>
    <s v="Saturday"/>
    <s v="Weekend"/>
  </r>
  <r>
    <s v="ORD-00959"/>
    <s v="CUST0043"/>
    <x v="0"/>
    <x v="3"/>
    <n v="22"/>
    <x v="0"/>
    <x v="4"/>
    <x v="1"/>
    <n v="6150"/>
    <n v="4"/>
    <n v="24600"/>
    <x v="286"/>
    <s v="Wednesday"/>
    <s v="Weekday"/>
  </r>
  <r>
    <s v="ORD-00960"/>
    <s v="CUST0071"/>
    <x v="2"/>
    <x v="0"/>
    <n v="46"/>
    <x v="3"/>
    <x v="0"/>
    <x v="0"/>
    <n v="36900"/>
    <n v="1"/>
    <n v="36900"/>
    <x v="13"/>
    <s v="Sunday"/>
    <s v="Weekday"/>
  </r>
  <r>
    <s v="ORD-00961"/>
    <s v="CUST0131"/>
    <x v="1"/>
    <x v="1"/>
    <n v="67"/>
    <x v="0"/>
    <x v="6"/>
    <x v="0"/>
    <n v="98400"/>
    <n v="3"/>
    <n v="295200"/>
    <x v="30"/>
    <s v="Friday"/>
    <s v="Weekend"/>
  </r>
  <r>
    <s v="ORD-00962"/>
    <s v="CUST0131"/>
    <x v="1"/>
    <x v="1"/>
    <n v="67"/>
    <x v="1"/>
    <x v="2"/>
    <x v="0"/>
    <n v="184500"/>
    <n v="4"/>
    <n v="738000"/>
    <x v="356"/>
    <s v="Saturday"/>
    <s v="Weekend"/>
  </r>
  <r>
    <s v="ORD-00963"/>
    <s v="CUST0232"/>
    <x v="2"/>
    <x v="4"/>
    <n v="44"/>
    <x v="1"/>
    <x v="2"/>
    <x v="0"/>
    <n v="184500"/>
    <n v="1"/>
    <n v="184500"/>
    <x v="221"/>
    <s v="Friday"/>
    <s v="Weekend"/>
  </r>
  <r>
    <s v="ORD-00964"/>
    <s v="CUST0109"/>
    <x v="0"/>
    <x v="0"/>
    <n v="57"/>
    <x v="0"/>
    <x v="3"/>
    <x v="2"/>
    <n v="24600"/>
    <n v="3"/>
    <n v="73800"/>
    <x v="194"/>
    <s v="Tuesday"/>
    <s v="Weekday"/>
  </r>
  <r>
    <s v="ORD-00965"/>
    <s v="CUST0189"/>
    <x v="1"/>
    <x v="3"/>
    <n v="38"/>
    <x v="0"/>
    <x v="4"/>
    <x v="1"/>
    <n v="6150"/>
    <n v="5"/>
    <n v="30750"/>
    <x v="130"/>
    <s v="Wednesday"/>
    <s v="Weekday"/>
  </r>
  <r>
    <s v="ORD-00966"/>
    <s v="CUST0299"/>
    <x v="1"/>
    <x v="5"/>
    <n v="58"/>
    <x v="0"/>
    <x v="5"/>
    <x v="1"/>
    <n v="3690"/>
    <n v="2"/>
    <n v="7380"/>
    <x v="50"/>
    <s v="Monday"/>
    <s v="Weekday"/>
  </r>
  <r>
    <s v="ORD-00967"/>
    <s v="CUST0270"/>
    <x v="2"/>
    <x v="3"/>
    <n v="64"/>
    <x v="3"/>
    <x v="3"/>
    <x v="2"/>
    <n v="24600"/>
    <n v="5"/>
    <n v="123000"/>
    <x v="78"/>
    <s v="Sunday"/>
    <s v="Weekday"/>
  </r>
  <r>
    <s v="ORD-00968"/>
    <s v="CUST0031"/>
    <x v="0"/>
    <x v="1"/>
    <n v="67"/>
    <x v="0"/>
    <x v="5"/>
    <x v="1"/>
    <n v="3690"/>
    <n v="3"/>
    <n v="11070"/>
    <x v="179"/>
    <s v="Saturday"/>
    <s v="Weekend"/>
  </r>
  <r>
    <s v="ORD-00969"/>
    <s v="CUST0240"/>
    <x v="0"/>
    <x v="7"/>
    <n v="39"/>
    <x v="1"/>
    <x v="5"/>
    <x v="1"/>
    <n v="3690"/>
    <n v="5"/>
    <n v="18450"/>
    <x v="106"/>
    <s v="Tuesday"/>
    <s v="Weekday"/>
  </r>
  <r>
    <s v="ORD-00970"/>
    <s v="CUST0176"/>
    <x v="0"/>
    <x v="0"/>
    <n v="51"/>
    <x v="0"/>
    <x v="4"/>
    <x v="1"/>
    <n v="6150"/>
    <n v="4"/>
    <n v="24600"/>
    <x v="328"/>
    <s v="Tuesday"/>
    <s v="Weekday"/>
  </r>
  <r>
    <s v="ORD-00971"/>
    <s v="CUST0252"/>
    <x v="0"/>
    <x v="0"/>
    <n v="55"/>
    <x v="3"/>
    <x v="3"/>
    <x v="2"/>
    <n v="24600"/>
    <n v="5"/>
    <n v="123000"/>
    <x v="189"/>
    <s v="Monday"/>
    <s v="Weekday"/>
  </r>
  <r>
    <s v="ORD-00972"/>
    <s v="CUST0225"/>
    <x v="2"/>
    <x v="0"/>
    <n v="65"/>
    <x v="3"/>
    <x v="5"/>
    <x v="1"/>
    <n v="3690"/>
    <n v="3"/>
    <n v="11070"/>
    <x v="309"/>
    <s v="Thursday"/>
    <s v="Weekday"/>
  </r>
  <r>
    <s v="ORD-00973"/>
    <s v="CUST0238"/>
    <x v="0"/>
    <x v="0"/>
    <n v="26"/>
    <x v="1"/>
    <x v="5"/>
    <x v="1"/>
    <n v="3690"/>
    <n v="2"/>
    <n v="7380"/>
    <x v="226"/>
    <s v="Thursday"/>
    <s v="Weekday"/>
  </r>
  <r>
    <s v="ORD-00974"/>
    <s v="CUST0276"/>
    <x v="0"/>
    <x v="0"/>
    <n v="66"/>
    <x v="1"/>
    <x v="1"/>
    <x v="1"/>
    <n v="12300"/>
    <n v="4"/>
    <n v="49200"/>
    <x v="295"/>
    <s v="Monday"/>
    <s v="Weekday"/>
  </r>
  <r>
    <s v="ORD-00975"/>
    <s v="CUST0255"/>
    <x v="0"/>
    <x v="1"/>
    <n v="39"/>
    <x v="0"/>
    <x v="0"/>
    <x v="0"/>
    <n v="36900"/>
    <n v="1"/>
    <n v="36900"/>
    <x v="313"/>
    <s v="Monday"/>
    <s v="Weekday"/>
  </r>
  <r>
    <s v="ORD-00976"/>
    <s v="CUST0133"/>
    <x v="0"/>
    <x v="0"/>
    <n v="47"/>
    <x v="1"/>
    <x v="6"/>
    <x v="0"/>
    <n v="98400"/>
    <n v="4"/>
    <n v="393600"/>
    <x v="338"/>
    <s v="Monday"/>
    <s v="Weekday"/>
  </r>
  <r>
    <s v="ORD-00977"/>
    <s v="CUST0097"/>
    <x v="2"/>
    <x v="4"/>
    <n v="34"/>
    <x v="2"/>
    <x v="3"/>
    <x v="2"/>
    <n v="24600"/>
    <n v="3"/>
    <n v="73800"/>
    <x v="180"/>
    <s v="Sunday"/>
    <s v="Weekday"/>
  </r>
  <r>
    <s v="ORD-00978"/>
    <s v="CUST0239"/>
    <x v="2"/>
    <x v="1"/>
    <n v="35"/>
    <x v="1"/>
    <x v="1"/>
    <x v="1"/>
    <n v="12300"/>
    <n v="4"/>
    <n v="49200"/>
    <x v="205"/>
    <s v="Wednesday"/>
    <s v="Weekday"/>
  </r>
  <r>
    <s v="ORD-00979"/>
    <s v="CUST0226"/>
    <x v="0"/>
    <x v="5"/>
    <n v="43"/>
    <x v="2"/>
    <x v="1"/>
    <x v="1"/>
    <n v="12300"/>
    <n v="2"/>
    <n v="24600"/>
    <x v="209"/>
    <s v="Sunday"/>
    <s v="Weekday"/>
  </r>
  <r>
    <s v="ORD-00980"/>
    <s v="CUST0068"/>
    <x v="0"/>
    <x v="0"/>
    <n v="64"/>
    <x v="2"/>
    <x v="4"/>
    <x v="1"/>
    <n v="6150"/>
    <n v="5"/>
    <n v="30750"/>
    <x v="165"/>
    <s v="Sunday"/>
    <s v="Weekday"/>
  </r>
  <r>
    <s v="ORD-00981"/>
    <s v="CUST0149"/>
    <x v="0"/>
    <x v="0"/>
    <n v="40"/>
    <x v="1"/>
    <x v="0"/>
    <x v="0"/>
    <n v="36900"/>
    <n v="4"/>
    <n v="147600"/>
    <x v="318"/>
    <s v="Sunday"/>
    <s v="Weekday"/>
  </r>
  <r>
    <s v="ORD-00982"/>
    <s v="CUST0257"/>
    <x v="1"/>
    <x v="0"/>
    <n v="54"/>
    <x v="2"/>
    <x v="5"/>
    <x v="1"/>
    <n v="3690"/>
    <n v="2"/>
    <n v="7380"/>
    <x v="5"/>
    <s v="Wednesday"/>
    <s v="Weekday"/>
  </r>
  <r>
    <s v="ORD-00983"/>
    <s v="CUST0299"/>
    <x v="1"/>
    <x v="5"/>
    <n v="58"/>
    <x v="1"/>
    <x v="3"/>
    <x v="2"/>
    <n v="24600"/>
    <n v="4"/>
    <n v="98400"/>
    <x v="213"/>
    <s v="Thursday"/>
    <s v="Weekday"/>
  </r>
  <r>
    <s v="ORD-00984"/>
    <s v="CUST0123"/>
    <x v="0"/>
    <x v="1"/>
    <n v="52"/>
    <x v="1"/>
    <x v="3"/>
    <x v="2"/>
    <n v="24600"/>
    <n v="2"/>
    <n v="49200"/>
    <x v="124"/>
    <s v="Monday"/>
    <s v="Weekday"/>
  </r>
  <r>
    <s v="ORD-00985"/>
    <s v="CUST0217"/>
    <x v="0"/>
    <x v="0"/>
    <n v="18"/>
    <x v="3"/>
    <x v="5"/>
    <x v="1"/>
    <n v="3690"/>
    <n v="3"/>
    <n v="11070"/>
    <x v="218"/>
    <s v="Friday"/>
    <s v="Weekend"/>
  </r>
  <r>
    <s v="ORD-00986"/>
    <s v="CUST0142"/>
    <x v="0"/>
    <x v="1"/>
    <n v="32"/>
    <x v="2"/>
    <x v="1"/>
    <x v="1"/>
    <n v="12300"/>
    <n v="5"/>
    <n v="61500"/>
    <x v="231"/>
    <s v="Sunday"/>
    <s v="Weekday"/>
  </r>
  <r>
    <s v="ORD-00987"/>
    <s v="CUST0200"/>
    <x v="1"/>
    <x v="0"/>
    <n v="68"/>
    <x v="2"/>
    <x v="6"/>
    <x v="0"/>
    <n v="98400"/>
    <n v="4"/>
    <n v="393600"/>
    <x v="149"/>
    <s v="Saturday"/>
    <s v="Weekend"/>
  </r>
  <r>
    <s v="ORD-00988"/>
    <s v="CUST0079"/>
    <x v="0"/>
    <x v="0"/>
    <n v="26"/>
    <x v="0"/>
    <x v="3"/>
    <x v="2"/>
    <n v="24600"/>
    <n v="2"/>
    <n v="49200"/>
    <x v="286"/>
    <s v="Wednesday"/>
    <s v="Weekday"/>
  </r>
  <r>
    <s v="ORD-00989"/>
    <s v="CUST0201"/>
    <x v="1"/>
    <x v="1"/>
    <n v="49"/>
    <x v="1"/>
    <x v="1"/>
    <x v="1"/>
    <n v="12300"/>
    <n v="1"/>
    <n v="12300"/>
    <x v="126"/>
    <s v="Thursday"/>
    <s v="Weekday"/>
  </r>
  <r>
    <s v="ORD-00990"/>
    <s v="CUST0133"/>
    <x v="0"/>
    <x v="0"/>
    <n v="47"/>
    <x v="3"/>
    <x v="2"/>
    <x v="0"/>
    <n v="184500"/>
    <n v="1"/>
    <n v="184500"/>
    <x v="357"/>
    <s v="Saturday"/>
    <s v="Weekend"/>
  </r>
  <r>
    <s v="ORD-00991"/>
    <s v="CUST0055"/>
    <x v="1"/>
    <x v="1"/>
    <n v="45"/>
    <x v="3"/>
    <x v="5"/>
    <x v="1"/>
    <n v="3690"/>
    <n v="5"/>
    <n v="18450"/>
    <x v="218"/>
    <s v="Friday"/>
    <s v="Weekend"/>
  </r>
  <r>
    <s v="ORD-00992"/>
    <s v="CUST0023"/>
    <x v="0"/>
    <x v="1"/>
    <n v="29"/>
    <x v="0"/>
    <x v="2"/>
    <x v="0"/>
    <n v="184500"/>
    <n v="5"/>
    <n v="922500"/>
    <x v="267"/>
    <s v="Saturday"/>
    <s v="Weekend"/>
  </r>
  <r>
    <s v="ORD-00993"/>
    <s v="CUST0040"/>
    <x v="2"/>
    <x v="7"/>
    <n v="29"/>
    <x v="2"/>
    <x v="3"/>
    <x v="2"/>
    <n v="24600"/>
    <n v="1"/>
    <n v="24600"/>
    <x v="344"/>
    <s v="Monday"/>
    <s v="Weekday"/>
  </r>
  <r>
    <s v="ORD-00994"/>
    <s v="CUST0037"/>
    <x v="2"/>
    <x v="2"/>
    <n v="51"/>
    <x v="3"/>
    <x v="3"/>
    <x v="2"/>
    <n v="24600"/>
    <n v="1"/>
    <n v="24600"/>
    <x v="358"/>
    <s v="Thursday"/>
    <s v="Weekday"/>
  </r>
  <r>
    <s v="ORD-00995"/>
    <s v="CUST0165"/>
    <x v="2"/>
    <x v="0"/>
    <n v="49"/>
    <x v="2"/>
    <x v="6"/>
    <x v="0"/>
    <n v="98400"/>
    <n v="4"/>
    <n v="393600"/>
    <x v="359"/>
    <s v="Thursday"/>
    <s v="Weekday"/>
  </r>
  <r>
    <s v="ORD-00996"/>
    <s v="CUST0181"/>
    <x v="0"/>
    <x v="6"/>
    <n v="59"/>
    <x v="3"/>
    <x v="3"/>
    <x v="2"/>
    <n v="24600"/>
    <n v="2"/>
    <n v="49200"/>
    <x v="360"/>
    <s v="Wednesday"/>
    <s v="Weekday"/>
  </r>
  <r>
    <s v="ORD-00997"/>
    <s v="CUST0126"/>
    <x v="0"/>
    <x v="5"/>
    <n v="66"/>
    <x v="3"/>
    <x v="5"/>
    <x v="1"/>
    <n v="3690"/>
    <n v="1"/>
    <n v="3690"/>
    <x v="361"/>
    <s v="Saturday"/>
    <s v="Weekend"/>
  </r>
  <r>
    <s v="ORD-00998"/>
    <s v="CUST0232"/>
    <x v="2"/>
    <x v="4"/>
    <n v="44"/>
    <x v="1"/>
    <x v="3"/>
    <x v="2"/>
    <n v="24600"/>
    <n v="3"/>
    <n v="73800"/>
    <x v="264"/>
    <s v="Saturday"/>
    <s v="Weekend"/>
  </r>
  <r>
    <s v="ORD-00999"/>
    <s v="CUST0287"/>
    <x v="1"/>
    <x v="0"/>
    <n v="60"/>
    <x v="2"/>
    <x v="0"/>
    <x v="0"/>
    <n v="36900"/>
    <n v="5"/>
    <n v="184500"/>
    <x v="362"/>
    <s v="Monday"/>
    <s v="Weekday"/>
  </r>
  <r>
    <s v="ORD-01000"/>
    <s v="CUST0186"/>
    <x v="1"/>
    <x v="7"/>
    <n v="55"/>
    <x v="3"/>
    <x v="1"/>
    <x v="1"/>
    <n v="12300"/>
    <n v="1"/>
    <n v="12300"/>
    <x v="363"/>
    <s v="Tuesday"/>
    <s v="Weekday"/>
  </r>
  <r>
    <s v="ORD-01001"/>
    <s v="CUST0165"/>
    <x v="2"/>
    <x v="0"/>
    <n v="49"/>
    <x v="1"/>
    <x v="3"/>
    <x v="2"/>
    <n v="24600"/>
    <n v="2"/>
    <n v="49200"/>
    <x v="364"/>
    <s v="Saturday"/>
    <s v="Weekend"/>
  </r>
  <r>
    <s v="ORD-01002"/>
    <s v="CUST0279"/>
    <x v="1"/>
    <x v="0"/>
    <n v="59"/>
    <x v="3"/>
    <x v="6"/>
    <x v="0"/>
    <n v="98400"/>
    <n v="1"/>
    <n v="98400"/>
    <x v="365"/>
    <s v="Thursday"/>
    <s v="Weekday"/>
  </r>
  <r>
    <s v="ORD-01003"/>
    <s v="CUST0170"/>
    <x v="2"/>
    <x v="3"/>
    <n v="40"/>
    <x v="1"/>
    <x v="1"/>
    <x v="1"/>
    <n v="12300"/>
    <n v="5"/>
    <n v="61500"/>
    <x v="366"/>
    <s v="Monday"/>
    <s v="Weekday"/>
  </r>
  <r>
    <s v="ORD-01004"/>
    <s v="CUST0223"/>
    <x v="1"/>
    <x v="1"/>
    <n v="20"/>
    <x v="1"/>
    <x v="1"/>
    <x v="1"/>
    <n v="12300"/>
    <n v="2"/>
    <n v="24600"/>
    <x v="367"/>
    <s v="Wednesday"/>
    <s v="Weekday"/>
  </r>
  <r>
    <s v="ORD-01005"/>
    <s v="CUST0141"/>
    <x v="2"/>
    <x v="0"/>
    <n v="58"/>
    <x v="2"/>
    <x v="3"/>
    <x v="2"/>
    <n v="24600"/>
    <n v="5"/>
    <n v="123000"/>
    <x v="368"/>
    <s v="Saturday"/>
    <s v="Weekend"/>
  </r>
  <r>
    <s v="ORD-01006"/>
    <s v="CUST0056"/>
    <x v="1"/>
    <x v="2"/>
    <n v="23"/>
    <x v="1"/>
    <x v="3"/>
    <x v="2"/>
    <n v="24600"/>
    <n v="3"/>
    <n v="73800"/>
    <x v="369"/>
    <s v="Friday"/>
    <s v="Weekend"/>
  </r>
  <r>
    <s v="ORD-01007"/>
    <s v="CUST0186"/>
    <x v="1"/>
    <x v="7"/>
    <n v="55"/>
    <x v="3"/>
    <x v="5"/>
    <x v="1"/>
    <n v="3690"/>
    <n v="5"/>
    <n v="18450"/>
    <x v="370"/>
    <s v="Thursday"/>
    <s v="Weekday"/>
  </r>
  <r>
    <s v="ORD-01008"/>
    <s v="CUST0280"/>
    <x v="0"/>
    <x v="5"/>
    <n v="44"/>
    <x v="0"/>
    <x v="4"/>
    <x v="1"/>
    <n v="6150"/>
    <n v="3"/>
    <n v="18450"/>
    <x v="371"/>
    <s v="Saturday"/>
    <s v="Weekend"/>
  </r>
  <r>
    <s v="ORD-01009"/>
    <s v="CUST0216"/>
    <x v="0"/>
    <x v="3"/>
    <n v="53"/>
    <x v="3"/>
    <x v="3"/>
    <x v="2"/>
    <n v="24600"/>
    <n v="3"/>
    <n v="73800"/>
    <x v="372"/>
    <s v="Wednesday"/>
    <s v="Weekday"/>
  </r>
  <r>
    <s v="ORD-01010"/>
    <s v="CUST0225"/>
    <x v="2"/>
    <x v="0"/>
    <n v="65"/>
    <x v="3"/>
    <x v="0"/>
    <x v="0"/>
    <n v="36900"/>
    <n v="2"/>
    <n v="73800"/>
    <x v="373"/>
    <s v="Thursday"/>
    <s v="Weekday"/>
  </r>
  <r>
    <s v="ORD-01011"/>
    <s v="CUST0134"/>
    <x v="0"/>
    <x v="5"/>
    <n v="58"/>
    <x v="1"/>
    <x v="5"/>
    <x v="1"/>
    <n v="3690"/>
    <n v="3"/>
    <n v="11070"/>
    <x v="374"/>
    <s v="Wednesday"/>
    <s v="Weekday"/>
  </r>
  <r>
    <s v="ORD-01012"/>
    <s v="CUST0156"/>
    <x v="2"/>
    <x v="2"/>
    <n v="57"/>
    <x v="3"/>
    <x v="0"/>
    <x v="0"/>
    <n v="36900"/>
    <n v="5"/>
    <n v="184500"/>
    <x v="375"/>
    <s v="Wednesday"/>
    <s v="Weekday"/>
  </r>
  <r>
    <s v="ORD-01013"/>
    <s v="CUST0053"/>
    <x v="1"/>
    <x v="5"/>
    <n v="25"/>
    <x v="1"/>
    <x v="4"/>
    <x v="1"/>
    <n v="6150"/>
    <n v="4"/>
    <n v="24600"/>
    <x v="376"/>
    <s v="Thursday"/>
    <s v="Weekday"/>
  </r>
  <r>
    <s v="ORD-01014"/>
    <s v="CUST0258"/>
    <x v="1"/>
    <x v="1"/>
    <n v="39"/>
    <x v="2"/>
    <x v="4"/>
    <x v="1"/>
    <n v="6150"/>
    <n v="3"/>
    <n v="18450"/>
    <x v="377"/>
    <s v="Saturday"/>
    <s v="Weekend"/>
  </r>
  <r>
    <s v="ORD-01015"/>
    <s v="CUST0216"/>
    <x v="0"/>
    <x v="3"/>
    <n v="53"/>
    <x v="1"/>
    <x v="5"/>
    <x v="1"/>
    <n v="3690"/>
    <n v="2"/>
    <n v="7380"/>
    <x v="378"/>
    <s v="Friday"/>
    <s v="Weekend"/>
  </r>
  <r>
    <s v="ORD-01016"/>
    <s v="CUST0050"/>
    <x v="2"/>
    <x v="1"/>
    <n v="40"/>
    <x v="2"/>
    <x v="2"/>
    <x v="0"/>
    <n v="184500"/>
    <n v="4"/>
    <n v="738000"/>
    <x v="379"/>
    <s v="Sunday"/>
    <s v="Weekday"/>
  </r>
  <r>
    <s v="ORD-01017"/>
    <s v="CUST0227"/>
    <x v="2"/>
    <x v="6"/>
    <n v="54"/>
    <x v="0"/>
    <x v="0"/>
    <x v="0"/>
    <n v="36900"/>
    <n v="3"/>
    <n v="110700"/>
    <x v="380"/>
    <s v="Saturday"/>
    <s v="Weekend"/>
  </r>
  <r>
    <s v="ORD-01018"/>
    <s v="CUST0028"/>
    <x v="0"/>
    <x v="1"/>
    <n v="50"/>
    <x v="3"/>
    <x v="1"/>
    <x v="1"/>
    <n v="12300"/>
    <n v="5"/>
    <n v="61500"/>
    <x v="381"/>
    <s v="Wednesday"/>
    <s v="Weekday"/>
  </r>
  <r>
    <s v="ORD-01019"/>
    <s v="CUST0086"/>
    <x v="0"/>
    <x v="7"/>
    <n v="26"/>
    <x v="2"/>
    <x v="2"/>
    <x v="0"/>
    <n v="184500"/>
    <n v="2"/>
    <n v="369000"/>
    <x v="382"/>
    <s v="Friday"/>
    <s v="Weekend"/>
  </r>
  <r>
    <s v="ORD-01020"/>
    <s v="CUST0134"/>
    <x v="0"/>
    <x v="5"/>
    <n v="58"/>
    <x v="0"/>
    <x v="5"/>
    <x v="1"/>
    <n v="3690"/>
    <n v="3"/>
    <n v="11070"/>
    <x v="383"/>
    <s v="Saturday"/>
    <s v="Weekend"/>
  </r>
  <r>
    <s v="ORD-01021"/>
    <s v="CUST0299"/>
    <x v="1"/>
    <x v="5"/>
    <n v="58"/>
    <x v="1"/>
    <x v="1"/>
    <x v="1"/>
    <n v="12300"/>
    <n v="2"/>
    <n v="24600"/>
    <x v="384"/>
    <s v="Friday"/>
    <s v="Weekend"/>
  </r>
  <r>
    <s v="ORD-01022"/>
    <s v="CUST0126"/>
    <x v="0"/>
    <x v="5"/>
    <n v="66"/>
    <x v="0"/>
    <x v="6"/>
    <x v="0"/>
    <n v="98400"/>
    <n v="5"/>
    <n v="492000"/>
    <x v="385"/>
    <s v="Sunday"/>
    <s v="Weekday"/>
  </r>
  <r>
    <s v="ORD-01023"/>
    <s v="CUST0076"/>
    <x v="0"/>
    <x v="0"/>
    <n v="26"/>
    <x v="2"/>
    <x v="4"/>
    <x v="1"/>
    <n v="6150"/>
    <n v="1"/>
    <n v="6150"/>
    <x v="386"/>
    <s v="Wednesday"/>
    <s v="Weekday"/>
  </r>
  <r>
    <s v="ORD-01024"/>
    <s v="CUST0142"/>
    <x v="0"/>
    <x v="1"/>
    <n v="32"/>
    <x v="3"/>
    <x v="4"/>
    <x v="1"/>
    <n v="6150"/>
    <n v="4"/>
    <n v="24600"/>
    <x v="387"/>
    <s v="Monday"/>
    <s v="Weekday"/>
  </r>
  <r>
    <s v="ORD-01025"/>
    <s v="CUST0140"/>
    <x v="0"/>
    <x v="7"/>
    <n v="50"/>
    <x v="0"/>
    <x v="3"/>
    <x v="2"/>
    <n v="24600"/>
    <n v="1"/>
    <n v="24600"/>
    <x v="388"/>
    <s v="Sunday"/>
    <s v="Weekday"/>
  </r>
  <r>
    <s v="ORD-01026"/>
    <s v="CUST0026"/>
    <x v="2"/>
    <x v="5"/>
    <n v="27"/>
    <x v="0"/>
    <x v="5"/>
    <x v="1"/>
    <n v="3690"/>
    <n v="1"/>
    <n v="3690"/>
    <x v="389"/>
    <s v="Tuesday"/>
    <s v="Weekday"/>
  </r>
  <r>
    <s v="ORD-01027"/>
    <s v="CUST0094"/>
    <x v="0"/>
    <x v="7"/>
    <n v="30"/>
    <x v="1"/>
    <x v="5"/>
    <x v="1"/>
    <n v="3690"/>
    <n v="4"/>
    <n v="14760"/>
    <x v="390"/>
    <s v="Wednesday"/>
    <s v="Weekday"/>
  </r>
  <r>
    <s v="ORD-01028"/>
    <s v="CUST0196"/>
    <x v="1"/>
    <x v="1"/>
    <n v="37"/>
    <x v="1"/>
    <x v="2"/>
    <x v="0"/>
    <n v="184500"/>
    <n v="4"/>
    <n v="738000"/>
    <x v="391"/>
    <s v="Monday"/>
    <s v="Weekday"/>
  </r>
  <r>
    <s v="ORD-01029"/>
    <s v="CUST0104"/>
    <x v="0"/>
    <x v="1"/>
    <n v="40"/>
    <x v="3"/>
    <x v="1"/>
    <x v="1"/>
    <n v="12300"/>
    <n v="4"/>
    <n v="49200"/>
    <x v="392"/>
    <s v="Saturday"/>
    <s v="Weekend"/>
  </r>
  <r>
    <s v="ORD-01030"/>
    <s v="CUST0191"/>
    <x v="1"/>
    <x v="2"/>
    <n v="41"/>
    <x v="1"/>
    <x v="3"/>
    <x v="2"/>
    <n v="24600"/>
    <n v="5"/>
    <n v="123000"/>
    <x v="391"/>
    <s v="Monday"/>
    <s v="Weekday"/>
  </r>
  <r>
    <s v="ORD-01031"/>
    <s v="CUST0224"/>
    <x v="2"/>
    <x v="4"/>
    <n v="57"/>
    <x v="2"/>
    <x v="5"/>
    <x v="1"/>
    <n v="3690"/>
    <n v="1"/>
    <n v="3690"/>
    <x v="393"/>
    <s v="Sunday"/>
    <s v="Weekday"/>
  </r>
  <r>
    <s v="ORD-01032"/>
    <s v="CUST0270"/>
    <x v="2"/>
    <x v="3"/>
    <n v="64"/>
    <x v="2"/>
    <x v="0"/>
    <x v="0"/>
    <n v="36900"/>
    <n v="3"/>
    <n v="110700"/>
    <x v="394"/>
    <s v="Thursday"/>
    <s v="Weekday"/>
  </r>
  <r>
    <s v="ORD-01033"/>
    <s v="CUST0051"/>
    <x v="2"/>
    <x v="4"/>
    <n v="41"/>
    <x v="0"/>
    <x v="0"/>
    <x v="0"/>
    <n v="36900"/>
    <n v="3"/>
    <n v="110700"/>
    <x v="395"/>
    <s v="Friday"/>
    <s v="Weekend"/>
  </r>
  <r>
    <s v="ORD-01034"/>
    <s v="CUST0298"/>
    <x v="2"/>
    <x v="0"/>
    <n v="58"/>
    <x v="1"/>
    <x v="3"/>
    <x v="2"/>
    <n v="24600"/>
    <n v="3"/>
    <n v="73800"/>
    <x v="396"/>
    <s v="Wednesday"/>
    <s v="Weekday"/>
  </r>
  <r>
    <s v="ORD-01035"/>
    <s v="CUST0136"/>
    <x v="1"/>
    <x v="0"/>
    <n v="36"/>
    <x v="1"/>
    <x v="0"/>
    <x v="0"/>
    <n v="36900"/>
    <n v="2"/>
    <n v="73800"/>
    <x v="397"/>
    <s v="Friday"/>
    <s v="Weekend"/>
  </r>
  <r>
    <s v="ORD-01036"/>
    <s v="CUST0053"/>
    <x v="1"/>
    <x v="5"/>
    <n v="25"/>
    <x v="0"/>
    <x v="6"/>
    <x v="0"/>
    <n v="98400"/>
    <n v="3"/>
    <n v="295200"/>
    <x v="398"/>
    <s v="Friday"/>
    <s v="Weekend"/>
  </r>
  <r>
    <s v="ORD-01037"/>
    <s v="CUST0014"/>
    <x v="0"/>
    <x v="0"/>
    <n v="20"/>
    <x v="3"/>
    <x v="1"/>
    <x v="1"/>
    <n v="12300"/>
    <n v="1"/>
    <n v="12300"/>
    <x v="399"/>
    <s v="Sunday"/>
    <s v="Weekday"/>
  </r>
  <r>
    <s v="ORD-01038"/>
    <s v="CUST0138"/>
    <x v="2"/>
    <x v="0"/>
    <n v="46"/>
    <x v="1"/>
    <x v="6"/>
    <x v="0"/>
    <n v="98400"/>
    <n v="2"/>
    <n v="196800"/>
    <x v="400"/>
    <s v="Thursday"/>
    <s v="Weekday"/>
  </r>
  <r>
    <s v="ORD-01039"/>
    <s v="CUST0046"/>
    <x v="1"/>
    <x v="0"/>
    <n v="22"/>
    <x v="1"/>
    <x v="2"/>
    <x v="0"/>
    <n v="184500"/>
    <n v="2"/>
    <n v="369000"/>
    <x v="401"/>
    <s v="Friday"/>
    <s v="Weekend"/>
  </r>
  <r>
    <s v="ORD-01040"/>
    <s v="CUST0150"/>
    <x v="2"/>
    <x v="1"/>
    <n v="63"/>
    <x v="3"/>
    <x v="0"/>
    <x v="0"/>
    <n v="36900"/>
    <n v="1"/>
    <n v="36900"/>
    <x v="402"/>
    <s v="Tuesday"/>
    <s v="Weekday"/>
  </r>
  <r>
    <s v="ORD-01041"/>
    <s v="CUST0044"/>
    <x v="0"/>
    <x v="0"/>
    <n v="30"/>
    <x v="1"/>
    <x v="4"/>
    <x v="1"/>
    <n v="6150"/>
    <n v="3"/>
    <n v="18450"/>
    <x v="403"/>
    <s v="Friday"/>
    <s v="Weekend"/>
  </r>
  <r>
    <s v="ORD-01042"/>
    <s v="CUST0296"/>
    <x v="1"/>
    <x v="1"/>
    <n v="50"/>
    <x v="2"/>
    <x v="5"/>
    <x v="1"/>
    <n v="3690"/>
    <n v="4"/>
    <n v="14760"/>
    <x v="404"/>
    <s v="Tuesday"/>
    <s v="Weekday"/>
  </r>
  <r>
    <s v="ORD-01043"/>
    <s v="CUST0235"/>
    <x v="0"/>
    <x v="6"/>
    <n v="19"/>
    <x v="2"/>
    <x v="3"/>
    <x v="2"/>
    <n v="24600"/>
    <n v="3"/>
    <n v="73800"/>
    <x v="405"/>
    <s v="Saturday"/>
    <s v="Weekend"/>
  </r>
  <r>
    <s v="ORD-01044"/>
    <s v="CUST0021"/>
    <x v="2"/>
    <x v="7"/>
    <n v="43"/>
    <x v="3"/>
    <x v="1"/>
    <x v="1"/>
    <n v="12300"/>
    <n v="5"/>
    <n v="61500"/>
    <x v="406"/>
    <s v="Saturday"/>
    <s v="Weekend"/>
  </r>
  <r>
    <s v="ORD-01045"/>
    <s v="CUST0094"/>
    <x v="0"/>
    <x v="7"/>
    <n v="30"/>
    <x v="3"/>
    <x v="3"/>
    <x v="2"/>
    <n v="24600"/>
    <n v="1"/>
    <n v="24600"/>
    <x v="407"/>
    <s v="Friday"/>
    <s v="Weekend"/>
  </r>
  <r>
    <s v="ORD-01046"/>
    <s v="CUST0237"/>
    <x v="0"/>
    <x v="2"/>
    <n v="65"/>
    <x v="2"/>
    <x v="3"/>
    <x v="2"/>
    <n v="24600"/>
    <n v="1"/>
    <n v="24600"/>
    <x v="404"/>
    <s v="Tuesday"/>
    <s v="Weekday"/>
  </r>
  <r>
    <s v="ORD-01047"/>
    <s v="CUST0081"/>
    <x v="0"/>
    <x v="6"/>
    <n v="38"/>
    <x v="2"/>
    <x v="2"/>
    <x v="0"/>
    <n v="184500"/>
    <n v="5"/>
    <n v="922500"/>
    <x v="408"/>
    <s v="Monday"/>
    <s v="Weekday"/>
  </r>
  <r>
    <s v="ORD-01048"/>
    <s v="CUST0120"/>
    <x v="2"/>
    <x v="1"/>
    <n v="35"/>
    <x v="2"/>
    <x v="5"/>
    <x v="1"/>
    <n v="3690"/>
    <n v="3"/>
    <n v="11070"/>
    <x v="409"/>
    <s v="Monday"/>
    <s v="Weekday"/>
  </r>
  <r>
    <s v="ORD-01049"/>
    <s v="CUST0204"/>
    <x v="0"/>
    <x v="1"/>
    <n v="54"/>
    <x v="2"/>
    <x v="3"/>
    <x v="2"/>
    <n v="24600"/>
    <n v="5"/>
    <n v="123000"/>
    <x v="400"/>
    <s v="Thursday"/>
    <s v="Weekday"/>
  </r>
  <r>
    <s v="ORD-01050"/>
    <s v="CUST0244"/>
    <x v="1"/>
    <x v="0"/>
    <n v="24"/>
    <x v="3"/>
    <x v="6"/>
    <x v="0"/>
    <n v="98400"/>
    <n v="5"/>
    <n v="492000"/>
    <x v="345"/>
    <s v="Sunday"/>
    <s v="Weekday"/>
  </r>
  <r>
    <s v="ORD-01051"/>
    <s v="CUST0240"/>
    <x v="0"/>
    <x v="7"/>
    <n v="39"/>
    <x v="3"/>
    <x v="1"/>
    <x v="1"/>
    <n v="12300"/>
    <n v="4"/>
    <n v="49200"/>
    <x v="410"/>
    <s v="Saturday"/>
    <s v="Weekend"/>
  </r>
  <r>
    <s v="ORD-01052"/>
    <s v="CUST0224"/>
    <x v="2"/>
    <x v="4"/>
    <n v="57"/>
    <x v="0"/>
    <x v="5"/>
    <x v="1"/>
    <n v="3690"/>
    <n v="1"/>
    <n v="3690"/>
    <x v="133"/>
    <s v="Tuesday"/>
    <s v="Weekday"/>
  </r>
  <r>
    <s v="ORD-01053"/>
    <s v="CUST0056"/>
    <x v="1"/>
    <x v="2"/>
    <n v="23"/>
    <x v="3"/>
    <x v="2"/>
    <x v="0"/>
    <n v="184500"/>
    <n v="2"/>
    <n v="369000"/>
    <x v="411"/>
    <s v="Wednesday"/>
    <s v="Weekday"/>
  </r>
  <r>
    <s v="ORD-01054"/>
    <s v="CUST0070"/>
    <x v="0"/>
    <x v="3"/>
    <n v="23"/>
    <x v="2"/>
    <x v="6"/>
    <x v="0"/>
    <n v="98400"/>
    <n v="1"/>
    <n v="98400"/>
    <x v="412"/>
    <s v="Monday"/>
    <s v="Weekday"/>
  </r>
  <r>
    <s v="ORD-01055"/>
    <s v="CUST0220"/>
    <x v="0"/>
    <x v="1"/>
    <n v="67"/>
    <x v="1"/>
    <x v="6"/>
    <x v="0"/>
    <n v="98400"/>
    <n v="2"/>
    <n v="196800"/>
    <x v="413"/>
    <s v="Sunday"/>
    <s v="Weekday"/>
  </r>
  <r>
    <s v="ORD-01056"/>
    <s v="CUST0040"/>
    <x v="2"/>
    <x v="7"/>
    <n v="29"/>
    <x v="2"/>
    <x v="2"/>
    <x v="0"/>
    <n v="184500"/>
    <n v="1"/>
    <n v="184500"/>
    <x v="414"/>
    <s v="Tuesday"/>
    <s v="Weekday"/>
  </r>
  <r>
    <s v="ORD-01057"/>
    <s v="CUST0241"/>
    <x v="1"/>
    <x v="0"/>
    <n v="27"/>
    <x v="2"/>
    <x v="6"/>
    <x v="0"/>
    <n v="98400"/>
    <n v="1"/>
    <n v="98400"/>
    <x v="415"/>
    <s v="Tuesday"/>
    <s v="Weekday"/>
  </r>
  <r>
    <s v="ORD-01058"/>
    <s v="CUST0152"/>
    <x v="0"/>
    <x v="0"/>
    <n v="69"/>
    <x v="3"/>
    <x v="0"/>
    <x v="0"/>
    <n v="36900"/>
    <n v="5"/>
    <n v="184500"/>
    <x v="416"/>
    <s v="Sunday"/>
    <s v="Weekday"/>
  </r>
  <r>
    <s v="ORD-01059"/>
    <s v="CUST0017"/>
    <x v="1"/>
    <x v="0"/>
    <n v="36"/>
    <x v="0"/>
    <x v="1"/>
    <x v="1"/>
    <n v="12300"/>
    <n v="1"/>
    <n v="12300"/>
    <x v="417"/>
    <s v="Thursday"/>
    <s v="Weekday"/>
  </r>
  <r>
    <s v="ORD-01060"/>
    <s v="CUST0244"/>
    <x v="1"/>
    <x v="0"/>
    <n v="24"/>
    <x v="1"/>
    <x v="6"/>
    <x v="0"/>
    <n v="98400"/>
    <n v="3"/>
    <n v="295200"/>
    <x v="361"/>
    <s v="Saturday"/>
    <s v="Weekend"/>
  </r>
  <r>
    <s v="ORD-01061"/>
    <s v="CUST0040"/>
    <x v="2"/>
    <x v="7"/>
    <n v="29"/>
    <x v="1"/>
    <x v="6"/>
    <x v="0"/>
    <n v="98400"/>
    <n v="5"/>
    <n v="492000"/>
    <x v="418"/>
    <s v="Wednesday"/>
    <s v="Weekday"/>
  </r>
  <r>
    <s v="ORD-01062"/>
    <s v="CUST0276"/>
    <x v="0"/>
    <x v="0"/>
    <n v="66"/>
    <x v="0"/>
    <x v="4"/>
    <x v="1"/>
    <n v="6150"/>
    <n v="3"/>
    <n v="18450"/>
    <x v="343"/>
    <s v="Friday"/>
    <s v="Weekend"/>
  </r>
  <r>
    <s v="ORD-01063"/>
    <s v="CUST0092"/>
    <x v="1"/>
    <x v="0"/>
    <n v="32"/>
    <x v="2"/>
    <x v="2"/>
    <x v="0"/>
    <n v="184500"/>
    <n v="3"/>
    <n v="553500"/>
    <x v="419"/>
    <s v="Friday"/>
    <s v="Weekend"/>
  </r>
  <r>
    <s v="ORD-01064"/>
    <s v="CUST0237"/>
    <x v="0"/>
    <x v="2"/>
    <n v="65"/>
    <x v="3"/>
    <x v="0"/>
    <x v="0"/>
    <n v="36900"/>
    <n v="2"/>
    <n v="73800"/>
    <x v="420"/>
    <s v="Tuesday"/>
    <s v="Weekday"/>
  </r>
  <r>
    <s v="ORD-01065"/>
    <s v="CUST0255"/>
    <x v="0"/>
    <x v="1"/>
    <n v="39"/>
    <x v="2"/>
    <x v="1"/>
    <x v="1"/>
    <n v="12300"/>
    <n v="4"/>
    <n v="49200"/>
    <x v="421"/>
    <s v="Monday"/>
    <s v="Weekday"/>
  </r>
  <r>
    <s v="ORD-01066"/>
    <s v="CUST0291"/>
    <x v="1"/>
    <x v="2"/>
    <n v="49"/>
    <x v="1"/>
    <x v="2"/>
    <x v="0"/>
    <n v="184500"/>
    <n v="3"/>
    <n v="553500"/>
    <x v="422"/>
    <s v="Tuesday"/>
    <s v="Weekday"/>
  </r>
  <r>
    <s v="ORD-01067"/>
    <s v="CUST0130"/>
    <x v="0"/>
    <x v="0"/>
    <n v="68"/>
    <x v="1"/>
    <x v="0"/>
    <x v="0"/>
    <n v="36900"/>
    <n v="2"/>
    <n v="73800"/>
    <x v="423"/>
    <s v="Tuesday"/>
    <s v="Weekday"/>
  </r>
  <r>
    <s v="ORD-01068"/>
    <s v="CUST0081"/>
    <x v="0"/>
    <x v="6"/>
    <n v="38"/>
    <x v="2"/>
    <x v="2"/>
    <x v="0"/>
    <n v="184500"/>
    <n v="4"/>
    <n v="738000"/>
    <x v="377"/>
    <s v="Saturday"/>
    <s v="Weekend"/>
  </r>
  <r>
    <s v="ORD-01069"/>
    <s v="CUST0005"/>
    <x v="1"/>
    <x v="4"/>
    <n v="56"/>
    <x v="1"/>
    <x v="3"/>
    <x v="2"/>
    <n v="24600"/>
    <n v="3"/>
    <n v="73800"/>
    <x v="424"/>
    <s v="Thursday"/>
    <s v="Weekday"/>
  </r>
  <r>
    <s v="ORD-01070"/>
    <s v="CUST0280"/>
    <x v="0"/>
    <x v="5"/>
    <n v="44"/>
    <x v="3"/>
    <x v="3"/>
    <x v="2"/>
    <n v="24600"/>
    <n v="1"/>
    <n v="24600"/>
    <x v="419"/>
    <s v="Friday"/>
    <s v="Weekend"/>
  </r>
  <r>
    <s v="ORD-01071"/>
    <s v="CUST0249"/>
    <x v="0"/>
    <x v="0"/>
    <n v="33"/>
    <x v="1"/>
    <x v="4"/>
    <x v="1"/>
    <n v="6150"/>
    <n v="3"/>
    <n v="18450"/>
    <x v="377"/>
    <s v="Saturday"/>
    <s v="Weekend"/>
  </r>
  <r>
    <s v="ORD-01072"/>
    <s v="CUST0038"/>
    <x v="0"/>
    <x v="0"/>
    <n v="57"/>
    <x v="3"/>
    <x v="0"/>
    <x v="0"/>
    <n v="36900"/>
    <n v="2"/>
    <n v="73800"/>
    <x v="425"/>
    <s v="Monday"/>
    <s v="Weekday"/>
  </r>
  <r>
    <s v="ORD-01073"/>
    <s v="CUST0179"/>
    <x v="0"/>
    <x v="0"/>
    <n v="45"/>
    <x v="2"/>
    <x v="6"/>
    <x v="0"/>
    <n v="98400"/>
    <n v="3"/>
    <n v="295200"/>
    <x v="426"/>
    <s v="Friday"/>
    <s v="Weekend"/>
  </r>
  <r>
    <s v="ORD-01074"/>
    <s v="CUST0009"/>
    <x v="0"/>
    <x v="0"/>
    <n v="50"/>
    <x v="2"/>
    <x v="5"/>
    <x v="1"/>
    <n v="3690"/>
    <n v="4"/>
    <n v="14760"/>
    <x v="418"/>
    <s v="Wednesday"/>
    <s v="Weekday"/>
  </r>
  <r>
    <s v="ORD-01075"/>
    <s v="CUST0258"/>
    <x v="1"/>
    <x v="1"/>
    <n v="39"/>
    <x v="3"/>
    <x v="4"/>
    <x v="1"/>
    <n v="6150"/>
    <n v="5"/>
    <n v="30750"/>
    <x v="427"/>
    <s v="Friday"/>
    <s v="Weekend"/>
  </r>
  <r>
    <s v="ORD-01076"/>
    <s v="CUST0126"/>
    <x v="0"/>
    <x v="5"/>
    <n v="66"/>
    <x v="3"/>
    <x v="6"/>
    <x v="0"/>
    <n v="98400"/>
    <n v="1"/>
    <n v="98400"/>
    <x v="428"/>
    <s v="Wednesday"/>
    <s v="Weekday"/>
  </r>
  <r>
    <s v="ORD-01077"/>
    <s v="CUST0064"/>
    <x v="0"/>
    <x v="2"/>
    <n v="61"/>
    <x v="3"/>
    <x v="6"/>
    <x v="0"/>
    <n v="98400"/>
    <n v="3"/>
    <n v="295200"/>
    <x v="429"/>
    <s v="Tuesday"/>
    <s v="Weekday"/>
  </r>
  <r>
    <s v="ORD-01078"/>
    <s v="CUST0294"/>
    <x v="1"/>
    <x v="7"/>
    <n v="49"/>
    <x v="1"/>
    <x v="6"/>
    <x v="0"/>
    <n v="98400"/>
    <n v="3"/>
    <n v="295200"/>
    <x v="430"/>
    <s v="Friday"/>
    <s v="Weekend"/>
  </r>
  <r>
    <s v="ORD-01079"/>
    <s v="CUST0290"/>
    <x v="1"/>
    <x v="0"/>
    <n v="37"/>
    <x v="2"/>
    <x v="4"/>
    <x v="1"/>
    <n v="6150"/>
    <n v="4"/>
    <n v="24600"/>
    <x v="431"/>
    <s v="Monday"/>
    <s v="Weekday"/>
  </r>
  <r>
    <s v="ORD-01080"/>
    <s v="CUST0092"/>
    <x v="1"/>
    <x v="0"/>
    <n v="32"/>
    <x v="1"/>
    <x v="5"/>
    <x v="1"/>
    <n v="3690"/>
    <n v="3"/>
    <n v="11070"/>
    <x v="432"/>
    <s v="Wednesday"/>
    <s v="Weekday"/>
  </r>
  <r>
    <s v="ORD-01081"/>
    <s v="CUST0064"/>
    <x v="0"/>
    <x v="2"/>
    <n v="61"/>
    <x v="1"/>
    <x v="4"/>
    <x v="1"/>
    <n v="6150"/>
    <n v="1"/>
    <n v="6150"/>
    <x v="433"/>
    <s v="Sunday"/>
    <s v="Weekday"/>
  </r>
  <r>
    <s v="ORD-01082"/>
    <s v="CUST0300"/>
    <x v="2"/>
    <x v="0"/>
    <n v="66"/>
    <x v="3"/>
    <x v="2"/>
    <x v="0"/>
    <n v="184500"/>
    <n v="2"/>
    <n v="369000"/>
    <x v="434"/>
    <s v="Saturday"/>
    <s v="Weekend"/>
  </r>
  <r>
    <s v="ORD-01083"/>
    <s v="CUST0267"/>
    <x v="0"/>
    <x v="7"/>
    <n v="29"/>
    <x v="1"/>
    <x v="1"/>
    <x v="1"/>
    <n v="12300"/>
    <n v="5"/>
    <n v="61500"/>
    <x v="435"/>
    <s v="Monday"/>
    <s v="Weekday"/>
  </r>
  <r>
    <s v="ORD-01084"/>
    <s v="CUST0299"/>
    <x v="1"/>
    <x v="5"/>
    <n v="58"/>
    <x v="0"/>
    <x v="1"/>
    <x v="1"/>
    <n v="12300"/>
    <n v="4"/>
    <n v="49200"/>
    <x v="436"/>
    <s v="Wednesday"/>
    <s v="Weekday"/>
  </r>
  <r>
    <s v="ORD-01085"/>
    <s v="CUST0025"/>
    <x v="1"/>
    <x v="0"/>
    <n v="56"/>
    <x v="0"/>
    <x v="5"/>
    <x v="1"/>
    <n v="3690"/>
    <n v="5"/>
    <n v="18450"/>
    <x v="358"/>
    <s v="Thursday"/>
    <s v="Weekday"/>
  </r>
  <r>
    <s v="ORD-01086"/>
    <s v="CUST0180"/>
    <x v="0"/>
    <x v="5"/>
    <n v="68"/>
    <x v="0"/>
    <x v="1"/>
    <x v="1"/>
    <n v="12300"/>
    <n v="4"/>
    <n v="49200"/>
    <x v="368"/>
    <s v="Saturday"/>
    <s v="Weekend"/>
  </r>
  <r>
    <s v="ORD-01087"/>
    <s v="CUST0194"/>
    <x v="1"/>
    <x v="7"/>
    <n v="61"/>
    <x v="0"/>
    <x v="6"/>
    <x v="0"/>
    <n v="98400"/>
    <n v="3"/>
    <n v="295200"/>
    <x v="437"/>
    <s v="Tuesday"/>
    <s v="Weekday"/>
  </r>
  <r>
    <s v="ORD-01088"/>
    <s v="CUST0222"/>
    <x v="1"/>
    <x v="0"/>
    <n v="61"/>
    <x v="0"/>
    <x v="2"/>
    <x v="0"/>
    <n v="184500"/>
    <n v="4"/>
    <n v="738000"/>
    <x v="438"/>
    <s v="Monday"/>
    <s v="Weekday"/>
  </r>
  <r>
    <s v="ORD-01089"/>
    <s v="CUST0208"/>
    <x v="1"/>
    <x v="6"/>
    <n v="57"/>
    <x v="3"/>
    <x v="0"/>
    <x v="0"/>
    <n v="36900"/>
    <n v="1"/>
    <n v="36900"/>
    <x v="439"/>
    <s v="Saturday"/>
    <s v="Weekend"/>
  </r>
  <r>
    <s v="ORD-01090"/>
    <s v="CUST0215"/>
    <x v="1"/>
    <x v="5"/>
    <n v="35"/>
    <x v="1"/>
    <x v="4"/>
    <x v="1"/>
    <n v="6150"/>
    <n v="5"/>
    <n v="30750"/>
    <x v="369"/>
    <s v="Friday"/>
    <s v="Weekend"/>
  </r>
  <r>
    <s v="ORD-01091"/>
    <s v="CUST0007"/>
    <x v="1"/>
    <x v="5"/>
    <n v="52"/>
    <x v="1"/>
    <x v="3"/>
    <x v="2"/>
    <n v="24600"/>
    <n v="5"/>
    <n v="123000"/>
    <x v="440"/>
    <s v="Friday"/>
    <s v="Weekend"/>
  </r>
  <r>
    <s v="ORD-01092"/>
    <s v="CUST0235"/>
    <x v="0"/>
    <x v="6"/>
    <n v="19"/>
    <x v="0"/>
    <x v="4"/>
    <x v="1"/>
    <n v="6150"/>
    <n v="2"/>
    <n v="12300"/>
    <x v="441"/>
    <s v="Tuesday"/>
    <s v="Weekday"/>
  </r>
  <r>
    <s v="ORD-01093"/>
    <s v="CUST0106"/>
    <x v="1"/>
    <x v="0"/>
    <n v="50"/>
    <x v="1"/>
    <x v="5"/>
    <x v="1"/>
    <n v="3690"/>
    <n v="1"/>
    <n v="3690"/>
    <x v="442"/>
    <s v="Thursday"/>
    <s v="Weekday"/>
  </r>
  <r>
    <s v="ORD-01094"/>
    <s v="CUST0027"/>
    <x v="1"/>
    <x v="6"/>
    <n v="36"/>
    <x v="0"/>
    <x v="5"/>
    <x v="1"/>
    <n v="3690"/>
    <n v="4"/>
    <n v="14760"/>
    <x v="437"/>
    <s v="Tuesday"/>
    <s v="Weekday"/>
  </r>
  <r>
    <s v="ORD-01095"/>
    <s v="CUST0236"/>
    <x v="0"/>
    <x v="0"/>
    <n v="18"/>
    <x v="1"/>
    <x v="2"/>
    <x v="0"/>
    <n v="184500"/>
    <n v="3"/>
    <n v="553500"/>
    <x v="345"/>
    <s v="Sunday"/>
    <s v="Weekday"/>
  </r>
  <r>
    <s v="ORD-01096"/>
    <s v="CUST0055"/>
    <x v="1"/>
    <x v="1"/>
    <n v="45"/>
    <x v="3"/>
    <x v="5"/>
    <x v="1"/>
    <n v="3690"/>
    <n v="5"/>
    <n v="18450"/>
    <x v="443"/>
    <s v="Thursday"/>
    <s v="Weekday"/>
  </r>
  <r>
    <s v="ORD-01097"/>
    <s v="CUST0158"/>
    <x v="1"/>
    <x v="1"/>
    <n v="51"/>
    <x v="2"/>
    <x v="0"/>
    <x v="0"/>
    <n v="36900"/>
    <n v="3"/>
    <n v="110700"/>
    <x v="444"/>
    <s v="Saturday"/>
    <s v="Weekend"/>
  </r>
  <r>
    <s v="ORD-01098"/>
    <s v="CUST0080"/>
    <x v="0"/>
    <x v="5"/>
    <n v="51"/>
    <x v="0"/>
    <x v="2"/>
    <x v="0"/>
    <n v="184500"/>
    <n v="5"/>
    <n v="922500"/>
    <x v="445"/>
    <s v="Sunday"/>
    <s v="Weekday"/>
  </r>
  <r>
    <s v="ORD-01099"/>
    <s v="CUST0269"/>
    <x v="0"/>
    <x v="1"/>
    <n v="64"/>
    <x v="3"/>
    <x v="2"/>
    <x v="0"/>
    <n v="184500"/>
    <n v="3"/>
    <n v="553500"/>
    <x v="416"/>
    <s v="Sunday"/>
    <s v="Weekday"/>
  </r>
  <r>
    <s v="ORD-01100"/>
    <s v="CUST0097"/>
    <x v="2"/>
    <x v="4"/>
    <n v="34"/>
    <x v="3"/>
    <x v="1"/>
    <x v="1"/>
    <n v="12300"/>
    <n v="5"/>
    <n v="61500"/>
    <x v="446"/>
    <s v="Monday"/>
    <s v="Weekday"/>
  </r>
  <r>
    <s v="ORD-01101"/>
    <s v="CUST0166"/>
    <x v="1"/>
    <x v="1"/>
    <n v="29"/>
    <x v="0"/>
    <x v="3"/>
    <x v="2"/>
    <n v="24600"/>
    <n v="3"/>
    <n v="73800"/>
    <x v="447"/>
    <s v="Friday"/>
    <s v="Weekend"/>
  </r>
  <r>
    <s v="ORD-01102"/>
    <s v="CUST0092"/>
    <x v="1"/>
    <x v="0"/>
    <n v="32"/>
    <x v="0"/>
    <x v="1"/>
    <x v="1"/>
    <n v="12300"/>
    <n v="2"/>
    <n v="24600"/>
    <x v="448"/>
    <s v="Friday"/>
    <s v="Weekend"/>
  </r>
  <r>
    <s v="ORD-01103"/>
    <s v="CUST0137"/>
    <x v="1"/>
    <x v="2"/>
    <n v="19"/>
    <x v="3"/>
    <x v="1"/>
    <x v="1"/>
    <n v="12300"/>
    <n v="2"/>
    <n v="24600"/>
    <x v="396"/>
    <s v="Wednesday"/>
    <s v="Weekday"/>
  </r>
  <r>
    <s v="ORD-01104"/>
    <s v="CUST0165"/>
    <x v="2"/>
    <x v="0"/>
    <n v="49"/>
    <x v="0"/>
    <x v="4"/>
    <x v="1"/>
    <n v="6150"/>
    <n v="5"/>
    <n v="30750"/>
    <x v="449"/>
    <s v="Monday"/>
    <s v="Weekday"/>
  </r>
  <r>
    <s v="ORD-01105"/>
    <s v="CUST0088"/>
    <x v="2"/>
    <x v="5"/>
    <n v="66"/>
    <x v="0"/>
    <x v="6"/>
    <x v="0"/>
    <n v="98400"/>
    <n v="5"/>
    <n v="492000"/>
    <x v="450"/>
    <s v="Thursday"/>
    <s v="Weekday"/>
  </r>
  <r>
    <s v="ORD-01106"/>
    <s v="CUST0099"/>
    <x v="2"/>
    <x v="5"/>
    <n v="26"/>
    <x v="2"/>
    <x v="1"/>
    <x v="1"/>
    <n v="12300"/>
    <n v="5"/>
    <n v="61500"/>
    <x v="379"/>
    <s v="Sunday"/>
    <s v="Weekday"/>
  </r>
  <r>
    <s v="ORD-01107"/>
    <s v="CUST0164"/>
    <x v="0"/>
    <x v="2"/>
    <n v="50"/>
    <x v="2"/>
    <x v="0"/>
    <x v="0"/>
    <n v="36900"/>
    <n v="4"/>
    <n v="147600"/>
    <x v="451"/>
    <s v="Friday"/>
    <s v="Weekend"/>
  </r>
  <r>
    <s v="ORD-01108"/>
    <s v="CUST0274"/>
    <x v="2"/>
    <x v="1"/>
    <n v="51"/>
    <x v="0"/>
    <x v="4"/>
    <x v="1"/>
    <n v="6150"/>
    <n v="3"/>
    <n v="18450"/>
    <x v="452"/>
    <s v="Sunday"/>
    <s v="Weekday"/>
  </r>
  <r>
    <s v="ORD-01109"/>
    <s v="CUST0232"/>
    <x v="2"/>
    <x v="4"/>
    <n v="44"/>
    <x v="3"/>
    <x v="1"/>
    <x v="1"/>
    <n v="12300"/>
    <n v="3"/>
    <n v="36900"/>
    <x v="453"/>
    <s v="Thursday"/>
    <s v="Weekday"/>
  </r>
  <r>
    <s v="ORD-01110"/>
    <s v="CUST0183"/>
    <x v="1"/>
    <x v="2"/>
    <n v="42"/>
    <x v="1"/>
    <x v="6"/>
    <x v="0"/>
    <n v="98400"/>
    <n v="4"/>
    <n v="393600"/>
    <x v="454"/>
    <s v="Friday"/>
    <s v="Weekend"/>
  </r>
  <r>
    <s v="ORD-01111"/>
    <s v="CUST0028"/>
    <x v="0"/>
    <x v="1"/>
    <n v="50"/>
    <x v="0"/>
    <x v="6"/>
    <x v="0"/>
    <n v="98400"/>
    <n v="5"/>
    <n v="492000"/>
    <x v="423"/>
    <s v="Tuesday"/>
    <s v="Weekday"/>
  </r>
  <r>
    <s v="ORD-01112"/>
    <s v="CUST0017"/>
    <x v="1"/>
    <x v="0"/>
    <n v="36"/>
    <x v="0"/>
    <x v="6"/>
    <x v="0"/>
    <n v="98400"/>
    <n v="3"/>
    <n v="295200"/>
    <x v="455"/>
    <s v="Tuesday"/>
    <s v="Weekday"/>
  </r>
  <r>
    <s v="ORD-01113"/>
    <s v="CUST0029"/>
    <x v="2"/>
    <x v="2"/>
    <n v="66"/>
    <x v="1"/>
    <x v="6"/>
    <x v="0"/>
    <n v="98400"/>
    <n v="1"/>
    <n v="98400"/>
    <x v="240"/>
    <s v="Tuesday"/>
    <s v="Weekday"/>
  </r>
  <r>
    <s v="ORD-01114"/>
    <s v="CUST0072"/>
    <x v="0"/>
    <x v="5"/>
    <n v="21"/>
    <x v="1"/>
    <x v="3"/>
    <x v="2"/>
    <n v="24600"/>
    <n v="5"/>
    <n v="123000"/>
    <x v="445"/>
    <s v="Sunday"/>
    <s v="Weekday"/>
  </r>
  <r>
    <s v="ORD-01115"/>
    <s v="CUST0026"/>
    <x v="2"/>
    <x v="5"/>
    <n v="27"/>
    <x v="1"/>
    <x v="6"/>
    <x v="0"/>
    <n v="98400"/>
    <n v="4"/>
    <n v="393600"/>
    <x v="456"/>
    <s v="Saturday"/>
    <s v="Weekend"/>
  </r>
  <r>
    <s v="ORD-01116"/>
    <s v="CUST0190"/>
    <x v="0"/>
    <x v="0"/>
    <n v="28"/>
    <x v="2"/>
    <x v="3"/>
    <x v="2"/>
    <n v="24600"/>
    <n v="5"/>
    <n v="123000"/>
    <x v="457"/>
    <s v="Monday"/>
    <s v="Weekday"/>
  </r>
  <r>
    <s v="ORD-01117"/>
    <s v="CUST0161"/>
    <x v="0"/>
    <x v="5"/>
    <n v="62"/>
    <x v="2"/>
    <x v="1"/>
    <x v="1"/>
    <n v="12300"/>
    <n v="1"/>
    <n v="12300"/>
    <x v="458"/>
    <s v="Sunday"/>
    <s v="Weekday"/>
  </r>
  <r>
    <s v="ORD-01118"/>
    <s v="CUST0158"/>
    <x v="1"/>
    <x v="1"/>
    <n v="51"/>
    <x v="2"/>
    <x v="6"/>
    <x v="0"/>
    <n v="98400"/>
    <n v="2"/>
    <n v="196800"/>
    <x v="459"/>
    <s v="Monday"/>
    <s v="Weekday"/>
  </r>
  <r>
    <s v="ORD-01119"/>
    <s v="CUST0248"/>
    <x v="2"/>
    <x v="7"/>
    <n v="67"/>
    <x v="3"/>
    <x v="5"/>
    <x v="1"/>
    <n v="3690"/>
    <n v="2"/>
    <n v="7380"/>
    <x v="460"/>
    <s v="Tuesday"/>
    <s v="Weekday"/>
  </r>
  <r>
    <s v="ORD-01120"/>
    <s v="CUST0169"/>
    <x v="1"/>
    <x v="1"/>
    <n v="54"/>
    <x v="0"/>
    <x v="0"/>
    <x v="0"/>
    <n v="36900"/>
    <n v="1"/>
    <n v="36900"/>
    <x v="461"/>
    <s v="Friday"/>
    <s v="Weekend"/>
  </r>
  <r>
    <s v="ORD-01121"/>
    <s v="CUST0087"/>
    <x v="1"/>
    <x v="0"/>
    <n v="49"/>
    <x v="2"/>
    <x v="3"/>
    <x v="2"/>
    <n v="24600"/>
    <n v="1"/>
    <n v="24600"/>
    <x v="415"/>
    <s v="Tuesday"/>
    <s v="Weekday"/>
  </r>
  <r>
    <s v="ORD-01122"/>
    <s v="CUST0096"/>
    <x v="1"/>
    <x v="1"/>
    <n v="61"/>
    <x v="3"/>
    <x v="0"/>
    <x v="0"/>
    <n v="36900"/>
    <n v="2"/>
    <n v="73800"/>
    <x v="462"/>
    <s v="Monday"/>
    <s v="Weekday"/>
  </r>
  <r>
    <s v="ORD-01123"/>
    <s v="CUST0211"/>
    <x v="2"/>
    <x v="0"/>
    <n v="35"/>
    <x v="3"/>
    <x v="0"/>
    <x v="0"/>
    <n v="36900"/>
    <n v="4"/>
    <n v="147600"/>
    <x v="378"/>
    <s v="Friday"/>
    <s v="Weekend"/>
  </r>
  <r>
    <s v="ORD-01124"/>
    <s v="CUST0035"/>
    <x v="1"/>
    <x v="6"/>
    <n v="20"/>
    <x v="1"/>
    <x v="4"/>
    <x v="1"/>
    <n v="6150"/>
    <n v="2"/>
    <n v="12300"/>
    <x v="463"/>
    <s v="Thursday"/>
    <s v="Weekday"/>
  </r>
  <r>
    <s v="ORD-01125"/>
    <s v="CUST0268"/>
    <x v="0"/>
    <x v="0"/>
    <n v="21"/>
    <x v="1"/>
    <x v="4"/>
    <x v="1"/>
    <n v="6150"/>
    <n v="3"/>
    <n v="18450"/>
    <x v="380"/>
    <s v="Saturday"/>
    <s v="Weekend"/>
  </r>
  <r>
    <s v="ORD-01126"/>
    <s v="CUST0130"/>
    <x v="0"/>
    <x v="0"/>
    <n v="68"/>
    <x v="2"/>
    <x v="4"/>
    <x v="1"/>
    <n v="6150"/>
    <n v="3"/>
    <n v="18450"/>
    <x v="464"/>
    <s v="Monday"/>
    <s v="Weekday"/>
  </r>
  <r>
    <s v="ORD-01127"/>
    <s v="CUST0171"/>
    <x v="0"/>
    <x v="0"/>
    <n v="21"/>
    <x v="0"/>
    <x v="6"/>
    <x v="0"/>
    <n v="98400"/>
    <n v="5"/>
    <n v="492000"/>
    <x v="465"/>
    <s v="Sunday"/>
    <s v="Weekday"/>
  </r>
  <r>
    <s v="ORD-01128"/>
    <s v="CUST0246"/>
    <x v="1"/>
    <x v="0"/>
    <n v="64"/>
    <x v="0"/>
    <x v="0"/>
    <x v="0"/>
    <n v="36900"/>
    <n v="4"/>
    <n v="147600"/>
    <x v="466"/>
    <s v="Wednesday"/>
    <s v="Weekday"/>
  </r>
  <r>
    <s v="ORD-01129"/>
    <s v="CUST0023"/>
    <x v="0"/>
    <x v="1"/>
    <n v="29"/>
    <x v="0"/>
    <x v="2"/>
    <x v="0"/>
    <n v="184500"/>
    <n v="1"/>
    <n v="184500"/>
    <x v="416"/>
    <s v="Sunday"/>
    <s v="Weekday"/>
  </r>
  <r>
    <s v="ORD-01130"/>
    <s v="CUST0207"/>
    <x v="0"/>
    <x v="5"/>
    <n v="54"/>
    <x v="3"/>
    <x v="6"/>
    <x v="0"/>
    <n v="98400"/>
    <n v="5"/>
    <n v="492000"/>
    <x v="467"/>
    <s v="Wednesday"/>
    <s v="Weekday"/>
  </r>
  <r>
    <s v="ORD-01131"/>
    <s v="CUST0242"/>
    <x v="0"/>
    <x v="1"/>
    <n v="58"/>
    <x v="3"/>
    <x v="2"/>
    <x v="0"/>
    <n v="184500"/>
    <n v="5"/>
    <n v="922500"/>
    <x v="421"/>
    <s v="Monday"/>
    <s v="Weekday"/>
  </r>
  <r>
    <s v="ORD-01132"/>
    <s v="CUST0295"/>
    <x v="2"/>
    <x v="0"/>
    <n v="26"/>
    <x v="3"/>
    <x v="5"/>
    <x v="1"/>
    <n v="3690"/>
    <n v="4"/>
    <n v="14760"/>
    <x v="427"/>
    <s v="Friday"/>
    <s v="Weekend"/>
  </r>
  <r>
    <s v="ORD-01133"/>
    <s v="CUST0252"/>
    <x v="0"/>
    <x v="0"/>
    <n v="55"/>
    <x v="3"/>
    <x v="0"/>
    <x v="0"/>
    <n v="36900"/>
    <n v="3"/>
    <n v="110700"/>
    <x v="453"/>
    <s v="Thursday"/>
    <s v="Weekday"/>
  </r>
  <r>
    <s v="ORD-01134"/>
    <s v="CUST0007"/>
    <x v="1"/>
    <x v="5"/>
    <n v="52"/>
    <x v="0"/>
    <x v="2"/>
    <x v="0"/>
    <n v="184500"/>
    <n v="3"/>
    <n v="553500"/>
    <x v="468"/>
    <s v="Wednesday"/>
    <s v="Weekday"/>
  </r>
  <r>
    <s v="ORD-01135"/>
    <s v="CUST0062"/>
    <x v="0"/>
    <x v="3"/>
    <n v="43"/>
    <x v="0"/>
    <x v="0"/>
    <x v="0"/>
    <n v="36900"/>
    <n v="2"/>
    <n v="73800"/>
    <x v="469"/>
    <s v="Tuesday"/>
    <s v="Weekday"/>
  </r>
  <r>
    <s v="ORD-01136"/>
    <s v="CUST0128"/>
    <x v="1"/>
    <x v="1"/>
    <n v="52"/>
    <x v="1"/>
    <x v="2"/>
    <x v="0"/>
    <n v="184500"/>
    <n v="1"/>
    <n v="184500"/>
    <x v="470"/>
    <s v="Wednesday"/>
    <s v="Weekday"/>
  </r>
  <r>
    <s v="ORD-01137"/>
    <s v="CUST0043"/>
    <x v="0"/>
    <x v="3"/>
    <n v="22"/>
    <x v="0"/>
    <x v="5"/>
    <x v="1"/>
    <n v="3690"/>
    <n v="4"/>
    <n v="14760"/>
    <x v="471"/>
    <s v="Thursday"/>
    <s v="Weekday"/>
  </r>
  <r>
    <s v="ORD-01138"/>
    <s v="CUST0008"/>
    <x v="1"/>
    <x v="6"/>
    <n v="18"/>
    <x v="3"/>
    <x v="3"/>
    <x v="2"/>
    <n v="24600"/>
    <n v="4"/>
    <n v="98400"/>
    <x v="472"/>
    <s v="Tuesday"/>
    <s v="Weekday"/>
  </r>
  <r>
    <s v="ORD-01139"/>
    <s v="CUST0247"/>
    <x v="0"/>
    <x v="1"/>
    <n v="44"/>
    <x v="3"/>
    <x v="5"/>
    <x v="1"/>
    <n v="3690"/>
    <n v="4"/>
    <n v="14760"/>
    <x v="473"/>
    <s v="Tuesday"/>
    <s v="Weekday"/>
  </r>
  <r>
    <s v="ORD-01140"/>
    <s v="CUST0223"/>
    <x v="1"/>
    <x v="1"/>
    <n v="20"/>
    <x v="2"/>
    <x v="4"/>
    <x v="1"/>
    <n v="6150"/>
    <n v="3"/>
    <n v="18450"/>
    <x v="81"/>
    <s v="Saturday"/>
    <s v="Weekend"/>
  </r>
  <r>
    <s v="ORD-01141"/>
    <s v="CUST0134"/>
    <x v="0"/>
    <x v="5"/>
    <n v="58"/>
    <x v="0"/>
    <x v="2"/>
    <x v="0"/>
    <n v="184500"/>
    <n v="4"/>
    <n v="738000"/>
    <x v="474"/>
    <s v="Wednesday"/>
    <s v="Weekday"/>
  </r>
  <r>
    <s v="ORD-01142"/>
    <s v="CUST0274"/>
    <x v="2"/>
    <x v="1"/>
    <n v="51"/>
    <x v="0"/>
    <x v="2"/>
    <x v="0"/>
    <n v="184500"/>
    <n v="4"/>
    <n v="738000"/>
    <x v="422"/>
    <s v="Tuesday"/>
    <s v="Weekday"/>
  </r>
  <r>
    <s v="ORD-01143"/>
    <s v="CUST0011"/>
    <x v="2"/>
    <x v="0"/>
    <n v="54"/>
    <x v="1"/>
    <x v="2"/>
    <x v="0"/>
    <n v="184500"/>
    <n v="1"/>
    <n v="184500"/>
    <x v="475"/>
    <s v="Tuesday"/>
    <s v="Weekday"/>
  </r>
  <r>
    <s v="ORD-01144"/>
    <s v="CUST0144"/>
    <x v="1"/>
    <x v="0"/>
    <n v="54"/>
    <x v="1"/>
    <x v="4"/>
    <x v="1"/>
    <n v="6150"/>
    <n v="2"/>
    <n v="12300"/>
    <x v="361"/>
    <s v="Saturday"/>
    <s v="Weekend"/>
  </r>
  <r>
    <s v="ORD-01145"/>
    <s v="CUST0164"/>
    <x v="0"/>
    <x v="2"/>
    <n v="50"/>
    <x v="3"/>
    <x v="0"/>
    <x v="0"/>
    <n v="36900"/>
    <n v="2"/>
    <n v="73800"/>
    <x v="476"/>
    <s v="Sunday"/>
    <s v="Weekday"/>
  </r>
  <r>
    <s v="ORD-01146"/>
    <s v="CUST0129"/>
    <x v="0"/>
    <x v="2"/>
    <n v="66"/>
    <x v="2"/>
    <x v="2"/>
    <x v="0"/>
    <n v="184500"/>
    <n v="4"/>
    <n v="738000"/>
    <x v="477"/>
    <s v="Thursday"/>
    <s v="Weekday"/>
  </r>
  <r>
    <s v="ORD-01147"/>
    <s v="CUST0091"/>
    <x v="2"/>
    <x v="2"/>
    <n v="30"/>
    <x v="0"/>
    <x v="5"/>
    <x v="1"/>
    <n v="3690"/>
    <n v="4"/>
    <n v="14760"/>
    <x v="478"/>
    <s v="Sunday"/>
    <s v="Weekday"/>
  </r>
  <r>
    <s v="ORD-01148"/>
    <s v="CUST0064"/>
    <x v="0"/>
    <x v="2"/>
    <n v="61"/>
    <x v="0"/>
    <x v="4"/>
    <x v="1"/>
    <n v="6150"/>
    <n v="2"/>
    <n v="12300"/>
    <x v="479"/>
    <s v="Thursday"/>
    <s v="Weekday"/>
  </r>
  <r>
    <s v="ORD-01149"/>
    <s v="CUST0226"/>
    <x v="0"/>
    <x v="5"/>
    <n v="43"/>
    <x v="2"/>
    <x v="1"/>
    <x v="1"/>
    <n v="12300"/>
    <n v="1"/>
    <n v="12300"/>
    <x v="480"/>
    <s v="Sunday"/>
    <s v="Weekday"/>
  </r>
  <r>
    <s v="ORD-01150"/>
    <s v="CUST0107"/>
    <x v="0"/>
    <x v="5"/>
    <n v="67"/>
    <x v="0"/>
    <x v="3"/>
    <x v="2"/>
    <n v="24600"/>
    <n v="5"/>
    <n v="123000"/>
    <x v="401"/>
    <s v="Friday"/>
    <s v="Weekend"/>
  </r>
  <r>
    <s v="ORD-01151"/>
    <s v="CUST0013"/>
    <x v="1"/>
    <x v="7"/>
    <n v="55"/>
    <x v="1"/>
    <x v="1"/>
    <x v="1"/>
    <n v="12300"/>
    <n v="5"/>
    <n v="61500"/>
    <x v="399"/>
    <s v="Sunday"/>
    <s v="Weekday"/>
  </r>
  <r>
    <s v="ORD-01152"/>
    <s v="CUST0096"/>
    <x v="1"/>
    <x v="1"/>
    <n v="61"/>
    <x v="2"/>
    <x v="1"/>
    <x v="1"/>
    <n v="12300"/>
    <n v="1"/>
    <n v="12300"/>
    <x v="481"/>
    <s v="Friday"/>
    <s v="Weekend"/>
  </r>
  <r>
    <s v="ORD-01153"/>
    <s v="CUST0178"/>
    <x v="0"/>
    <x v="4"/>
    <n v="44"/>
    <x v="0"/>
    <x v="6"/>
    <x v="0"/>
    <n v="98400"/>
    <n v="3"/>
    <n v="295200"/>
    <x v="482"/>
    <s v="Wednesday"/>
    <s v="Weekday"/>
  </r>
  <r>
    <s v="ORD-01154"/>
    <s v="CUST0233"/>
    <x v="0"/>
    <x v="0"/>
    <n v="24"/>
    <x v="1"/>
    <x v="4"/>
    <x v="1"/>
    <n v="6150"/>
    <n v="3"/>
    <n v="18450"/>
    <x v="483"/>
    <s v="Monday"/>
    <s v="Weekday"/>
  </r>
  <r>
    <s v="ORD-01155"/>
    <s v="CUST0150"/>
    <x v="2"/>
    <x v="1"/>
    <n v="63"/>
    <x v="1"/>
    <x v="6"/>
    <x v="0"/>
    <n v="98400"/>
    <n v="3"/>
    <n v="295200"/>
    <x v="484"/>
    <s v="Wednesday"/>
    <s v="Weekday"/>
  </r>
  <r>
    <s v="ORD-01156"/>
    <s v="CUST0022"/>
    <x v="1"/>
    <x v="0"/>
    <n v="33"/>
    <x v="3"/>
    <x v="1"/>
    <x v="1"/>
    <n v="12300"/>
    <n v="4"/>
    <n v="49200"/>
    <x v="485"/>
    <s v="Monday"/>
    <s v="Weekday"/>
  </r>
  <r>
    <s v="ORD-01157"/>
    <s v="CUST0148"/>
    <x v="0"/>
    <x v="7"/>
    <n v="67"/>
    <x v="0"/>
    <x v="3"/>
    <x v="2"/>
    <n v="24600"/>
    <n v="5"/>
    <n v="123000"/>
    <x v="445"/>
    <s v="Sunday"/>
    <s v="Weekday"/>
  </r>
  <r>
    <s v="ORD-01158"/>
    <s v="CUST0092"/>
    <x v="1"/>
    <x v="0"/>
    <n v="32"/>
    <x v="2"/>
    <x v="3"/>
    <x v="2"/>
    <n v="24600"/>
    <n v="4"/>
    <n v="98400"/>
    <x v="456"/>
    <s v="Saturday"/>
    <s v="Weekend"/>
  </r>
  <r>
    <s v="ORD-01159"/>
    <s v="CUST0222"/>
    <x v="1"/>
    <x v="0"/>
    <n v="61"/>
    <x v="1"/>
    <x v="1"/>
    <x v="1"/>
    <n v="12300"/>
    <n v="3"/>
    <n v="36900"/>
    <x v="486"/>
    <s v="Monday"/>
    <s v="Weekday"/>
  </r>
  <r>
    <s v="ORD-01160"/>
    <s v="CUST0029"/>
    <x v="2"/>
    <x v="2"/>
    <n v="66"/>
    <x v="1"/>
    <x v="2"/>
    <x v="0"/>
    <n v="184500"/>
    <n v="2"/>
    <n v="369000"/>
    <x v="487"/>
    <s v="Wednesday"/>
    <s v="Weekday"/>
  </r>
  <r>
    <s v="ORD-01161"/>
    <s v="CUST0266"/>
    <x v="0"/>
    <x v="1"/>
    <n v="29"/>
    <x v="3"/>
    <x v="6"/>
    <x v="0"/>
    <n v="98400"/>
    <n v="2"/>
    <n v="196800"/>
    <x v="488"/>
    <s v="Tuesday"/>
    <s v="Weekday"/>
  </r>
  <r>
    <s v="ORD-01162"/>
    <s v="CUST0045"/>
    <x v="2"/>
    <x v="2"/>
    <n v="21"/>
    <x v="2"/>
    <x v="4"/>
    <x v="1"/>
    <n v="6150"/>
    <n v="2"/>
    <n v="12300"/>
    <x v="489"/>
    <s v="Monday"/>
    <s v="Weekday"/>
  </r>
  <r>
    <s v="ORD-01163"/>
    <s v="CUST0239"/>
    <x v="2"/>
    <x v="1"/>
    <n v="35"/>
    <x v="3"/>
    <x v="2"/>
    <x v="0"/>
    <n v="184500"/>
    <n v="5"/>
    <n v="922500"/>
    <x v="490"/>
    <s v="Tuesday"/>
    <s v="Weekday"/>
  </r>
  <r>
    <s v="ORD-01164"/>
    <s v="CUST0297"/>
    <x v="0"/>
    <x v="4"/>
    <n v="61"/>
    <x v="1"/>
    <x v="5"/>
    <x v="1"/>
    <n v="3690"/>
    <n v="5"/>
    <n v="18450"/>
    <x v="491"/>
    <s v="Wednesday"/>
    <s v="Weekday"/>
  </r>
  <r>
    <s v="ORD-01165"/>
    <s v="CUST0232"/>
    <x v="2"/>
    <x v="4"/>
    <n v="44"/>
    <x v="0"/>
    <x v="0"/>
    <x v="0"/>
    <n v="36900"/>
    <n v="5"/>
    <n v="184500"/>
    <x v="492"/>
    <s v="Tuesday"/>
    <s v="Weekday"/>
  </r>
  <r>
    <s v="ORD-01166"/>
    <s v="CUST0091"/>
    <x v="2"/>
    <x v="2"/>
    <n v="30"/>
    <x v="2"/>
    <x v="1"/>
    <x v="1"/>
    <n v="12300"/>
    <n v="5"/>
    <n v="61500"/>
    <x v="493"/>
    <s v="Wednesday"/>
    <s v="Weekday"/>
  </r>
  <r>
    <s v="ORD-01167"/>
    <s v="CUST0209"/>
    <x v="0"/>
    <x v="0"/>
    <n v="63"/>
    <x v="0"/>
    <x v="0"/>
    <x v="0"/>
    <n v="36900"/>
    <n v="1"/>
    <n v="36900"/>
    <x v="363"/>
    <s v="Tuesday"/>
    <s v="Weekday"/>
  </r>
  <r>
    <s v="ORD-01168"/>
    <s v="CUST0076"/>
    <x v="0"/>
    <x v="0"/>
    <n v="26"/>
    <x v="0"/>
    <x v="5"/>
    <x v="1"/>
    <n v="3690"/>
    <n v="2"/>
    <n v="7380"/>
    <x v="494"/>
    <s v="Sunday"/>
    <s v="Weekday"/>
  </r>
  <r>
    <s v="ORD-01169"/>
    <s v="CUST0139"/>
    <x v="0"/>
    <x v="1"/>
    <n v="57"/>
    <x v="3"/>
    <x v="3"/>
    <x v="2"/>
    <n v="24600"/>
    <n v="5"/>
    <n v="123000"/>
    <x v="495"/>
    <s v="Thursday"/>
    <s v="Weekday"/>
  </r>
  <r>
    <s v="ORD-01170"/>
    <s v="CUST0259"/>
    <x v="0"/>
    <x v="4"/>
    <n v="59"/>
    <x v="1"/>
    <x v="6"/>
    <x v="0"/>
    <n v="98400"/>
    <n v="4"/>
    <n v="393600"/>
    <x v="455"/>
    <s v="Tuesday"/>
    <s v="Weekday"/>
  </r>
  <r>
    <s v="ORD-01171"/>
    <s v="CUST0124"/>
    <x v="1"/>
    <x v="4"/>
    <n v="53"/>
    <x v="0"/>
    <x v="1"/>
    <x v="1"/>
    <n v="12300"/>
    <n v="4"/>
    <n v="49200"/>
    <x v="496"/>
    <s v="Tuesday"/>
    <s v="Weekday"/>
  </r>
  <r>
    <s v="ORD-01172"/>
    <s v="CUST0071"/>
    <x v="2"/>
    <x v="0"/>
    <n v="46"/>
    <x v="2"/>
    <x v="4"/>
    <x v="1"/>
    <n v="6150"/>
    <n v="2"/>
    <n v="12300"/>
    <x v="489"/>
    <s v="Monday"/>
    <s v="Weekday"/>
  </r>
  <r>
    <s v="ORD-01173"/>
    <s v="CUST0280"/>
    <x v="0"/>
    <x v="5"/>
    <n v="44"/>
    <x v="3"/>
    <x v="3"/>
    <x v="2"/>
    <n v="24600"/>
    <n v="2"/>
    <n v="49200"/>
    <x v="487"/>
    <s v="Wednesday"/>
    <s v="Weekday"/>
  </r>
  <r>
    <s v="ORD-01174"/>
    <s v="CUST0167"/>
    <x v="2"/>
    <x v="7"/>
    <n v="67"/>
    <x v="2"/>
    <x v="2"/>
    <x v="0"/>
    <n v="184500"/>
    <n v="2"/>
    <n v="369000"/>
    <x v="497"/>
    <s v="Monday"/>
    <s v="Weekday"/>
  </r>
  <r>
    <s v="ORD-01175"/>
    <s v="CUST0027"/>
    <x v="1"/>
    <x v="6"/>
    <n v="36"/>
    <x v="0"/>
    <x v="1"/>
    <x v="1"/>
    <n v="12300"/>
    <n v="1"/>
    <n v="12300"/>
    <x v="407"/>
    <s v="Friday"/>
    <s v="Weekend"/>
  </r>
  <r>
    <s v="ORD-01176"/>
    <s v="CUST0285"/>
    <x v="1"/>
    <x v="1"/>
    <n v="58"/>
    <x v="2"/>
    <x v="1"/>
    <x v="1"/>
    <n v="12300"/>
    <n v="2"/>
    <n v="24600"/>
    <x v="412"/>
    <s v="Monday"/>
    <s v="Weekday"/>
  </r>
  <r>
    <s v="ORD-01177"/>
    <s v="CUST0253"/>
    <x v="1"/>
    <x v="5"/>
    <n v="51"/>
    <x v="3"/>
    <x v="1"/>
    <x v="1"/>
    <n v="12300"/>
    <n v="2"/>
    <n v="24600"/>
    <x v="486"/>
    <s v="Monday"/>
    <s v="Weekday"/>
  </r>
  <r>
    <s v="ORD-01178"/>
    <s v="CUST0001"/>
    <x v="2"/>
    <x v="1"/>
    <n v="38"/>
    <x v="3"/>
    <x v="2"/>
    <x v="0"/>
    <n v="184500"/>
    <n v="4"/>
    <n v="738000"/>
    <x v="498"/>
    <s v="Wednesday"/>
    <s v="Weekday"/>
  </r>
  <r>
    <s v="ORD-01179"/>
    <s v="CUST0252"/>
    <x v="0"/>
    <x v="0"/>
    <n v="55"/>
    <x v="1"/>
    <x v="1"/>
    <x v="1"/>
    <n v="12300"/>
    <n v="2"/>
    <n v="24600"/>
    <x v="449"/>
    <s v="Monday"/>
    <s v="Weekday"/>
  </r>
  <r>
    <s v="ORD-01180"/>
    <s v="CUST0183"/>
    <x v="1"/>
    <x v="2"/>
    <n v="42"/>
    <x v="2"/>
    <x v="3"/>
    <x v="2"/>
    <n v="24600"/>
    <n v="5"/>
    <n v="123000"/>
    <x v="499"/>
    <s v="Monday"/>
    <s v="Weekday"/>
  </r>
  <r>
    <s v="ORD-01181"/>
    <s v="CUST0246"/>
    <x v="1"/>
    <x v="0"/>
    <n v="64"/>
    <x v="3"/>
    <x v="2"/>
    <x v="0"/>
    <n v="184500"/>
    <n v="5"/>
    <n v="922500"/>
    <x v="345"/>
    <s v="Sunday"/>
    <s v="Weekday"/>
  </r>
  <r>
    <s v="ORD-01182"/>
    <s v="CUST0245"/>
    <x v="0"/>
    <x v="2"/>
    <n v="63"/>
    <x v="3"/>
    <x v="2"/>
    <x v="0"/>
    <n v="184500"/>
    <n v="3"/>
    <n v="553500"/>
    <x v="500"/>
    <s v="Wednesday"/>
    <s v="Weekday"/>
  </r>
  <r>
    <s v="ORD-01183"/>
    <s v="CUST0237"/>
    <x v="0"/>
    <x v="2"/>
    <n v="65"/>
    <x v="1"/>
    <x v="0"/>
    <x v="0"/>
    <n v="36900"/>
    <n v="5"/>
    <n v="184500"/>
    <x v="501"/>
    <s v="Tuesday"/>
    <s v="Weekday"/>
  </r>
  <r>
    <s v="ORD-01184"/>
    <s v="CUST0186"/>
    <x v="1"/>
    <x v="7"/>
    <n v="55"/>
    <x v="3"/>
    <x v="0"/>
    <x v="0"/>
    <n v="36900"/>
    <n v="4"/>
    <n v="147600"/>
    <x v="413"/>
    <s v="Sunday"/>
    <s v="Weekday"/>
  </r>
  <r>
    <s v="ORD-01185"/>
    <s v="CUST0270"/>
    <x v="2"/>
    <x v="3"/>
    <n v="64"/>
    <x v="0"/>
    <x v="6"/>
    <x v="0"/>
    <n v="98400"/>
    <n v="5"/>
    <n v="492000"/>
    <x v="502"/>
    <s v="Monday"/>
    <s v="Weekday"/>
  </r>
  <r>
    <s v="ORD-01186"/>
    <s v="CUST0176"/>
    <x v="0"/>
    <x v="0"/>
    <n v="51"/>
    <x v="2"/>
    <x v="3"/>
    <x v="2"/>
    <n v="24600"/>
    <n v="3"/>
    <n v="73800"/>
    <x v="464"/>
    <s v="Monday"/>
    <s v="Weekday"/>
  </r>
  <r>
    <s v="ORD-01187"/>
    <s v="CUST0129"/>
    <x v="0"/>
    <x v="2"/>
    <n v="66"/>
    <x v="1"/>
    <x v="6"/>
    <x v="0"/>
    <n v="98400"/>
    <n v="2"/>
    <n v="196800"/>
    <x v="503"/>
    <s v="Thursday"/>
    <s v="Weekday"/>
  </r>
  <r>
    <s v="ORD-01188"/>
    <s v="CUST0086"/>
    <x v="0"/>
    <x v="7"/>
    <n v="26"/>
    <x v="0"/>
    <x v="0"/>
    <x v="0"/>
    <n v="36900"/>
    <n v="1"/>
    <n v="36900"/>
    <x v="504"/>
    <s v="Tuesday"/>
    <s v="Weekday"/>
  </r>
  <r>
    <s v="ORD-01189"/>
    <s v="CUST0020"/>
    <x v="1"/>
    <x v="1"/>
    <n v="55"/>
    <x v="0"/>
    <x v="4"/>
    <x v="1"/>
    <n v="6150"/>
    <n v="4"/>
    <n v="24600"/>
    <x v="505"/>
    <s v="Thursday"/>
    <s v="Weekday"/>
  </r>
  <r>
    <s v="ORD-01190"/>
    <s v="CUST0250"/>
    <x v="1"/>
    <x v="1"/>
    <n v="64"/>
    <x v="2"/>
    <x v="4"/>
    <x v="1"/>
    <n v="6150"/>
    <n v="3"/>
    <n v="18450"/>
    <x v="379"/>
    <s v="Sunday"/>
    <s v="Weekday"/>
  </r>
  <r>
    <s v="ORD-01191"/>
    <s v="CUST0100"/>
    <x v="0"/>
    <x v="0"/>
    <n v="29"/>
    <x v="1"/>
    <x v="4"/>
    <x v="1"/>
    <n v="6150"/>
    <n v="3"/>
    <n v="18450"/>
    <x v="501"/>
    <s v="Tuesday"/>
    <s v="Weekday"/>
  </r>
  <r>
    <s v="ORD-01192"/>
    <s v="CUST0172"/>
    <x v="1"/>
    <x v="5"/>
    <n v="56"/>
    <x v="3"/>
    <x v="5"/>
    <x v="1"/>
    <n v="3690"/>
    <n v="5"/>
    <n v="18450"/>
    <x v="506"/>
    <s v="Friday"/>
    <s v="Weekend"/>
  </r>
  <r>
    <s v="ORD-01193"/>
    <s v="CUST0128"/>
    <x v="1"/>
    <x v="1"/>
    <n v="52"/>
    <x v="1"/>
    <x v="5"/>
    <x v="1"/>
    <n v="3690"/>
    <n v="1"/>
    <n v="3690"/>
    <x v="507"/>
    <s v="Wednesday"/>
    <s v="Weekday"/>
  </r>
  <r>
    <s v="ORD-01194"/>
    <s v="CUST0276"/>
    <x v="0"/>
    <x v="0"/>
    <n v="66"/>
    <x v="3"/>
    <x v="4"/>
    <x v="1"/>
    <n v="6150"/>
    <n v="4"/>
    <n v="24600"/>
    <x v="508"/>
    <s v="Thursday"/>
    <s v="Weekday"/>
  </r>
  <r>
    <s v="ORD-01195"/>
    <s v="CUST0069"/>
    <x v="2"/>
    <x v="1"/>
    <n v="66"/>
    <x v="2"/>
    <x v="5"/>
    <x v="1"/>
    <n v="3690"/>
    <n v="1"/>
    <n v="3690"/>
    <x v="437"/>
    <s v="Tuesday"/>
    <s v="Weekday"/>
  </r>
  <r>
    <s v="ORD-01196"/>
    <s v="CUST0121"/>
    <x v="1"/>
    <x v="7"/>
    <n v="66"/>
    <x v="2"/>
    <x v="1"/>
    <x v="1"/>
    <n v="12300"/>
    <n v="2"/>
    <n v="24600"/>
    <x v="509"/>
    <s v="Saturday"/>
    <s v="Weekend"/>
  </r>
  <r>
    <s v="ORD-01197"/>
    <s v="CUST0189"/>
    <x v="1"/>
    <x v="3"/>
    <n v="38"/>
    <x v="0"/>
    <x v="0"/>
    <x v="0"/>
    <n v="36900"/>
    <n v="4"/>
    <n v="147600"/>
    <x v="510"/>
    <s v="Saturday"/>
    <s v="Weekend"/>
  </r>
  <r>
    <s v="ORD-01198"/>
    <s v="CUST0003"/>
    <x v="0"/>
    <x v="0"/>
    <n v="63"/>
    <x v="0"/>
    <x v="3"/>
    <x v="2"/>
    <n v="24600"/>
    <n v="5"/>
    <n v="123000"/>
    <x v="511"/>
    <s v="Sunday"/>
    <s v="Weekday"/>
  </r>
  <r>
    <s v="ORD-01199"/>
    <s v="CUST0298"/>
    <x v="2"/>
    <x v="0"/>
    <n v="58"/>
    <x v="0"/>
    <x v="5"/>
    <x v="1"/>
    <n v="3690"/>
    <n v="2"/>
    <n v="7380"/>
    <x v="493"/>
    <s v="Wednesday"/>
    <s v="Weekday"/>
  </r>
  <r>
    <s v="ORD-01200"/>
    <s v="CUST0206"/>
    <x v="2"/>
    <x v="0"/>
    <n v="43"/>
    <x v="2"/>
    <x v="4"/>
    <x v="1"/>
    <n v="6150"/>
    <n v="4"/>
    <n v="24600"/>
    <x v="478"/>
    <s v="Sunday"/>
    <s v="Weekday"/>
  </r>
  <r>
    <s v="ORD-01201"/>
    <s v="CUST0034"/>
    <x v="1"/>
    <x v="5"/>
    <n v="65"/>
    <x v="3"/>
    <x v="2"/>
    <x v="0"/>
    <n v="184500"/>
    <n v="5"/>
    <n v="922500"/>
    <x v="512"/>
    <s v="Thursday"/>
    <s v="Weekday"/>
  </r>
  <r>
    <s v="ORD-01202"/>
    <s v="CUST0076"/>
    <x v="0"/>
    <x v="0"/>
    <n v="26"/>
    <x v="2"/>
    <x v="4"/>
    <x v="1"/>
    <n v="6150"/>
    <n v="4"/>
    <n v="24600"/>
    <x v="408"/>
    <s v="Monday"/>
    <s v="Weekday"/>
  </r>
  <r>
    <s v="ORD-01203"/>
    <s v="CUST0292"/>
    <x v="0"/>
    <x v="0"/>
    <n v="21"/>
    <x v="2"/>
    <x v="2"/>
    <x v="0"/>
    <n v="184500"/>
    <n v="2"/>
    <n v="369000"/>
    <x v="290"/>
    <s v="Sunday"/>
    <s v="Weekday"/>
  </r>
  <r>
    <s v="ORD-01204"/>
    <s v="CUST0186"/>
    <x v="1"/>
    <x v="7"/>
    <n v="55"/>
    <x v="0"/>
    <x v="5"/>
    <x v="1"/>
    <n v="3690"/>
    <n v="2"/>
    <n v="7380"/>
    <x v="94"/>
    <s v="Friday"/>
    <s v="Weekend"/>
  </r>
  <r>
    <s v="ORD-01205"/>
    <s v="CUST0157"/>
    <x v="1"/>
    <x v="0"/>
    <n v="48"/>
    <x v="1"/>
    <x v="2"/>
    <x v="0"/>
    <n v="184500"/>
    <n v="5"/>
    <n v="922500"/>
    <x v="434"/>
    <s v="Saturday"/>
    <s v="Weekend"/>
  </r>
  <r>
    <s v="ORD-01206"/>
    <s v="CUST0186"/>
    <x v="1"/>
    <x v="7"/>
    <n v="55"/>
    <x v="0"/>
    <x v="0"/>
    <x v="0"/>
    <n v="36900"/>
    <n v="5"/>
    <n v="184500"/>
    <x v="369"/>
    <s v="Friday"/>
    <s v="Weekend"/>
  </r>
  <r>
    <s v="ORD-01207"/>
    <s v="CUST0221"/>
    <x v="0"/>
    <x v="7"/>
    <n v="33"/>
    <x v="1"/>
    <x v="6"/>
    <x v="0"/>
    <n v="98400"/>
    <n v="3"/>
    <n v="295200"/>
    <x v="513"/>
    <s v="Sunday"/>
    <s v="Weekday"/>
  </r>
  <r>
    <s v="ORD-01208"/>
    <s v="CUST0007"/>
    <x v="1"/>
    <x v="5"/>
    <n v="52"/>
    <x v="3"/>
    <x v="2"/>
    <x v="0"/>
    <n v="184500"/>
    <n v="1"/>
    <n v="184500"/>
    <x v="514"/>
    <s v="Sunday"/>
    <s v="Weekday"/>
  </r>
  <r>
    <s v="ORD-01209"/>
    <s v="CUST0114"/>
    <x v="0"/>
    <x v="0"/>
    <n v="60"/>
    <x v="3"/>
    <x v="5"/>
    <x v="1"/>
    <n v="3690"/>
    <n v="4"/>
    <n v="14760"/>
    <x v="515"/>
    <s v="Friday"/>
    <s v="Weekend"/>
  </r>
  <r>
    <s v="ORD-01210"/>
    <s v="CUST0040"/>
    <x v="2"/>
    <x v="7"/>
    <n v="29"/>
    <x v="3"/>
    <x v="5"/>
    <x v="1"/>
    <n v="3690"/>
    <n v="3"/>
    <n v="11070"/>
    <x v="375"/>
    <s v="Wednesday"/>
    <s v="Weekday"/>
  </r>
  <r>
    <s v="ORD-01211"/>
    <s v="CUST0174"/>
    <x v="1"/>
    <x v="1"/>
    <n v="68"/>
    <x v="0"/>
    <x v="1"/>
    <x v="1"/>
    <n v="12300"/>
    <n v="1"/>
    <n v="12300"/>
    <x v="452"/>
    <s v="Sunday"/>
    <s v="Weekday"/>
  </r>
  <r>
    <s v="ORD-01212"/>
    <s v="CUST0140"/>
    <x v="0"/>
    <x v="7"/>
    <n v="50"/>
    <x v="0"/>
    <x v="0"/>
    <x v="0"/>
    <n v="36900"/>
    <n v="1"/>
    <n v="36900"/>
    <x v="516"/>
    <s v="Tuesday"/>
    <s v="Weekday"/>
  </r>
  <r>
    <s v="ORD-01213"/>
    <s v="CUST0165"/>
    <x v="2"/>
    <x v="0"/>
    <n v="49"/>
    <x v="0"/>
    <x v="5"/>
    <x v="1"/>
    <n v="3690"/>
    <n v="2"/>
    <n v="7380"/>
    <x v="428"/>
    <s v="Wednesday"/>
    <s v="Weekday"/>
  </r>
  <r>
    <s v="ORD-01214"/>
    <s v="CUST0019"/>
    <x v="0"/>
    <x v="0"/>
    <n v="69"/>
    <x v="2"/>
    <x v="3"/>
    <x v="2"/>
    <n v="24600"/>
    <n v="4"/>
    <n v="98400"/>
    <x v="517"/>
    <s v="Thursday"/>
    <s v="Weekday"/>
  </r>
  <r>
    <s v="ORD-01215"/>
    <s v="CUST0186"/>
    <x v="1"/>
    <x v="7"/>
    <n v="55"/>
    <x v="0"/>
    <x v="2"/>
    <x v="0"/>
    <n v="184500"/>
    <n v="3"/>
    <n v="553500"/>
    <x v="411"/>
    <s v="Wednesday"/>
    <s v="Weekday"/>
  </r>
  <r>
    <s v="ORD-01216"/>
    <s v="CUST0177"/>
    <x v="1"/>
    <x v="1"/>
    <n v="29"/>
    <x v="2"/>
    <x v="4"/>
    <x v="1"/>
    <n v="6150"/>
    <n v="1"/>
    <n v="6150"/>
    <x v="518"/>
    <s v="Wednesday"/>
    <s v="Weekday"/>
  </r>
  <r>
    <s v="ORD-01217"/>
    <s v="CUST0203"/>
    <x v="1"/>
    <x v="0"/>
    <n v="33"/>
    <x v="3"/>
    <x v="0"/>
    <x v="0"/>
    <n v="36900"/>
    <n v="4"/>
    <n v="147600"/>
    <x v="459"/>
    <s v="Monday"/>
    <s v="Weekday"/>
  </r>
  <r>
    <s v="ORD-01218"/>
    <s v="CUST0109"/>
    <x v="0"/>
    <x v="0"/>
    <n v="57"/>
    <x v="0"/>
    <x v="0"/>
    <x v="0"/>
    <n v="36900"/>
    <n v="1"/>
    <n v="36900"/>
    <x v="387"/>
    <s v="Monday"/>
    <s v="Weekday"/>
  </r>
  <r>
    <s v="ORD-01219"/>
    <s v="CUST0158"/>
    <x v="1"/>
    <x v="1"/>
    <n v="51"/>
    <x v="2"/>
    <x v="2"/>
    <x v="0"/>
    <n v="184500"/>
    <n v="4"/>
    <n v="738000"/>
    <x v="519"/>
    <s v="Friday"/>
    <s v="Weekend"/>
  </r>
  <r>
    <s v="ORD-01220"/>
    <s v="CUST0260"/>
    <x v="0"/>
    <x v="0"/>
    <n v="32"/>
    <x v="3"/>
    <x v="1"/>
    <x v="1"/>
    <n v="12300"/>
    <n v="5"/>
    <n v="61500"/>
    <x v="520"/>
    <s v="Wednesday"/>
    <s v="Weekday"/>
  </r>
  <r>
    <s v="ORD-01221"/>
    <s v="CUST0112"/>
    <x v="0"/>
    <x v="1"/>
    <n v="33"/>
    <x v="3"/>
    <x v="2"/>
    <x v="0"/>
    <n v="184500"/>
    <n v="2"/>
    <n v="369000"/>
    <x v="521"/>
    <s v="Sunday"/>
    <s v="Weekday"/>
  </r>
  <r>
    <s v="ORD-01222"/>
    <s v="CUST0008"/>
    <x v="1"/>
    <x v="6"/>
    <n v="18"/>
    <x v="0"/>
    <x v="0"/>
    <x v="0"/>
    <n v="36900"/>
    <n v="3"/>
    <n v="110700"/>
    <x v="522"/>
    <s v="Monday"/>
    <s v="Weekday"/>
  </r>
  <r>
    <s v="ORD-01223"/>
    <s v="CUST0137"/>
    <x v="1"/>
    <x v="2"/>
    <n v="19"/>
    <x v="1"/>
    <x v="1"/>
    <x v="1"/>
    <n v="12300"/>
    <n v="5"/>
    <n v="61500"/>
    <x v="523"/>
    <s v="Wednesday"/>
    <s v="Weekday"/>
  </r>
  <r>
    <s v="ORD-01224"/>
    <s v="CUST0200"/>
    <x v="1"/>
    <x v="0"/>
    <n v="68"/>
    <x v="1"/>
    <x v="4"/>
    <x v="1"/>
    <n v="6150"/>
    <n v="3"/>
    <n v="18450"/>
    <x v="524"/>
    <s v="Thursday"/>
    <s v="Weekday"/>
  </r>
  <r>
    <s v="ORD-01225"/>
    <s v="CUST0289"/>
    <x v="1"/>
    <x v="3"/>
    <n v="37"/>
    <x v="3"/>
    <x v="1"/>
    <x v="1"/>
    <n v="12300"/>
    <n v="4"/>
    <n v="49200"/>
    <x v="525"/>
    <s v="Monday"/>
    <s v="Weekday"/>
  </r>
  <r>
    <s v="ORD-01226"/>
    <s v="CUST0075"/>
    <x v="1"/>
    <x v="7"/>
    <n v="56"/>
    <x v="1"/>
    <x v="3"/>
    <x v="2"/>
    <n v="24600"/>
    <n v="2"/>
    <n v="49200"/>
    <x v="360"/>
    <s v="Wednesday"/>
    <s v="Weekday"/>
  </r>
  <r>
    <s v="ORD-01227"/>
    <s v="CUST0094"/>
    <x v="0"/>
    <x v="7"/>
    <n v="30"/>
    <x v="1"/>
    <x v="4"/>
    <x v="1"/>
    <n v="6150"/>
    <n v="5"/>
    <n v="30750"/>
    <x v="526"/>
    <s v="Friday"/>
    <s v="Weekend"/>
  </r>
  <r>
    <s v="ORD-01228"/>
    <s v="CUST0089"/>
    <x v="1"/>
    <x v="3"/>
    <n v="27"/>
    <x v="2"/>
    <x v="0"/>
    <x v="0"/>
    <n v="36900"/>
    <n v="1"/>
    <n v="36900"/>
    <x v="410"/>
    <s v="Saturday"/>
    <s v="Weekend"/>
  </r>
  <r>
    <s v="ORD-01229"/>
    <s v="CUST0021"/>
    <x v="2"/>
    <x v="7"/>
    <n v="43"/>
    <x v="2"/>
    <x v="5"/>
    <x v="1"/>
    <n v="3690"/>
    <n v="3"/>
    <n v="11070"/>
    <x v="527"/>
    <s v="Saturday"/>
    <s v="Weekend"/>
  </r>
  <r>
    <s v="ORD-01230"/>
    <s v="CUST0134"/>
    <x v="0"/>
    <x v="5"/>
    <n v="58"/>
    <x v="2"/>
    <x v="2"/>
    <x v="0"/>
    <n v="184500"/>
    <n v="5"/>
    <n v="922500"/>
    <x v="516"/>
    <s v="Tuesday"/>
    <s v="Weekday"/>
  </r>
  <r>
    <s v="ORD-01231"/>
    <s v="CUST0091"/>
    <x v="2"/>
    <x v="2"/>
    <n v="30"/>
    <x v="3"/>
    <x v="3"/>
    <x v="2"/>
    <n v="24600"/>
    <n v="5"/>
    <n v="123000"/>
    <x v="528"/>
    <s v="Monday"/>
    <s v="Weekday"/>
  </r>
  <r>
    <s v="ORD-01232"/>
    <s v="CUST0248"/>
    <x v="2"/>
    <x v="7"/>
    <n v="67"/>
    <x v="1"/>
    <x v="6"/>
    <x v="0"/>
    <n v="98400"/>
    <n v="5"/>
    <n v="492000"/>
    <x v="436"/>
    <s v="Wednesday"/>
    <s v="Weekday"/>
  </r>
  <r>
    <s v="ORD-01233"/>
    <s v="CUST0027"/>
    <x v="1"/>
    <x v="6"/>
    <n v="36"/>
    <x v="0"/>
    <x v="5"/>
    <x v="1"/>
    <n v="3690"/>
    <n v="5"/>
    <n v="18450"/>
    <x v="529"/>
    <s v="Sunday"/>
    <s v="Weekday"/>
  </r>
  <r>
    <s v="ORD-01234"/>
    <s v="CUST0013"/>
    <x v="1"/>
    <x v="7"/>
    <n v="55"/>
    <x v="1"/>
    <x v="4"/>
    <x v="1"/>
    <n v="6150"/>
    <n v="3"/>
    <n v="18450"/>
    <x v="387"/>
    <s v="Monday"/>
    <s v="Weekday"/>
  </r>
  <r>
    <s v="ORD-01235"/>
    <s v="CUST0298"/>
    <x v="2"/>
    <x v="0"/>
    <n v="58"/>
    <x v="3"/>
    <x v="6"/>
    <x v="0"/>
    <n v="98400"/>
    <n v="5"/>
    <n v="492000"/>
    <x v="530"/>
    <s v="Friday"/>
    <s v="Weekend"/>
  </r>
  <r>
    <s v="ORD-01236"/>
    <s v="CUST0061"/>
    <x v="1"/>
    <x v="5"/>
    <n v="35"/>
    <x v="2"/>
    <x v="1"/>
    <x v="1"/>
    <n v="12300"/>
    <n v="2"/>
    <n v="24600"/>
    <x v="405"/>
    <s v="Saturday"/>
    <s v="Weekend"/>
  </r>
  <r>
    <s v="ORD-01237"/>
    <s v="CUST0218"/>
    <x v="0"/>
    <x v="2"/>
    <n v="36"/>
    <x v="3"/>
    <x v="5"/>
    <x v="1"/>
    <n v="3690"/>
    <n v="2"/>
    <n v="7380"/>
    <x v="531"/>
    <s v="Thursday"/>
    <s v="Weekday"/>
  </r>
  <r>
    <s v="ORD-01238"/>
    <s v="CUST0030"/>
    <x v="1"/>
    <x v="0"/>
    <n v="44"/>
    <x v="2"/>
    <x v="3"/>
    <x v="2"/>
    <n v="24600"/>
    <n v="1"/>
    <n v="24600"/>
    <x v="463"/>
    <s v="Thursday"/>
    <s v="Weekday"/>
  </r>
  <r>
    <s v="ORD-01239"/>
    <s v="CUST0243"/>
    <x v="2"/>
    <x v="3"/>
    <n v="58"/>
    <x v="3"/>
    <x v="4"/>
    <x v="1"/>
    <n v="6150"/>
    <n v="1"/>
    <n v="6150"/>
    <x v="398"/>
    <s v="Friday"/>
    <s v="Weekend"/>
  </r>
  <r>
    <s v="ORD-01240"/>
    <s v="CUST0188"/>
    <x v="0"/>
    <x v="5"/>
    <n v="29"/>
    <x v="0"/>
    <x v="5"/>
    <x v="1"/>
    <n v="3690"/>
    <n v="1"/>
    <n v="3690"/>
    <x v="412"/>
    <s v="Monday"/>
    <s v="Weekday"/>
  </r>
  <r>
    <s v="ORD-01241"/>
    <s v="CUST0197"/>
    <x v="0"/>
    <x v="4"/>
    <n v="54"/>
    <x v="2"/>
    <x v="4"/>
    <x v="1"/>
    <n v="6150"/>
    <n v="1"/>
    <n v="6150"/>
    <x v="532"/>
    <s v="Saturday"/>
    <s v="Weekend"/>
  </r>
  <r>
    <s v="ORD-01242"/>
    <s v="CUST0211"/>
    <x v="2"/>
    <x v="0"/>
    <n v="35"/>
    <x v="2"/>
    <x v="4"/>
    <x v="1"/>
    <n v="6150"/>
    <n v="1"/>
    <n v="6150"/>
    <x v="527"/>
    <s v="Saturday"/>
    <s v="Weekend"/>
  </r>
  <r>
    <s v="ORD-01243"/>
    <s v="CUST0248"/>
    <x v="2"/>
    <x v="7"/>
    <n v="67"/>
    <x v="1"/>
    <x v="0"/>
    <x v="0"/>
    <n v="36900"/>
    <n v="3"/>
    <n v="110700"/>
    <x v="533"/>
    <s v="Tuesday"/>
    <s v="Weekday"/>
  </r>
  <r>
    <s v="ORD-01244"/>
    <s v="CUST0198"/>
    <x v="0"/>
    <x v="0"/>
    <n v="56"/>
    <x v="3"/>
    <x v="2"/>
    <x v="0"/>
    <n v="184500"/>
    <n v="4"/>
    <n v="738000"/>
    <x v="503"/>
    <s v="Thursday"/>
    <s v="Weekday"/>
  </r>
  <r>
    <s v="ORD-01245"/>
    <s v="CUST0081"/>
    <x v="0"/>
    <x v="6"/>
    <n v="38"/>
    <x v="1"/>
    <x v="5"/>
    <x v="1"/>
    <n v="3690"/>
    <n v="5"/>
    <n v="18450"/>
    <x v="534"/>
    <s v="Friday"/>
    <s v="Weekend"/>
  </r>
  <r>
    <s v="ORD-01246"/>
    <s v="CUST0163"/>
    <x v="1"/>
    <x v="0"/>
    <n v="22"/>
    <x v="3"/>
    <x v="4"/>
    <x v="1"/>
    <n v="6150"/>
    <n v="4"/>
    <n v="24600"/>
    <x v="535"/>
    <s v="Thursday"/>
    <s v="Weekday"/>
  </r>
  <r>
    <s v="ORD-01247"/>
    <s v="CUST0046"/>
    <x v="1"/>
    <x v="0"/>
    <n v="22"/>
    <x v="0"/>
    <x v="6"/>
    <x v="0"/>
    <n v="98400"/>
    <n v="1"/>
    <n v="98400"/>
    <x v="416"/>
    <s v="Sunday"/>
    <s v="Weekday"/>
  </r>
  <r>
    <s v="ORD-01248"/>
    <s v="CUST0079"/>
    <x v="0"/>
    <x v="0"/>
    <n v="26"/>
    <x v="1"/>
    <x v="3"/>
    <x v="2"/>
    <n v="24600"/>
    <n v="5"/>
    <n v="123000"/>
    <x v="536"/>
    <s v="Monday"/>
    <s v="Weekday"/>
  </r>
  <r>
    <s v="ORD-01249"/>
    <s v="CUST0294"/>
    <x v="1"/>
    <x v="7"/>
    <n v="49"/>
    <x v="2"/>
    <x v="2"/>
    <x v="0"/>
    <n v="184500"/>
    <n v="2"/>
    <n v="369000"/>
    <x v="376"/>
    <s v="Thursday"/>
    <s v="Weekday"/>
  </r>
  <r>
    <s v="ORD-01250"/>
    <s v="CUST0112"/>
    <x v="0"/>
    <x v="1"/>
    <n v="33"/>
    <x v="0"/>
    <x v="0"/>
    <x v="0"/>
    <n v="36900"/>
    <n v="4"/>
    <n v="147600"/>
    <x v="430"/>
    <s v="Friday"/>
    <s v="Weekend"/>
  </r>
  <r>
    <s v="ORD-01251"/>
    <s v="CUST0212"/>
    <x v="1"/>
    <x v="1"/>
    <n v="62"/>
    <x v="3"/>
    <x v="0"/>
    <x v="0"/>
    <n v="36900"/>
    <n v="1"/>
    <n v="36900"/>
    <x v="537"/>
    <s v="Wednesday"/>
    <s v="Weekday"/>
  </r>
  <r>
    <s v="ORD-01252"/>
    <s v="CUST0264"/>
    <x v="1"/>
    <x v="2"/>
    <n v="59"/>
    <x v="2"/>
    <x v="1"/>
    <x v="1"/>
    <n v="12300"/>
    <n v="1"/>
    <n v="12300"/>
    <x v="538"/>
    <s v="Sunday"/>
    <s v="Weekday"/>
  </r>
  <r>
    <s v="ORD-01253"/>
    <s v="CUST0197"/>
    <x v="0"/>
    <x v="4"/>
    <n v="54"/>
    <x v="3"/>
    <x v="6"/>
    <x v="0"/>
    <n v="98400"/>
    <n v="1"/>
    <n v="98400"/>
    <x v="536"/>
    <s v="Monday"/>
    <s v="Weekday"/>
  </r>
  <r>
    <s v="ORD-01254"/>
    <s v="CUST0195"/>
    <x v="1"/>
    <x v="0"/>
    <n v="48"/>
    <x v="2"/>
    <x v="4"/>
    <x v="1"/>
    <n v="6150"/>
    <n v="5"/>
    <n v="30750"/>
    <x v="539"/>
    <s v="Sunday"/>
    <s v="Weekday"/>
  </r>
  <r>
    <s v="ORD-01255"/>
    <s v="CUST0094"/>
    <x v="0"/>
    <x v="7"/>
    <n v="30"/>
    <x v="3"/>
    <x v="1"/>
    <x v="1"/>
    <n v="12300"/>
    <n v="5"/>
    <n v="61500"/>
    <x v="540"/>
    <s v="Tuesday"/>
    <s v="Weekday"/>
  </r>
  <r>
    <s v="ORD-01256"/>
    <s v="CUST0298"/>
    <x v="2"/>
    <x v="0"/>
    <n v="58"/>
    <x v="2"/>
    <x v="4"/>
    <x v="1"/>
    <n v="6150"/>
    <n v="5"/>
    <n v="30750"/>
    <x v="541"/>
    <s v="Sunday"/>
    <s v="Weekday"/>
  </r>
  <r>
    <s v="ORD-01257"/>
    <s v="CUST0200"/>
    <x v="1"/>
    <x v="0"/>
    <n v="68"/>
    <x v="3"/>
    <x v="4"/>
    <x v="1"/>
    <n v="6150"/>
    <n v="4"/>
    <n v="24600"/>
    <x v="382"/>
    <s v="Friday"/>
    <s v="Weekend"/>
  </r>
  <r>
    <s v="ORD-01258"/>
    <s v="CUST0047"/>
    <x v="1"/>
    <x v="1"/>
    <n v="41"/>
    <x v="1"/>
    <x v="6"/>
    <x v="0"/>
    <n v="98400"/>
    <n v="5"/>
    <n v="492000"/>
    <x v="542"/>
    <s v="Tuesday"/>
    <s v="Weekday"/>
  </r>
  <r>
    <s v="ORD-01259"/>
    <s v="CUST0219"/>
    <x v="1"/>
    <x v="0"/>
    <n v="48"/>
    <x v="2"/>
    <x v="2"/>
    <x v="0"/>
    <n v="184500"/>
    <n v="4"/>
    <n v="738000"/>
    <x v="495"/>
    <s v="Thursday"/>
    <s v="Weekday"/>
  </r>
  <r>
    <s v="ORD-01260"/>
    <s v="CUST0141"/>
    <x v="2"/>
    <x v="0"/>
    <n v="58"/>
    <x v="2"/>
    <x v="6"/>
    <x v="0"/>
    <n v="98400"/>
    <n v="2"/>
    <n v="196800"/>
    <x v="450"/>
    <s v="Thursday"/>
    <s v="Weekday"/>
  </r>
  <r>
    <s v="ORD-01261"/>
    <s v="CUST0295"/>
    <x v="2"/>
    <x v="0"/>
    <n v="26"/>
    <x v="1"/>
    <x v="0"/>
    <x v="0"/>
    <n v="36900"/>
    <n v="5"/>
    <n v="184500"/>
    <x v="487"/>
    <s v="Wednesday"/>
    <s v="Weekday"/>
  </r>
  <r>
    <s v="ORD-01262"/>
    <s v="CUST0255"/>
    <x v="0"/>
    <x v="1"/>
    <n v="39"/>
    <x v="3"/>
    <x v="1"/>
    <x v="1"/>
    <n v="12300"/>
    <n v="4"/>
    <n v="49200"/>
    <x v="360"/>
    <s v="Wednesday"/>
    <s v="Weekday"/>
  </r>
  <r>
    <s v="ORD-01263"/>
    <s v="CUST0073"/>
    <x v="0"/>
    <x v="0"/>
    <n v="19"/>
    <x v="2"/>
    <x v="3"/>
    <x v="2"/>
    <n v="24600"/>
    <n v="3"/>
    <n v="73800"/>
    <x v="93"/>
    <s v="Saturday"/>
    <s v="Weekend"/>
  </r>
  <r>
    <s v="ORD-01264"/>
    <s v="CUST0189"/>
    <x v="1"/>
    <x v="3"/>
    <n v="38"/>
    <x v="1"/>
    <x v="0"/>
    <x v="0"/>
    <n v="36900"/>
    <n v="3"/>
    <n v="110700"/>
    <x v="377"/>
    <s v="Saturday"/>
    <s v="Weekend"/>
  </r>
  <r>
    <s v="ORD-01265"/>
    <s v="CUST0050"/>
    <x v="2"/>
    <x v="1"/>
    <n v="40"/>
    <x v="3"/>
    <x v="6"/>
    <x v="0"/>
    <n v="98400"/>
    <n v="1"/>
    <n v="98400"/>
    <x v="543"/>
    <s v="Thursday"/>
    <s v="Weekday"/>
  </r>
  <r>
    <s v="ORD-01266"/>
    <s v="CUST0166"/>
    <x v="1"/>
    <x v="1"/>
    <n v="29"/>
    <x v="2"/>
    <x v="1"/>
    <x v="1"/>
    <n v="12300"/>
    <n v="4"/>
    <n v="49200"/>
    <x v="544"/>
    <s v="Sunday"/>
    <s v="Weekday"/>
  </r>
  <r>
    <s v="ORD-01267"/>
    <s v="CUST0159"/>
    <x v="0"/>
    <x v="4"/>
    <n v="18"/>
    <x v="2"/>
    <x v="1"/>
    <x v="1"/>
    <n v="12300"/>
    <n v="2"/>
    <n v="24600"/>
    <x v="466"/>
    <s v="Wednesday"/>
    <s v="Weekday"/>
  </r>
  <r>
    <s v="ORD-01268"/>
    <s v="CUST0157"/>
    <x v="1"/>
    <x v="0"/>
    <n v="48"/>
    <x v="3"/>
    <x v="1"/>
    <x v="1"/>
    <n v="12300"/>
    <n v="5"/>
    <n v="61500"/>
    <x v="545"/>
    <s v="Saturday"/>
    <s v="Weekend"/>
  </r>
  <r>
    <s v="ORD-01269"/>
    <s v="CUST0174"/>
    <x v="1"/>
    <x v="1"/>
    <n v="68"/>
    <x v="1"/>
    <x v="4"/>
    <x v="1"/>
    <n v="6150"/>
    <n v="3"/>
    <n v="18450"/>
    <x v="546"/>
    <s v="Thursday"/>
    <s v="Weekday"/>
  </r>
  <r>
    <s v="ORD-01270"/>
    <s v="CUST0232"/>
    <x v="2"/>
    <x v="4"/>
    <n v="44"/>
    <x v="2"/>
    <x v="5"/>
    <x v="1"/>
    <n v="3690"/>
    <n v="3"/>
    <n v="11070"/>
    <x v="547"/>
    <s v="Sunday"/>
    <s v="Weekday"/>
  </r>
  <r>
    <s v="ORD-01271"/>
    <s v="CUST0009"/>
    <x v="0"/>
    <x v="0"/>
    <n v="50"/>
    <x v="3"/>
    <x v="3"/>
    <x v="2"/>
    <n v="24600"/>
    <n v="1"/>
    <n v="24600"/>
    <x v="264"/>
    <s v="Saturday"/>
    <s v="Weekend"/>
  </r>
  <r>
    <s v="ORD-01272"/>
    <s v="CUST0195"/>
    <x v="1"/>
    <x v="0"/>
    <n v="48"/>
    <x v="2"/>
    <x v="1"/>
    <x v="1"/>
    <n v="12300"/>
    <n v="3"/>
    <n v="36900"/>
    <x v="485"/>
    <s v="Monday"/>
    <s v="Weekday"/>
  </r>
  <r>
    <s v="ORD-01273"/>
    <s v="CUST0026"/>
    <x v="2"/>
    <x v="5"/>
    <n v="27"/>
    <x v="3"/>
    <x v="5"/>
    <x v="1"/>
    <n v="3690"/>
    <n v="2"/>
    <n v="7380"/>
    <x v="459"/>
    <s v="Monday"/>
    <s v="Weekday"/>
  </r>
  <r>
    <s v="ORD-01274"/>
    <s v="CUST0217"/>
    <x v="0"/>
    <x v="0"/>
    <n v="18"/>
    <x v="2"/>
    <x v="6"/>
    <x v="0"/>
    <n v="98400"/>
    <n v="2"/>
    <n v="196800"/>
    <x v="548"/>
    <s v="Saturday"/>
    <s v="Weekend"/>
  </r>
  <r>
    <s v="ORD-01275"/>
    <s v="CUST0088"/>
    <x v="2"/>
    <x v="5"/>
    <n v="66"/>
    <x v="0"/>
    <x v="2"/>
    <x v="0"/>
    <n v="184500"/>
    <n v="4"/>
    <n v="738000"/>
    <x v="386"/>
    <s v="Wednesday"/>
    <s v="Weekday"/>
  </r>
  <r>
    <s v="ORD-01276"/>
    <s v="CUST0048"/>
    <x v="0"/>
    <x v="7"/>
    <n v="34"/>
    <x v="1"/>
    <x v="3"/>
    <x v="2"/>
    <n v="24600"/>
    <n v="2"/>
    <n v="49200"/>
    <x v="240"/>
    <s v="Tuesday"/>
    <s v="Weekday"/>
  </r>
  <r>
    <s v="ORD-01277"/>
    <s v="CUST0022"/>
    <x v="1"/>
    <x v="0"/>
    <n v="33"/>
    <x v="1"/>
    <x v="5"/>
    <x v="1"/>
    <n v="3690"/>
    <n v="5"/>
    <n v="18450"/>
    <x v="549"/>
    <s v="Thursday"/>
    <s v="Weekday"/>
  </r>
  <r>
    <s v="ORD-01278"/>
    <s v="CUST0124"/>
    <x v="1"/>
    <x v="4"/>
    <n v="53"/>
    <x v="0"/>
    <x v="4"/>
    <x v="1"/>
    <n v="6150"/>
    <n v="1"/>
    <n v="6150"/>
    <x v="523"/>
    <s v="Wednesday"/>
    <s v="Weekday"/>
  </r>
  <r>
    <s v="ORD-01279"/>
    <s v="CUST0264"/>
    <x v="1"/>
    <x v="2"/>
    <n v="59"/>
    <x v="3"/>
    <x v="6"/>
    <x v="0"/>
    <n v="98400"/>
    <n v="1"/>
    <n v="98400"/>
    <x v="536"/>
    <s v="Monday"/>
    <s v="Weekday"/>
  </r>
  <r>
    <s v="ORD-01280"/>
    <s v="CUST0284"/>
    <x v="1"/>
    <x v="0"/>
    <n v="64"/>
    <x v="1"/>
    <x v="5"/>
    <x v="1"/>
    <n v="3690"/>
    <n v="2"/>
    <n v="7380"/>
    <x v="481"/>
    <s v="Friday"/>
    <s v="Weekend"/>
  </r>
  <r>
    <s v="ORD-01281"/>
    <s v="CUST0161"/>
    <x v="0"/>
    <x v="5"/>
    <n v="62"/>
    <x v="3"/>
    <x v="0"/>
    <x v="0"/>
    <n v="36900"/>
    <n v="5"/>
    <n v="184500"/>
    <x v="550"/>
    <s v="Friday"/>
    <s v="Weekend"/>
  </r>
  <r>
    <s v="ORD-01282"/>
    <s v="CUST0225"/>
    <x v="2"/>
    <x v="0"/>
    <n v="65"/>
    <x v="2"/>
    <x v="5"/>
    <x v="1"/>
    <n v="3690"/>
    <n v="4"/>
    <n v="14760"/>
    <x v="461"/>
    <s v="Friday"/>
    <s v="Weekend"/>
  </r>
  <r>
    <s v="ORD-01283"/>
    <s v="CUST0059"/>
    <x v="1"/>
    <x v="4"/>
    <n v="18"/>
    <x v="0"/>
    <x v="0"/>
    <x v="0"/>
    <n v="36900"/>
    <n v="1"/>
    <n v="36900"/>
    <x v="464"/>
    <s v="Monday"/>
    <s v="Weekday"/>
  </r>
  <r>
    <s v="ORD-01284"/>
    <s v="CUST0208"/>
    <x v="1"/>
    <x v="6"/>
    <n v="57"/>
    <x v="3"/>
    <x v="0"/>
    <x v="0"/>
    <n v="36900"/>
    <n v="5"/>
    <n v="184500"/>
    <x v="365"/>
    <s v="Thursday"/>
    <s v="Weekday"/>
  </r>
  <r>
    <s v="ORD-01285"/>
    <s v="CUST0163"/>
    <x v="1"/>
    <x v="0"/>
    <n v="22"/>
    <x v="3"/>
    <x v="0"/>
    <x v="0"/>
    <n v="36900"/>
    <n v="1"/>
    <n v="36900"/>
    <x v="551"/>
    <s v="Saturday"/>
    <s v="Weekend"/>
  </r>
  <r>
    <s v="ORD-01286"/>
    <s v="CUST0161"/>
    <x v="0"/>
    <x v="5"/>
    <n v="62"/>
    <x v="1"/>
    <x v="3"/>
    <x v="2"/>
    <n v="24600"/>
    <n v="4"/>
    <n v="98400"/>
    <x v="539"/>
    <s v="Sunday"/>
    <s v="Weekday"/>
  </r>
  <r>
    <s v="ORD-01287"/>
    <s v="CUST0100"/>
    <x v="0"/>
    <x v="0"/>
    <n v="29"/>
    <x v="2"/>
    <x v="5"/>
    <x v="1"/>
    <n v="3690"/>
    <n v="1"/>
    <n v="3690"/>
    <x v="552"/>
    <s v="Sunday"/>
    <s v="Weekday"/>
  </r>
  <r>
    <s v="ORD-01288"/>
    <s v="CUST0210"/>
    <x v="0"/>
    <x v="2"/>
    <n v="30"/>
    <x v="1"/>
    <x v="0"/>
    <x v="0"/>
    <n v="36900"/>
    <n v="4"/>
    <n v="147600"/>
    <x v="448"/>
    <s v="Friday"/>
    <s v="Weekend"/>
  </r>
  <r>
    <s v="ORD-01289"/>
    <s v="CUST0038"/>
    <x v="0"/>
    <x v="0"/>
    <n v="57"/>
    <x v="2"/>
    <x v="5"/>
    <x v="1"/>
    <n v="3690"/>
    <n v="1"/>
    <n v="3690"/>
    <x v="312"/>
    <s v="Monday"/>
    <s v="Weekday"/>
  </r>
  <r>
    <s v="ORD-01290"/>
    <s v="CUST0011"/>
    <x v="2"/>
    <x v="0"/>
    <n v="54"/>
    <x v="1"/>
    <x v="5"/>
    <x v="1"/>
    <n v="3690"/>
    <n v="3"/>
    <n v="11070"/>
    <x v="369"/>
    <s v="Friday"/>
    <s v="Weekend"/>
  </r>
  <r>
    <s v="ORD-01291"/>
    <s v="CUST0087"/>
    <x v="1"/>
    <x v="0"/>
    <n v="49"/>
    <x v="3"/>
    <x v="0"/>
    <x v="0"/>
    <n v="36900"/>
    <n v="2"/>
    <n v="73800"/>
    <x v="553"/>
    <s v="Monday"/>
    <s v="Weekday"/>
  </r>
  <r>
    <s v="ORD-01292"/>
    <s v="CUST0257"/>
    <x v="1"/>
    <x v="0"/>
    <n v="54"/>
    <x v="3"/>
    <x v="3"/>
    <x v="2"/>
    <n v="24600"/>
    <n v="3"/>
    <n v="73800"/>
    <x v="133"/>
    <s v="Tuesday"/>
    <s v="Weekday"/>
  </r>
  <r>
    <s v="ORD-01293"/>
    <s v="CUST0270"/>
    <x v="2"/>
    <x v="3"/>
    <n v="64"/>
    <x v="0"/>
    <x v="4"/>
    <x v="1"/>
    <n v="6150"/>
    <n v="5"/>
    <n v="30750"/>
    <x v="554"/>
    <s v="Tuesday"/>
    <s v="Weekday"/>
  </r>
  <r>
    <s v="ORD-01294"/>
    <s v="CUST0180"/>
    <x v="0"/>
    <x v="5"/>
    <n v="68"/>
    <x v="3"/>
    <x v="0"/>
    <x v="0"/>
    <n v="36900"/>
    <n v="2"/>
    <n v="73800"/>
    <x v="555"/>
    <s v="Saturday"/>
    <s v="Weekend"/>
  </r>
  <r>
    <s v="ORD-01295"/>
    <s v="CUST0126"/>
    <x v="0"/>
    <x v="5"/>
    <n v="66"/>
    <x v="3"/>
    <x v="0"/>
    <x v="0"/>
    <n v="36900"/>
    <n v="3"/>
    <n v="110700"/>
    <x v="419"/>
    <s v="Friday"/>
    <s v="Weekend"/>
  </r>
  <r>
    <s v="ORD-01296"/>
    <s v="CUST0063"/>
    <x v="0"/>
    <x v="0"/>
    <n v="20"/>
    <x v="3"/>
    <x v="5"/>
    <x v="1"/>
    <n v="3690"/>
    <n v="5"/>
    <n v="18450"/>
    <x v="466"/>
    <s v="Wednesday"/>
    <s v="Weekday"/>
  </r>
  <r>
    <s v="ORD-01297"/>
    <s v="CUST0022"/>
    <x v="1"/>
    <x v="0"/>
    <n v="33"/>
    <x v="3"/>
    <x v="6"/>
    <x v="0"/>
    <n v="98400"/>
    <n v="1"/>
    <n v="98400"/>
    <x v="556"/>
    <s v="Sunday"/>
    <s v="Weekday"/>
  </r>
  <r>
    <s v="ORD-01298"/>
    <s v="CUST0125"/>
    <x v="2"/>
    <x v="0"/>
    <n v="46"/>
    <x v="0"/>
    <x v="3"/>
    <x v="2"/>
    <n v="24600"/>
    <n v="2"/>
    <n v="49200"/>
    <x v="367"/>
    <s v="Wednesday"/>
    <s v="Weekday"/>
  </r>
  <r>
    <s v="ORD-01299"/>
    <s v="CUST0126"/>
    <x v="0"/>
    <x v="5"/>
    <n v="66"/>
    <x v="2"/>
    <x v="6"/>
    <x v="0"/>
    <n v="98400"/>
    <n v="3"/>
    <n v="295200"/>
    <x v="557"/>
    <s v="Sunday"/>
    <s v="Weekday"/>
  </r>
  <r>
    <s v="ORD-01300"/>
    <s v="CUST0160"/>
    <x v="0"/>
    <x v="0"/>
    <n v="69"/>
    <x v="0"/>
    <x v="3"/>
    <x v="2"/>
    <n v="24600"/>
    <n v="2"/>
    <n v="49200"/>
    <x v="393"/>
    <s v="Sunday"/>
    <s v="Weekday"/>
  </r>
  <r>
    <s v="ORD-01301"/>
    <s v="CUST0008"/>
    <x v="1"/>
    <x v="6"/>
    <n v="18"/>
    <x v="0"/>
    <x v="5"/>
    <x v="1"/>
    <n v="3690"/>
    <n v="5"/>
    <n v="18450"/>
    <x v="517"/>
    <s v="Thursday"/>
    <s v="Weekday"/>
  </r>
  <r>
    <s v="ORD-01302"/>
    <s v="CUST0134"/>
    <x v="0"/>
    <x v="5"/>
    <n v="58"/>
    <x v="1"/>
    <x v="6"/>
    <x v="0"/>
    <n v="98400"/>
    <n v="2"/>
    <n v="196800"/>
    <x v="434"/>
    <s v="Saturday"/>
    <s v="Weekend"/>
  </r>
  <r>
    <s v="ORD-01303"/>
    <s v="CUST0091"/>
    <x v="2"/>
    <x v="2"/>
    <n v="30"/>
    <x v="2"/>
    <x v="3"/>
    <x v="2"/>
    <n v="24600"/>
    <n v="2"/>
    <n v="49200"/>
    <x v="558"/>
    <s v="Sunday"/>
    <s v="Weekday"/>
  </r>
  <r>
    <s v="ORD-01304"/>
    <s v="CUST0167"/>
    <x v="2"/>
    <x v="7"/>
    <n v="67"/>
    <x v="1"/>
    <x v="0"/>
    <x v="0"/>
    <n v="36900"/>
    <n v="1"/>
    <n v="36900"/>
    <x v="417"/>
    <s v="Thursday"/>
    <s v="Weekday"/>
  </r>
  <r>
    <s v="ORD-01305"/>
    <s v="CUST0127"/>
    <x v="0"/>
    <x v="6"/>
    <n v="62"/>
    <x v="0"/>
    <x v="0"/>
    <x v="0"/>
    <n v="36900"/>
    <n v="2"/>
    <n v="73800"/>
    <x v="462"/>
    <s v="Monday"/>
    <s v="Weekday"/>
  </r>
  <r>
    <s v="ORD-01306"/>
    <s v="CUST0292"/>
    <x v="0"/>
    <x v="0"/>
    <n v="21"/>
    <x v="3"/>
    <x v="4"/>
    <x v="1"/>
    <n v="6150"/>
    <n v="5"/>
    <n v="30750"/>
    <x v="457"/>
    <s v="Monday"/>
    <s v="Weekday"/>
  </r>
  <r>
    <s v="ORD-01307"/>
    <s v="CUST0278"/>
    <x v="1"/>
    <x v="4"/>
    <n v="52"/>
    <x v="2"/>
    <x v="4"/>
    <x v="1"/>
    <n v="6150"/>
    <n v="1"/>
    <n v="6150"/>
    <x v="559"/>
    <s v="Sunday"/>
    <s v="Weekday"/>
  </r>
  <r>
    <s v="ORD-01308"/>
    <s v="CUST0010"/>
    <x v="2"/>
    <x v="2"/>
    <n v="37"/>
    <x v="3"/>
    <x v="0"/>
    <x v="0"/>
    <n v="36900"/>
    <n v="3"/>
    <n v="110700"/>
    <x v="411"/>
    <s v="Wednesday"/>
    <s v="Weekday"/>
  </r>
  <r>
    <s v="ORD-01309"/>
    <s v="CUST0166"/>
    <x v="1"/>
    <x v="1"/>
    <n v="29"/>
    <x v="0"/>
    <x v="1"/>
    <x v="1"/>
    <n v="12300"/>
    <n v="5"/>
    <n v="61500"/>
    <x v="444"/>
    <s v="Saturday"/>
    <s v="Weekend"/>
  </r>
  <r>
    <s v="ORD-01310"/>
    <s v="CUST0113"/>
    <x v="2"/>
    <x v="7"/>
    <n v="38"/>
    <x v="0"/>
    <x v="1"/>
    <x v="1"/>
    <n v="12300"/>
    <n v="3"/>
    <n v="36900"/>
    <x v="505"/>
    <s v="Thursday"/>
    <s v="Weekday"/>
  </r>
  <r>
    <s v="ORD-01311"/>
    <s v="CUST0211"/>
    <x v="2"/>
    <x v="0"/>
    <n v="35"/>
    <x v="0"/>
    <x v="1"/>
    <x v="1"/>
    <n v="12300"/>
    <n v="4"/>
    <n v="49200"/>
    <x v="448"/>
    <s v="Friday"/>
    <s v="Weekend"/>
  </r>
  <r>
    <s v="ORD-01312"/>
    <s v="CUST0064"/>
    <x v="0"/>
    <x v="2"/>
    <n v="61"/>
    <x v="2"/>
    <x v="2"/>
    <x v="0"/>
    <n v="184500"/>
    <n v="3"/>
    <n v="553500"/>
    <x v="368"/>
    <s v="Saturday"/>
    <s v="Weekend"/>
  </r>
  <r>
    <s v="ORD-01313"/>
    <s v="CUST0185"/>
    <x v="1"/>
    <x v="1"/>
    <n v="29"/>
    <x v="1"/>
    <x v="4"/>
    <x v="1"/>
    <n v="6150"/>
    <n v="5"/>
    <n v="30750"/>
    <x v="560"/>
    <s v="Tuesday"/>
    <s v="Weekday"/>
  </r>
  <r>
    <s v="ORD-01314"/>
    <s v="CUST0194"/>
    <x v="1"/>
    <x v="7"/>
    <n v="61"/>
    <x v="1"/>
    <x v="0"/>
    <x v="0"/>
    <n v="36900"/>
    <n v="4"/>
    <n v="147600"/>
    <x v="429"/>
    <s v="Tuesday"/>
    <s v="Weekday"/>
  </r>
  <r>
    <s v="ORD-01315"/>
    <s v="CUST0012"/>
    <x v="0"/>
    <x v="1"/>
    <n v="28"/>
    <x v="3"/>
    <x v="3"/>
    <x v="2"/>
    <n v="24600"/>
    <n v="3"/>
    <n v="73800"/>
    <x v="561"/>
    <s v="Friday"/>
    <s v="Weekend"/>
  </r>
  <r>
    <s v="ORD-01316"/>
    <s v="CUST0133"/>
    <x v="0"/>
    <x v="0"/>
    <n v="47"/>
    <x v="2"/>
    <x v="2"/>
    <x v="0"/>
    <n v="184500"/>
    <n v="3"/>
    <n v="553500"/>
    <x v="562"/>
    <s v="Saturday"/>
    <s v="Weekend"/>
  </r>
  <r>
    <s v="ORD-01317"/>
    <s v="CUST0157"/>
    <x v="1"/>
    <x v="0"/>
    <n v="48"/>
    <x v="3"/>
    <x v="2"/>
    <x v="0"/>
    <n v="184500"/>
    <n v="2"/>
    <n v="369000"/>
    <x v="446"/>
    <s v="Monday"/>
    <s v="Weekday"/>
  </r>
  <r>
    <s v="ORD-01318"/>
    <s v="CUST0048"/>
    <x v="0"/>
    <x v="7"/>
    <n v="34"/>
    <x v="3"/>
    <x v="4"/>
    <x v="1"/>
    <n v="6150"/>
    <n v="2"/>
    <n v="12300"/>
    <x v="93"/>
    <s v="Saturday"/>
    <s v="Weekend"/>
  </r>
  <r>
    <s v="ORD-01319"/>
    <s v="CUST0067"/>
    <x v="1"/>
    <x v="7"/>
    <n v="19"/>
    <x v="1"/>
    <x v="2"/>
    <x v="0"/>
    <n v="184500"/>
    <n v="1"/>
    <n v="184500"/>
    <x v="419"/>
    <s v="Friday"/>
    <s v="Weekend"/>
  </r>
  <r>
    <s v="ORD-01320"/>
    <s v="CUST0090"/>
    <x v="0"/>
    <x v="0"/>
    <n v="61"/>
    <x v="2"/>
    <x v="1"/>
    <x v="1"/>
    <n v="12300"/>
    <n v="5"/>
    <n v="61500"/>
    <x v="563"/>
    <s v="Friday"/>
    <s v="Weekend"/>
  </r>
  <r>
    <s v="ORD-01321"/>
    <s v="CUST0082"/>
    <x v="1"/>
    <x v="0"/>
    <n v="30"/>
    <x v="0"/>
    <x v="3"/>
    <x v="2"/>
    <n v="24600"/>
    <n v="3"/>
    <n v="73800"/>
    <x v="555"/>
    <s v="Saturday"/>
    <s v="Weekend"/>
  </r>
  <r>
    <s v="ORD-01322"/>
    <s v="CUST0018"/>
    <x v="1"/>
    <x v="2"/>
    <n v="38"/>
    <x v="3"/>
    <x v="5"/>
    <x v="1"/>
    <n v="3690"/>
    <n v="4"/>
    <n v="14760"/>
    <x v="451"/>
    <s v="Friday"/>
    <s v="Weekend"/>
  </r>
  <r>
    <s v="ORD-01323"/>
    <s v="CUST0062"/>
    <x v="0"/>
    <x v="3"/>
    <n v="43"/>
    <x v="0"/>
    <x v="5"/>
    <x v="1"/>
    <n v="3690"/>
    <n v="2"/>
    <n v="7380"/>
    <x v="564"/>
    <s v="Wednesday"/>
    <s v="Weekday"/>
  </r>
  <r>
    <s v="ORD-01324"/>
    <s v="CUST0025"/>
    <x v="1"/>
    <x v="0"/>
    <n v="56"/>
    <x v="2"/>
    <x v="4"/>
    <x v="1"/>
    <n v="6150"/>
    <n v="4"/>
    <n v="24600"/>
    <x v="519"/>
    <s v="Friday"/>
    <s v="Weekend"/>
  </r>
  <r>
    <s v="ORD-01325"/>
    <s v="CUST0285"/>
    <x v="1"/>
    <x v="1"/>
    <n v="58"/>
    <x v="3"/>
    <x v="4"/>
    <x v="1"/>
    <n v="6150"/>
    <n v="1"/>
    <n v="6150"/>
    <x v="565"/>
    <s v="Sunday"/>
    <s v="Weekday"/>
  </r>
  <r>
    <s v="ORD-01326"/>
    <s v="CUST0061"/>
    <x v="1"/>
    <x v="5"/>
    <n v="35"/>
    <x v="0"/>
    <x v="4"/>
    <x v="1"/>
    <n v="6150"/>
    <n v="1"/>
    <n v="6150"/>
    <x v="499"/>
    <s v="Monday"/>
    <s v="Weekday"/>
  </r>
  <r>
    <s v="ORD-01327"/>
    <s v="CUST0278"/>
    <x v="1"/>
    <x v="4"/>
    <n v="52"/>
    <x v="0"/>
    <x v="1"/>
    <x v="1"/>
    <n v="12300"/>
    <n v="5"/>
    <n v="61500"/>
    <x v="133"/>
    <s v="Tuesday"/>
    <s v="Weekday"/>
  </r>
  <r>
    <s v="ORD-01328"/>
    <s v="CUST0043"/>
    <x v="0"/>
    <x v="3"/>
    <n v="22"/>
    <x v="1"/>
    <x v="6"/>
    <x v="0"/>
    <n v="98400"/>
    <n v="3"/>
    <n v="295200"/>
    <x v="387"/>
    <s v="Monday"/>
    <s v="Weekday"/>
  </r>
  <r>
    <s v="ORD-01329"/>
    <s v="CUST0147"/>
    <x v="0"/>
    <x v="1"/>
    <n v="64"/>
    <x v="2"/>
    <x v="0"/>
    <x v="0"/>
    <n v="36900"/>
    <n v="3"/>
    <n v="110700"/>
    <x v="547"/>
    <s v="Sunday"/>
    <s v="Weekday"/>
  </r>
  <r>
    <s v="ORD-01330"/>
    <s v="CUST0292"/>
    <x v="0"/>
    <x v="0"/>
    <n v="21"/>
    <x v="2"/>
    <x v="4"/>
    <x v="1"/>
    <n v="6150"/>
    <n v="5"/>
    <n v="30750"/>
    <x v="566"/>
    <s v="Sunday"/>
    <s v="Weekday"/>
  </r>
  <r>
    <s v="ORD-01331"/>
    <s v="CUST0295"/>
    <x v="2"/>
    <x v="0"/>
    <n v="26"/>
    <x v="2"/>
    <x v="6"/>
    <x v="0"/>
    <n v="98400"/>
    <n v="5"/>
    <n v="492000"/>
    <x v="567"/>
    <s v="Thursday"/>
    <s v="Weekday"/>
  </r>
  <r>
    <s v="ORD-01332"/>
    <s v="CUST0039"/>
    <x v="0"/>
    <x v="1"/>
    <n v="60"/>
    <x v="3"/>
    <x v="3"/>
    <x v="2"/>
    <n v="24600"/>
    <n v="1"/>
    <n v="24600"/>
    <x v="509"/>
    <s v="Saturday"/>
    <s v="Weekend"/>
  </r>
  <r>
    <s v="ORD-01333"/>
    <s v="CUST0269"/>
    <x v="0"/>
    <x v="1"/>
    <n v="64"/>
    <x v="1"/>
    <x v="2"/>
    <x v="0"/>
    <n v="184500"/>
    <n v="3"/>
    <n v="553500"/>
    <x v="381"/>
    <s v="Wednesday"/>
    <s v="Weekday"/>
  </r>
  <r>
    <s v="ORD-01334"/>
    <s v="CUST0225"/>
    <x v="2"/>
    <x v="0"/>
    <n v="65"/>
    <x v="3"/>
    <x v="2"/>
    <x v="0"/>
    <n v="184500"/>
    <n v="4"/>
    <n v="738000"/>
    <x v="568"/>
    <s v="Thursday"/>
    <s v="Weekday"/>
  </r>
  <r>
    <s v="ORD-01335"/>
    <s v="CUST0240"/>
    <x v="0"/>
    <x v="7"/>
    <n v="39"/>
    <x v="2"/>
    <x v="2"/>
    <x v="0"/>
    <n v="184500"/>
    <n v="1"/>
    <n v="184500"/>
    <x v="569"/>
    <s v="Wednesday"/>
    <s v="Weekday"/>
  </r>
  <r>
    <s v="ORD-01336"/>
    <s v="CUST0199"/>
    <x v="2"/>
    <x v="5"/>
    <n v="41"/>
    <x v="3"/>
    <x v="6"/>
    <x v="0"/>
    <n v="98400"/>
    <n v="3"/>
    <n v="295200"/>
    <x v="570"/>
    <s v="Saturday"/>
    <s v="Weekend"/>
  </r>
  <r>
    <s v="ORD-01337"/>
    <s v="CUST0228"/>
    <x v="0"/>
    <x v="1"/>
    <n v="25"/>
    <x v="0"/>
    <x v="5"/>
    <x v="1"/>
    <n v="3690"/>
    <n v="2"/>
    <n v="7380"/>
    <x v="454"/>
    <s v="Friday"/>
    <s v="Weekend"/>
  </r>
  <r>
    <s v="ORD-01338"/>
    <s v="CUST0128"/>
    <x v="1"/>
    <x v="1"/>
    <n v="52"/>
    <x v="3"/>
    <x v="4"/>
    <x v="1"/>
    <n v="6150"/>
    <n v="4"/>
    <n v="24600"/>
    <x v="366"/>
    <s v="Monday"/>
    <s v="Weekday"/>
  </r>
  <r>
    <s v="ORD-01339"/>
    <s v="CUST0054"/>
    <x v="1"/>
    <x v="6"/>
    <n v="64"/>
    <x v="3"/>
    <x v="5"/>
    <x v="1"/>
    <n v="3690"/>
    <n v="2"/>
    <n v="7380"/>
    <x v="393"/>
    <s v="Sunday"/>
    <s v="Weekday"/>
  </r>
  <r>
    <s v="ORD-01340"/>
    <s v="CUST0221"/>
    <x v="0"/>
    <x v="7"/>
    <n v="33"/>
    <x v="2"/>
    <x v="0"/>
    <x v="0"/>
    <n v="36900"/>
    <n v="5"/>
    <n v="184500"/>
    <x v="373"/>
    <s v="Thursday"/>
    <s v="Weekday"/>
  </r>
  <r>
    <s v="ORD-01341"/>
    <s v="CUST0211"/>
    <x v="2"/>
    <x v="0"/>
    <n v="35"/>
    <x v="0"/>
    <x v="4"/>
    <x v="1"/>
    <n v="6150"/>
    <n v="1"/>
    <n v="6150"/>
    <x v="571"/>
    <s v="Thursday"/>
    <s v="Weekday"/>
  </r>
  <r>
    <s v="ORD-01342"/>
    <s v="CUST0129"/>
    <x v="0"/>
    <x v="2"/>
    <n v="66"/>
    <x v="2"/>
    <x v="2"/>
    <x v="0"/>
    <n v="184500"/>
    <n v="2"/>
    <n v="369000"/>
    <x v="572"/>
    <s v="Thursday"/>
    <s v="Weekday"/>
  </r>
  <r>
    <s v="ORD-01343"/>
    <s v="CUST0172"/>
    <x v="1"/>
    <x v="5"/>
    <n v="56"/>
    <x v="0"/>
    <x v="4"/>
    <x v="1"/>
    <n v="6150"/>
    <n v="3"/>
    <n v="18450"/>
    <x v="503"/>
    <s v="Thursday"/>
    <s v="Weekday"/>
  </r>
  <r>
    <s v="ORD-01344"/>
    <s v="CUST0244"/>
    <x v="1"/>
    <x v="0"/>
    <n v="24"/>
    <x v="0"/>
    <x v="2"/>
    <x v="0"/>
    <n v="184500"/>
    <n v="3"/>
    <n v="553500"/>
    <x v="571"/>
    <s v="Thursday"/>
    <s v="Weekday"/>
  </r>
  <r>
    <s v="ORD-01345"/>
    <s v="CUST0116"/>
    <x v="0"/>
    <x v="3"/>
    <n v="20"/>
    <x v="0"/>
    <x v="4"/>
    <x v="1"/>
    <n v="6150"/>
    <n v="5"/>
    <n v="30750"/>
    <x v="81"/>
    <s v="Saturday"/>
    <s v="Weekend"/>
  </r>
  <r>
    <s v="ORD-01346"/>
    <s v="CUST0083"/>
    <x v="0"/>
    <x v="2"/>
    <n v="28"/>
    <x v="2"/>
    <x v="1"/>
    <x v="1"/>
    <n v="12300"/>
    <n v="3"/>
    <n v="36900"/>
    <x v="573"/>
    <s v="Tuesday"/>
    <s v="Weekday"/>
  </r>
  <r>
    <s v="ORD-01347"/>
    <s v="CUST0269"/>
    <x v="0"/>
    <x v="1"/>
    <n v="64"/>
    <x v="0"/>
    <x v="4"/>
    <x v="1"/>
    <n v="6150"/>
    <n v="4"/>
    <n v="24600"/>
    <x v="574"/>
    <s v="Saturday"/>
    <s v="Weekend"/>
  </r>
  <r>
    <s v="ORD-01348"/>
    <s v="CUST0085"/>
    <x v="0"/>
    <x v="1"/>
    <n v="18"/>
    <x v="1"/>
    <x v="3"/>
    <x v="2"/>
    <n v="24600"/>
    <n v="2"/>
    <n v="49200"/>
    <x v="447"/>
    <s v="Friday"/>
    <s v="Weekend"/>
  </r>
  <r>
    <s v="ORD-01349"/>
    <s v="CUST0153"/>
    <x v="1"/>
    <x v="5"/>
    <n v="40"/>
    <x v="1"/>
    <x v="4"/>
    <x v="1"/>
    <n v="6150"/>
    <n v="2"/>
    <n v="12300"/>
    <x v="454"/>
    <s v="Friday"/>
    <s v="Weekend"/>
  </r>
  <r>
    <s v="ORD-01350"/>
    <s v="CUST0180"/>
    <x v="0"/>
    <x v="5"/>
    <n v="68"/>
    <x v="1"/>
    <x v="6"/>
    <x v="0"/>
    <n v="98400"/>
    <n v="4"/>
    <n v="393600"/>
    <x v="575"/>
    <s v="Monday"/>
    <s v="Weekday"/>
  </r>
  <r>
    <s v="ORD-01351"/>
    <s v="CUST0145"/>
    <x v="0"/>
    <x v="2"/>
    <n v="51"/>
    <x v="1"/>
    <x v="1"/>
    <x v="1"/>
    <n v="12300"/>
    <n v="2"/>
    <n v="24600"/>
    <x v="576"/>
    <s v="Thursday"/>
    <s v="Weekday"/>
  </r>
  <r>
    <s v="ORD-01352"/>
    <s v="CUST0185"/>
    <x v="1"/>
    <x v="1"/>
    <n v="29"/>
    <x v="2"/>
    <x v="3"/>
    <x v="2"/>
    <n v="24600"/>
    <n v="4"/>
    <n v="98400"/>
    <x v="516"/>
    <s v="Tuesday"/>
    <s v="Weekday"/>
  </r>
  <r>
    <s v="ORD-01353"/>
    <s v="CUST0024"/>
    <x v="1"/>
    <x v="4"/>
    <n v="57"/>
    <x v="3"/>
    <x v="0"/>
    <x v="0"/>
    <n v="36900"/>
    <n v="5"/>
    <n v="184500"/>
    <x v="451"/>
    <s v="Friday"/>
    <s v="Weekend"/>
  </r>
  <r>
    <s v="ORD-01354"/>
    <s v="CUST0095"/>
    <x v="1"/>
    <x v="0"/>
    <n v="60"/>
    <x v="3"/>
    <x v="0"/>
    <x v="0"/>
    <n v="36900"/>
    <n v="3"/>
    <n v="110700"/>
    <x v="380"/>
    <s v="Saturday"/>
    <s v="Weekend"/>
  </r>
  <r>
    <s v="ORD-01355"/>
    <s v="CUST0252"/>
    <x v="0"/>
    <x v="0"/>
    <n v="55"/>
    <x v="1"/>
    <x v="4"/>
    <x v="1"/>
    <n v="6150"/>
    <n v="4"/>
    <n v="24600"/>
    <x v="485"/>
    <s v="Monday"/>
    <s v="Weekday"/>
  </r>
  <r>
    <s v="ORD-01356"/>
    <s v="CUST0244"/>
    <x v="1"/>
    <x v="0"/>
    <n v="24"/>
    <x v="3"/>
    <x v="2"/>
    <x v="0"/>
    <n v="184500"/>
    <n v="5"/>
    <n v="922500"/>
    <x v="501"/>
    <s v="Tuesday"/>
    <s v="Weekday"/>
  </r>
  <r>
    <s v="ORD-01357"/>
    <s v="CUST0007"/>
    <x v="1"/>
    <x v="5"/>
    <n v="52"/>
    <x v="1"/>
    <x v="6"/>
    <x v="0"/>
    <n v="98400"/>
    <n v="4"/>
    <n v="393600"/>
    <x v="577"/>
    <s v="Sunday"/>
    <s v="Weekday"/>
  </r>
  <r>
    <s v="ORD-01358"/>
    <s v="CUST0027"/>
    <x v="1"/>
    <x v="6"/>
    <n v="36"/>
    <x v="1"/>
    <x v="2"/>
    <x v="0"/>
    <n v="184500"/>
    <n v="1"/>
    <n v="184500"/>
    <x v="431"/>
    <s v="Monday"/>
    <s v="Weekday"/>
  </r>
  <r>
    <s v="ORD-01359"/>
    <s v="CUST0178"/>
    <x v="0"/>
    <x v="4"/>
    <n v="44"/>
    <x v="3"/>
    <x v="3"/>
    <x v="2"/>
    <n v="24600"/>
    <n v="1"/>
    <n v="24600"/>
    <x v="578"/>
    <s v="Sunday"/>
    <s v="Weekday"/>
  </r>
  <r>
    <s v="ORD-01360"/>
    <s v="CUST0016"/>
    <x v="1"/>
    <x v="3"/>
    <n v="61"/>
    <x v="3"/>
    <x v="6"/>
    <x v="0"/>
    <n v="98400"/>
    <n v="5"/>
    <n v="492000"/>
    <x v="579"/>
    <s v="Monday"/>
    <s v="Weekday"/>
  </r>
  <r>
    <s v="ORD-01361"/>
    <s v="CUST0022"/>
    <x v="1"/>
    <x v="0"/>
    <n v="33"/>
    <x v="0"/>
    <x v="6"/>
    <x v="0"/>
    <n v="98400"/>
    <n v="2"/>
    <n v="196800"/>
    <x v="373"/>
    <s v="Thursday"/>
    <s v="Weekday"/>
  </r>
  <r>
    <s v="ORD-01362"/>
    <s v="CUST0016"/>
    <x v="1"/>
    <x v="3"/>
    <n v="61"/>
    <x v="1"/>
    <x v="4"/>
    <x v="1"/>
    <n v="6150"/>
    <n v="3"/>
    <n v="18450"/>
    <x v="493"/>
    <s v="Wednesday"/>
    <s v="Weekday"/>
  </r>
  <r>
    <s v="ORD-01363"/>
    <s v="CUST0095"/>
    <x v="1"/>
    <x v="0"/>
    <n v="60"/>
    <x v="3"/>
    <x v="2"/>
    <x v="0"/>
    <n v="184500"/>
    <n v="5"/>
    <n v="922500"/>
    <x v="580"/>
    <s v="Saturday"/>
    <s v="Weekend"/>
  </r>
  <r>
    <s v="ORD-01364"/>
    <s v="CUST0168"/>
    <x v="1"/>
    <x v="0"/>
    <n v="42"/>
    <x v="3"/>
    <x v="1"/>
    <x v="1"/>
    <n v="12300"/>
    <n v="4"/>
    <n v="49200"/>
    <x v="581"/>
    <s v="Thursday"/>
    <s v="Weekday"/>
  </r>
  <r>
    <s v="ORD-01365"/>
    <s v="CUST0296"/>
    <x v="1"/>
    <x v="1"/>
    <n v="50"/>
    <x v="3"/>
    <x v="5"/>
    <x v="1"/>
    <n v="3690"/>
    <n v="2"/>
    <n v="7380"/>
    <x v="358"/>
    <s v="Thursday"/>
    <s v="Weekday"/>
  </r>
  <r>
    <s v="ORD-01366"/>
    <s v="CUST0027"/>
    <x v="1"/>
    <x v="6"/>
    <n v="36"/>
    <x v="0"/>
    <x v="6"/>
    <x v="0"/>
    <n v="98400"/>
    <n v="4"/>
    <n v="393600"/>
    <x v="582"/>
    <s v="Tuesday"/>
    <s v="Weekday"/>
  </r>
  <r>
    <s v="ORD-01367"/>
    <s v="CUST0004"/>
    <x v="0"/>
    <x v="1"/>
    <n v="65"/>
    <x v="1"/>
    <x v="5"/>
    <x v="1"/>
    <n v="3690"/>
    <n v="4"/>
    <n v="14760"/>
    <x v="476"/>
    <s v="Sunday"/>
    <s v="Weekday"/>
  </r>
  <r>
    <s v="ORD-01368"/>
    <s v="CUST0122"/>
    <x v="0"/>
    <x v="0"/>
    <n v="68"/>
    <x v="1"/>
    <x v="3"/>
    <x v="2"/>
    <n v="24600"/>
    <n v="5"/>
    <n v="123000"/>
    <x v="583"/>
    <s v="Sunday"/>
    <s v="Weekday"/>
  </r>
  <r>
    <s v="ORD-01369"/>
    <s v="CUST0148"/>
    <x v="0"/>
    <x v="7"/>
    <n v="67"/>
    <x v="2"/>
    <x v="3"/>
    <x v="2"/>
    <n v="24600"/>
    <n v="4"/>
    <n v="98400"/>
    <x v="584"/>
    <s v="Tuesday"/>
    <s v="Weekday"/>
  </r>
  <r>
    <s v="ORD-01370"/>
    <s v="CUST0122"/>
    <x v="0"/>
    <x v="0"/>
    <n v="68"/>
    <x v="0"/>
    <x v="5"/>
    <x v="1"/>
    <n v="3690"/>
    <n v="4"/>
    <n v="14760"/>
    <x v="585"/>
    <s v="Monday"/>
    <s v="Weekday"/>
  </r>
  <r>
    <s v="ORD-01371"/>
    <s v="CUST0211"/>
    <x v="2"/>
    <x v="0"/>
    <n v="35"/>
    <x v="0"/>
    <x v="6"/>
    <x v="0"/>
    <n v="98400"/>
    <n v="5"/>
    <n v="492000"/>
    <x v="586"/>
    <s v="Saturday"/>
    <s v="Weekend"/>
  </r>
  <r>
    <s v="ORD-01372"/>
    <s v="CUST0036"/>
    <x v="2"/>
    <x v="0"/>
    <n v="33"/>
    <x v="1"/>
    <x v="3"/>
    <x v="2"/>
    <n v="24600"/>
    <n v="3"/>
    <n v="73800"/>
    <x v="358"/>
    <s v="Thursday"/>
    <s v="Weekday"/>
  </r>
  <r>
    <s v="ORD-01373"/>
    <s v="CUST0120"/>
    <x v="2"/>
    <x v="1"/>
    <n v="35"/>
    <x v="2"/>
    <x v="4"/>
    <x v="1"/>
    <n v="6150"/>
    <n v="2"/>
    <n v="12300"/>
    <x v="587"/>
    <s v="Friday"/>
    <s v="Weekend"/>
  </r>
  <r>
    <s v="ORD-01374"/>
    <s v="CUST0106"/>
    <x v="1"/>
    <x v="0"/>
    <n v="50"/>
    <x v="2"/>
    <x v="5"/>
    <x v="1"/>
    <n v="3690"/>
    <n v="1"/>
    <n v="3690"/>
    <x v="587"/>
    <s v="Friday"/>
    <s v="Weekend"/>
  </r>
  <r>
    <s v="ORD-01375"/>
    <s v="CUST0294"/>
    <x v="1"/>
    <x v="7"/>
    <n v="49"/>
    <x v="1"/>
    <x v="0"/>
    <x v="0"/>
    <n v="36900"/>
    <n v="1"/>
    <n v="36900"/>
    <x v="405"/>
    <s v="Saturday"/>
    <s v="Weekend"/>
  </r>
  <r>
    <s v="ORD-01376"/>
    <s v="CUST0243"/>
    <x v="2"/>
    <x v="3"/>
    <n v="58"/>
    <x v="3"/>
    <x v="0"/>
    <x v="0"/>
    <n v="36900"/>
    <n v="4"/>
    <n v="147600"/>
    <x v="389"/>
    <s v="Tuesday"/>
    <s v="Weekday"/>
  </r>
  <r>
    <s v="ORD-01377"/>
    <s v="CUST0227"/>
    <x v="2"/>
    <x v="6"/>
    <n v="54"/>
    <x v="0"/>
    <x v="5"/>
    <x v="1"/>
    <n v="3690"/>
    <n v="3"/>
    <n v="11070"/>
    <x v="457"/>
    <s v="Monday"/>
    <s v="Weekday"/>
  </r>
  <r>
    <s v="ORD-01378"/>
    <s v="CUST0238"/>
    <x v="0"/>
    <x v="0"/>
    <n v="26"/>
    <x v="2"/>
    <x v="2"/>
    <x v="0"/>
    <n v="184500"/>
    <n v="1"/>
    <n v="184500"/>
    <x v="454"/>
    <s v="Friday"/>
    <s v="Weekend"/>
  </r>
  <r>
    <s v="ORD-01379"/>
    <s v="CUST0154"/>
    <x v="2"/>
    <x v="6"/>
    <n v="31"/>
    <x v="3"/>
    <x v="3"/>
    <x v="2"/>
    <n v="24600"/>
    <n v="3"/>
    <n v="73800"/>
    <x v="536"/>
    <s v="Monday"/>
    <s v="Weekday"/>
  </r>
  <r>
    <s v="ORD-01380"/>
    <s v="CUST0206"/>
    <x v="2"/>
    <x v="0"/>
    <n v="43"/>
    <x v="2"/>
    <x v="0"/>
    <x v="0"/>
    <n v="36900"/>
    <n v="2"/>
    <n v="73800"/>
    <x v="588"/>
    <s v="Thursday"/>
    <s v="Weekday"/>
  </r>
  <r>
    <s v="ORD-01381"/>
    <s v="CUST0274"/>
    <x v="2"/>
    <x v="1"/>
    <n v="51"/>
    <x v="3"/>
    <x v="0"/>
    <x v="0"/>
    <n v="36900"/>
    <n v="1"/>
    <n v="36900"/>
    <x v="512"/>
    <s v="Thursday"/>
    <s v="Weekday"/>
  </r>
  <r>
    <s v="ORD-01382"/>
    <s v="CUST0241"/>
    <x v="1"/>
    <x v="0"/>
    <n v="27"/>
    <x v="3"/>
    <x v="5"/>
    <x v="1"/>
    <n v="3690"/>
    <n v="2"/>
    <n v="7380"/>
    <x v="444"/>
    <s v="Saturday"/>
    <s v="Weekend"/>
  </r>
  <r>
    <s v="ORD-01383"/>
    <s v="CUST0131"/>
    <x v="1"/>
    <x v="1"/>
    <n v="67"/>
    <x v="0"/>
    <x v="5"/>
    <x v="1"/>
    <n v="3690"/>
    <n v="1"/>
    <n v="3690"/>
    <x v="589"/>
    <s v="Thursday"/>
    <s v="Weekday"/>
  </r>
  <r>
    <s v="ORD-01384"/>
    <s v="CUST0100"/>
    <x v="0"/>
    <x v="0"/>
    <n v="29"/>
    <x v="2"/>
    <x v="1"/>
    <x v="1"/>
    <n v="12300"/>
    <n v="4"/>
    <n v="49200"/>
    <x v="584"/>
    <s v="Tuesday"/>
    <s v="Weekday"/>
  </r>
  <r>
    <s v="ORD-01385"/>
    <s v="CUST0245"/>
    <x v="0"/>
    <x v="2"/>
    <n v="63"/>
    <x v="2"/>
    <x v="5"/>
    <x v="1"/>
    <n v="3690"/>
    <n v="2"/>
    <n v="7380"/>
    <x v="525"/>
    <s v="Monday"/>
    <s v="Weekday"/>
  </r>
  <r>
    <s v="ORD-01386"/>
    <s v="CUST0228"/>
    <x v="0"/>
    <x v="1"/>
    <n v="25"/>
    <x v="3"/>
    <x v="3"/>
    <x v="2"/>
    <n v="24600"/>
    <n v="3"/>
    <n v="73800"/>
    <x v="379"/>
    <s v="Sunday"/>
    <s v="Weekday"/>
  </r>
  <r>
    <s v="ORD-01387"/>
    <s v="CUST0037"/>
    <x v="2"/>
    <x v="2"/>
    <n v="51"/>
    <x v="1"/>
    <x v="3"/>
    <x v="2"/>
    <n v="24600"/>
    <n v="5"/>
    <n v="123000"/>
    <x v="420"/>
    <s v="Tuesday"/>
    <s v="Weekday"/>
  </r>
  <r>
    <s v="ORD-01388"/>
    <s v="CUST0165"/>
    <x v="2"/>
    <x v="0"/>
    <n v="49"/>
    <x v="2"/>
    <x v="1"/>
    <x v="1"/>
    <n v="12300"/>
    <n v="1"/>
    <n v="12300"/>
    <x v="558"/>
    <s v="Sunday"/>
    <s v="Weekday"/>
  </r>
  <r>
    <s v="ORD-01389"/>
    <s v="CUST0093"/>
    <x v="2"/>
    <x v="1"/>
    <n v="66"/>
    <x v="0"/>
    <x v="4"/>
    <x v="1"/>
    <n v="6150"/>
    <n v="5"/>
    <n v="30750"/>
    <x v="491"/>
    <s v="Wednesday"/>
    <s v="Weekday"/>
  </r>
  <r>
    <s v="ORD-01390"/>
    <s v="CUST0276"/>
    <x v="0"/>
    <x v="0"/>
    <n v="66"/>
    <x v="1"/>
    <x v="6"/>
    <x v="0"/>
    <n v="98400"/>
    <n v="3"/>
    <n v="295200"/>
    <x v="409"/>
    <s v="Monday"/>
    <s v="Weekday"/>
  </r>
  <r>
    <s v="ORD-01391"/>
    <s v="CUST0015"/>
    <x v="0"/>
    <x v="5"/>
    <n v="58"/>
    <x v="2"/>
    <x v="5"/>
    <x v="1"/>
    <n v="3690"/>
    <n v="4"/>
    <n v="14760"/>
    <x v="400"/>
    <s v="Thursday"/>
    <s v="Weekday"/>
  </r>
  <r>
    <s v="ORD-01392"/>
    <s v="CUST0174"/>
    <x v="1"/>
    <x v="1"/>
    <n v="68"/>
    <x v="0"/>
    <x v="3"/>
    <x v="2"/>
    <n v="24600"/>
    <n v="4"/>
    <n v="98400"/>
    <x v="582"/>
    <s v="Tuesday"/>
    <s v="Weekday"/>
  </r>
  <r>
    <s v="ORD-01393"/>
    <s v="CUST0205"/>
    <x v="2"/>
    <x v="4"/>
    <n v="43"/>
    <x v="1"/>
    <x v="4"/>
    <x v="1"/>
    <n v="6150"/>
    <n v="1"/>
    <n v="6150"/>
    <x v="533"/>
    <s v="Tuesday"/>
    <s v="Weekday"/>
  </r>
  <r>
    <s v="ORD-01394"/>
    <s v="CUST0031"/>
    <x v="0"/>
    <x v="1"/>
    <n v="67"/>
    <x v="2"/>
    <x v="6"/>
    <x v="0"/>
    <n v="98400"/>
    <n v="5"/>
    <n v="492000"/>
    <x v="588"/>
    <s v="Thursday"/>
    <s v="Weekday"/>
  </r>
  <r>
    <s v="ORD-01395"/>
    <s v="CUST0153"/>
    <x v="1"/>
    <x v="5"/>
    <n v="40"/>
    <x v="0"/>
    <x v="6"/>
    <x v="0"/>
    <n v="98400"/>
    <n v="4"/>
    <n v="393600"/>
    <x v="590"/>
    <s v="Saturday"/>
    <s v="Weekend"/>
  </r>
  <r>
    <s v="ORD-01396"/>
    <s v="CUST0023"/>
    <x v="0"/>
    <x v="1"/>
    <n v="29"/>
    <x v="1"/>
    <x v="4"/>
    <x v="1"/>
    <n v="6150"/>
    <n v="1"/>
    <n v="6150"/>
    <x v="591"/>
    <s v="Monday"/>
    <s v="Weekday"/>
  </r>
  <r>
    <s v="ORD-01397"/>
    <s v="CUST0124"/>
    <x v="1"/>
    <x v="4"/>
    <n v="53"/>
    <x v="2"/>
    <x v="6"/>
    <x v="0"/>
    <n v="98400"/>
    <n v="4"/>
    <n v="393600"/>
    <x v="592"/>
    <s v="Monday"/>
    <s v="Weekday"/>
  </r>
  <r>
    <s v="ORD-01398"/>
    <s v="CUST0086"/>
    <x v="0"/>
    <x v="7"/>
    <n v="26"/>
    <x v="1"/>
    <x v="6"/>
    <x v="0"/>
    <n v="98400"/>
    <n v="4"/>
    <n v="393600"/>
    <x v="593"/>
    <s v="Sunday"/>
    <s v="Weekday"/>
  </r>
  <r>
    <s v="ORD-01399"/>
    <s v="CUST0061"/>
    <x v="1"/>
    <x v="5"/>
    <n v="35"/>
    <x v="3"/>
    <x v="4"/>
    <x v="1"/>
    <n v="6150"/>
    <n v="5"/>
    <n v="30750"/>
    <x v="491"/>
    <s v="Wednesday"/>
    <s v="Weekday"/>
  </r>
  <r>
    <s v="ORD-01400"/>
    <s v="CUST0073"/>
    <x v="0"/>
    <x v="0"/>
    <n v="19"/>
    <x v="3"/>
    <x v="4"/>
    <x v="1"/>
    <n v="6150"/>
    <n v="2"/>
    <n v="12300"/>
    <x v="594"/>
    <s v="Saturday"/>
    <s v="Weekend"/>
  </r>
  <r>
    <s v="ORD-01401"/>
    <s v="CUST0250"/>
    <x v="1"/>
    <x v="1"/>
    <n v="64"/>
    <x v="1"/>
    <x v="3"/>
    <x v="2"/>
    <n v="24600"/>
    <n v="5"/>
    <n v="123000"/>
    <x v="133"/>
    <s v="Tuesday"/>
    <s v="Weekday"/>
  </r>
  <r>
    <s v="ORD-01402"/>
    <s v="CUST0060"/>
    <x v="0"/>
    <x v="0"/>
    <n v="41"/>
    <x v="3"/>
    <x v="2"/>
    <x v="0"/>
    <n v="184500"/>
    <n v="4"/>
    <n v="738000"/>
    <x v="469"/>
    <s v="Tuesday"/>
    <s v="Weekday"/>
  </r>
  <r>
    <s v="ORD-01403"/>
    <s v="CUST0259"/>
    <x v="0"/>
    <x v="4"/>
    <n v="59"/>
    <x v="3"/>
    <x v="0"/>
    <x v="0"/>
    <n v="36900"/>
    <n v="4"/>
    <n v="147600"/>
    <x v="440"/>
    <s v="Friday"/>
    <s v="Weekend"/>
  </r>
  <r>
    <s v="ORD-01404"/>
    <s v="CUST0038"/>
    <x v="0"/>
    <x v="0"/>
    <n v="57"/>
    <x v="1"/>
    <x v="2"/>
    <x v="0"/>
    <n v="184500"/>
    <n v="2"/>
    <n v="369000"/>
    <x v="560"/>
    <s v="Tuesday"/>
    <s v="Weekday"/>
  </r>
  <r>
    <s v="ORD-01405"/>
    <s v="CUST0147"/>
    <x v="0"/>
    <x v="1"/>
    <n v="64"/>
    <x v="3"/>
    <x v="1"/>
    <x v="1"/>
    <n v="12300"/>
    <n v="4"/>
    <n v="49200"/>
    <x v="595"/>
    <s v="Tuesday"/>
    <s v="Weekday"/>
  </r>
  <r>
    <s v="ORD-01406"/>
    <s v="CUST0184"/>
    <x v="1"/>
    <x v="0"/>
    <n v="54"/>
    <x v="1"/>
    <x v="1"/>
    <x v="1"/>
    <n v="12300"/>
    <n v="3"/>
    <n v="36900"/>
    <x v="465"/>
    <s v="Sunday"/>
    <s v="Weekday"/>
  </r>
  <r>
    <s v="ORD-01407"/>
    <s v="CUST0004"/>
    <x v="0"/>
    <x v="1"/>
    <n v="65"/>
    <x v="1"/>
    <x v="5"/>
    <x v="1"/>
    <n v="3690"/>
    <n v="1"/>
    <n v="3690"/>
    <x v="81"/>
    <s v="Saturday"/>
    <s v="Weekend"/>
  </r>
  <r>
    <s v="ORD-01408"/>
    <s v="CUST0064"/>
    <x v="0"/>
    <x v="2"/>
    <n v="61"/>
    <x v="3"/>
    <x v="3"/>
    <x v="2"/>
    <n v="24600"/>
    <n v="4"/>
    <n v="98400"/>
    <x v="468"/>
    <s v="Wednesday"/>
    <s v="Weekday"/>
  </r>
  <r>
    <s v="ORD-01409"/>
    <s v="CUST0257"/>
    <x v="1"/>
    <x v="0"/>
    <n v="54"/>
    <x v="2"/>
    <x v="1"/>
    <x v="1"/>
    <n v="12300"/>
    <n v="3"/>
    <n v="36900"/>
    <x v="534"/>
    <s v="Friday"/>
    <s v="Weekend"/>
  </r>
  <r>
    <s v="ORD-01410"/>
    <s v="CUST0218"/>
    <x v="0"/>
    <x v="2"/>
    <n v="36"/>
    <x v="1"/>
    <x v="1"/>
    <x v="1"/>
    <n v="12300"/>
    <n v="5"/>
    <n v="61500"/>
    <x v="394"/>
    <s v="Thursday"/>
    <s v="Weekday"/>
  </r>
  <r>
    <s v="ORD-01411"/>
    <s v="CUST0042"/>
    <x v="1"/>
    <x v="1"/>
    <n v="57"/>
    <x v="1"/>
    <x v="3"/>
    <x v="2"/>
    <n v="24600"/>
    <n v="3"/>
    <n v="73800"/>
    <x v="596"/>
    <s v="Saturday"/>
    <s v="Weekend"/>
  </r>
  <r>
    <s v="ORD-01412"/>
    <s v="CUST0049"/>
    <x v="1"/>
    <x v="0"/>
    <n v="59"/>
    <x v="2"/>
    <x v="4"/>
    <x v="1"/>
    <n v="6150"/>
    <n v="4"/>
    <n v="24600"/>
    <x v="393"/>
    <s v="Sunday"/>
    <s v="Weekday"/>
  </r>
  <r>
    <s v="ORD-01413"/>
    <s v="CUST0195"/>
    <x v="1"/>
    <x v="0"/>
    <n v="48"/>
    <x v="3"/>
    <x v="2"/>
    <x v="0"/>
    <n v="184500"/>
    <n v="1"/>
    <n v="184500"/>
    <x v="406"/>
    <s v="Saturday"/>
    <s v="Weekend"/>
  </r>
  <r>
    <s v="ORD-01414"/>
    <s v="CUST0154"/>
    <x v="2"/>
    <x v="6"/>
    <n v="31"/>
    <x v="0"/>
    <x v="1"/>
    <x v="1"/>
    <n v="12300"/>
    <n v="2"/>
    <n v="24600"/>
    <x v="475"/>
    <s v="Tuesday"/>
    <s v="Weekday"/>
  </r>
  <r>
    <s v="ORD-01415"/>
    <s v="CUST0282"/>
    <x v="0"/>
    <x v="0"/>
    <n v="68"/>
    <x v="2"/>
    <x v="3"/>
    <x v="2"/>
    <n v="24600"/>
    <n v="3"/>
    <n v="73800"/>
    <x v="94"/>
    <s v="Friday"/>
    <s v="Weekend"/>
  </r>
  <r>
    <s v="ORD-01416"/>
    <s v="CUST0178"/>
    <x v="0"/>
    <x v="4"/>
    <n v="44"/>
    <x v="0"/>
    <x v="4"/>
    <x v="1"/>
    <n v="6150"/>
    <n v="4"/>
    <n v="24600"/>
    <x v="597"/>
    <s v="Saturday"/>
    <s v="Weekend"/>
  </r>
  <r>
    <s v="ORD-01417"/>
    <s v="CUST0209"/>
    <x v="0"/>
    <x v="0"/>
    <n v="63"/>
    <x v="3"/>
    <x v="6"/>
    <x v="0"/>
    <n v="98400"/>
    <n v="3"/>
    <n v="295200"/>
    <x v="546"/>
    <s v="Thursday"/>
    <s v="Weekday"/>
  </r>
  <r>
    <s v="ORD-01418"/>
    <s v="CUST0148"/>
    <x v="0"/>
    <x v="7"/>
    <n v="67"/>
    <x v="1"/>
    <x v="4"/>
    <x v="1"/>
    <n v="6150"/>
    <n v="4"/>
    <n v="24600"/>
    <x v="496"/>
    <s v="Tuesday"/>
    <s v="Weekday"/>
  </r>
  <r>
    <s v="ORD-01419"/>
    <s v="CUST0090"/>
    <x v="0"/>
    <x v="0"/>
    <n v="61"/>
    <x v="1"/>
    <x v="6"/>
    <x v="0"/>
    <n v="98400"/>
    <n v="2"/>
    <n v="196800"/>
    <x v="598"/>
    <s v="Thursday"/>
    <s v="Weekday"/>
  </r>
  <r>
    <s v="ORD-01420"/>
    <s v="CUST0140"/>
    <x v="0"/>
    <x v="7"/>
    <n v="50"/>
    <x v="3"/>
    <x v="4"/>
    <x v="1"/>
    <n v="6150"/>
    <n v="3"/>
    <n v="18450"/>
    <x v="470"/>
    <s v="Wednesday"/>
    <s v="Weekday"/>
  </r>
  <r>
    <s v="ORD-01421"/>
    <s v="CUST0173"/>
    <x v="0"/>
    <x v="0"/>
    <n v="65"/>
    <x v="3"/>
    <x v="2"/>
    <x v="0"/>
    <n v="184500"/>
    <n v="1"/>
    <n v="184500"/>
    <x v="407"/>
    <s v="Friday"/>
    <s v="Weekend"/>
  </r>
  <r>
    <s v="ORD-01422"/>
    <s v="CUST0188"/>
    <x v="0"/>
    <x v="5"/>
    <n v="29"/>
    <x v="3"/>
    <x v="0"/>
    <x v="0"/>
    <n v="36900"/>
    <n v="2"/>
    <n v="73800"/>
    <x v="393"/>
    <s v="Sunday"/>
    <s v="Weekday"/>
  </r>
  <r>
    <s v="ORD-01423"/>
    <s v="CUST0048"/>
    <x v="0"/>
    <x v="7"/>
    <n v="34"/>
    <x v="3"/>
    <x v="0"/>
    <x v="0"/>
    <n v="36900"/>
    <n v="2"/>
    <n v="73800"/>
    <x v="364"/>
    <s v="Saturday"/>
    <s v="Weekend"/>
  </r>
  <r>
    <s v="ORD-01424"/>
    <s v="CUST0177"/>
    <x v="1"/>
    <x v="1"/>
    <n v="29"/>
    <x v="3"/>
    <x v="6"/>
    <x v="0"/>
    <n v="98400"/>
    <n v="5"/>
    <n v="492000"/>
    <x v="462"/>
    <s v="Monday"/>
    <s v="Weekday"/>
  </r>
  <r>
    <s v="ORD-01425"/>
    <s v="CUST0130"/>
    <x v="0"/>
    <x v="0"/>
    <n v="68"/>
    <x v="3"/>
    <x v="4"/>
    <x v="1"/>
    <n v="6150"/>
    <n v="1"/>
    <n v="6150"/>
    <x v="586"/>
    <s v="Saturday"/>
    <s v="Weekend"/>
  </r>
  <r>
    <s v="ORD-01426"/>
    <s v="CUST0067"/>
    <x v="1"/>
    <x v="7"/>
    <n v="19"/>
    <x v="3"/>
    <x v="0"/>
    <x v="0"/>
    <n v="36900"/>
    <n v="5"/>
    <n v="184500"/>
    <x v="362"/>
    <s v="Monday"/>
    <s v="Weekday"/>
  </r>
  <r>
    <s v="ORD-01427"/>
    <s v="CUST0077"/>
    <x v="0"/>
    <x v="1"/>
    <n v="50"/>
    <x v="1"/>
    <x v="1"/>
    <x v="1"/>
    <n v="12300"/>
    <n v="3"/>
    <n v="36900"/>
    <x v="554"/>
    <s v="Tuesday"/>
    <s v="Weekday"/>
  </r>
  <r>
    <s v="ORD-01428"/>
    <s v="CUST0067"/>
    <x v="1"/>
    <x v="7"/>
    <n v="19"/>
    <x v="0"/>
    <x v="5"/>
    <x v="1"/>
    <n v="3690"/>
    <n v="3"/>
    <n v="11070"/>
    <x v="394"/>
    <s v="Thursday"/>
    <s v="Weekday"/>
  </r>
  <r>
    <s v="ORD-01429"/>
    <s v="CUST0299"/>
    <x v="1"/>
    <x v="5"/>
    <n v="58"/>
    <x v="0"/>
    <x v="1"/>
    <x v="1"/>
    <n v="12300"/>
    <n v="2"/>
    <n v="24600"/>
    <x v="424"/>
    <s v="Thursday"/>
    <s v="Weekday"/>
  </r>
  <r>
    <s v="ORD-01430"/>
    <s v="CUST0286"/>
    <x v="2"/>
    <x v="7"/>
    <n v="63"/>
    <x v="1"/>
    <x v="0"/>
    <x v="0"/>
    <n v="36900"/>
    <n v="2"/>
    <n v="73800"/>
    <x v="542"/>
    <s v="Tuesday"/>
    <s v="Weekday"/>
  </r>
  <r>
    <s v="ORD-01431"/>
    <s v="CUST0065"/>
    <x v="1"/>
    <x v="0"/>
    <n v="41"/>
    <x v="2"/>
    <x v="4"/>
    <x v="1"/>
    <n v="6150"/>
    <n v="3"/>
    <n v="18450"/>
    <x v="497"/>
    <s v="Monday"/>
    <s v="Weekday"/>
  </r>
  <r>
    <s v="ORD-01432"/>
    <s v="CUST0188"/>
    <x v="0"/>
    <x v="5"/>
    <n v="29"/>
    <x v="0"/>
    <x v="3"/>
    <x v="2"/>
    <n v="24600"/>
    <n v="3"/>
    <n v="73800"/>
    <x v="421"/>
    <s v="Monday"/>
    <s v="Weekday"/>
  </r>
  <r>
    <s v="ORD-01433"/>
    <s v="CUST0194"/>
    <x v="1"/>
    <x v="7"/>
    <n v="61"/>
    <x v="2"/>
    <x v="6"/>
    <x v="0"/>
    <n v="98400"/>
    <n v="5"/>
    <n v="492000"/>
    <x v="599"/>
    <s v="Sunday"/>
    <s v="Weekday"/>
  </r>
  <r>
    <s v="ORD-01434"/>
    <s v="CUST0070"/>
    <x v="0"/>
    <x v="3"/>
    <n v="23"/>
    <x v="1"/>
    <x v="5"/>
    <x v="1"/>
    <n v="3690"/>
    <n v="2"/>
    <n v="7380"/>
    <x v="409"/>
    <s v="Monday"/>
    <s v="Weekday"/>
  </r>
  <r>
    <s v="ORD-01435"/>
    <s v="CUST0053"/>
    <x v="1"/>
    <x v="5"/>
    <n v="25"/>
    <x v="2"/>
    <x v="5"/>
    <x v="1"/>
    <n v="3690"/>
    <n v="3"/>
    <n v="11070"/>
    <x v="600"/>
    <s v="Wednesday"/>
    <s v="Weekday"/>
  </r>
  <r>
    <s v="ORD-01436"/>
    <s v="CUST0054"/>
    <x v="1"/>
    <x v="6"/>
    <n v="64"/>
    <x v="1"/>
    <x v="6"/>
    <x v="0"/>
    <n v="98400"/>
    <n v="4"/>
    <n v="393600"/>
    <x v="536"/>
    <s v="Monday"/>
    <s v="Weekday"/>
  </r>
  <r>
    <s v="ORD-01437"/>
    <s v="CUST0168"/>
    <x v="1"/>
    <x v="0"/>
    <n v="42"/>
    <x v="3"/>
    <x v="3"/>
    <x v="2"/>
    <n v="24600"/>
    <n v="1"/>
    <n v="24600"/>
    <x v="601"/>
    <s v="Thursday"/>
    <s v="Weekday"/>
  </r>
  <r>
    <s v="ORD-01438"/>
    <s v="CUST0262"/>
    <x v="0"/>
    <x v="3"/>
    <n v="27"/>
    <x v="3"/>
    <x v="0"/>
    <x v="0"/>
    <n v="36900"/>
    <n v="2"/>
    <n v="73800"/>
    <x v="438"/>
    <s v="Monday"/>
    <s v="Weekday"/>
  </r>
  <r>
    <s v="ORD-01439"/>
    <s v="CUST0130"/>
    <x v="0"/>
    <x v="0"/>
    <n v="68"/>
    <x v="0"/>
    <x v="4"/>
    <x v="1"/>
    <n v="6150"/>
    <n v="5"/>
    <n v="30750"/>
    <x v="600"/>
    <s v="Wednesday"/>
    <s v="Weekday"/>
  </r>
  <r>
    <s v="ORD-01440"/>
    <s v="CUST0060"/>
    <x v="0"/>
    <x v="0"/>
    <n v="41"/>
    <x v="0"/>
    <x v="1"/>
    <x v="1"/>
    <n v="12300"/>
    <n v="4"/>
    <n v="49200"/>
    <x v="580"/>
    <s v="Saturday"/>
    <s v="Weekend"/>
  </r>
  <r>
    <s v="ORD-01441"/>
    <s v="CUST0128"/>
    <x v="1"/>
    <x v="1"/>
    <n v="52"/>
    <x v="2"/>
    <x v="0"/>
    <x v="0"/>
    <n v="36900"/>
    <n v="1"/>
    <n v="36900"/>
    <x v="474"/>
    <s v="Wednesday"/>
    <s v="Weekday"/>
  </r>
  <r>
    <s v="ORD-01442"/>
    <s v="CUST0098"/>
    <x v="1"/>
    <x v="0"/>
    <n v="57"/>
    <x v="2"/>
    <x v="6"/>
    <x v="0"/>
    <n v="98400"/>
    <n v="4"/>
    <n v="393600"/>
    <x v="602"/>
    <s v="Sunday"/>
    <s v="Weekday"/>
  </r>
  <r>
    <s v="ORD-01443"/>
    <s v="CUST0200"/>
    <x v="1"/>
    <x v="0"/>
    <n v="68"/>
    <x v="0"/>
    <x v="1"/>
    <x v="1"/>
    <n v="12300"/>
    <n v="3"/>
    <n v="36900"/>
    <x v="515"/>
    <s v="Friday"/>
    <s v="Weekend"/>
  </r>
  <r>
    <s v="ORD-01444"/>
    <s v="CUST0270"/>
    <x v="2"/>
    <x v="3"/>
    <n v="64"/>
    <x v="3"/>
    <x v="3"/>
    <x v="2"/>
    <n v="24600"/>
    <n v="2"/>
    <n v="49200"/>
    <x v="579"/>
    <s v="Monday"/>
    <s v="Weekday"/>
  </r>
  <r>
    <s v="ORD-01445"/>
    <s v="CUST0259"/>
    <x v="0"/>
    <x v="4"/>
    <n v="59"/>
    <x v="1"/>
    <x v="5"/>
    <x v="1"/>
    <n v="3690"/>
    <n v="3"/>
    <n v="11070"/>
    <x v="516"/>
    <s v="Tuesday"/>
    <s v="Weekday"/>
  </r>
  <r>
    <s v="ORD-01446"/>
    <s v="CUST0298"/>
    <x v="2"/>
    <x v="0"/>
    <n v="58"/>
    <x v="3"/>
    <x v="0"/>
    <x v="0"/>
    <n v="36900"/>
    <n v="3"/>
    <n v="110700"/>
    <x v="562"/>
    <s v="Saturday"/>
    <s v="Weekend"/>
  </r>
  <r>
    <s v="ORD-01447"/>
    <s v="CUST0032"/>
    <x v="0"/>
    <x v="4"/>
    <n v="63"/>
    <x v="0"/>
    <x v="3"/>
    <x v="2"/>
    <n v="24600"/>
    <n v="5"/>
    <n v="123000"/>
    <x v="527"/>
    <s v="Saturday"/>
    <s v="Weekend"/>
  </r>
  <r>
    <s v="ORD-01448"/>
    <s v="CUST0014"/>
    <x v="0"/>
    <x v="0"/>
    <n v="20"/>
    <x v="1"/>
    <x v="4"/>
    <x v="1"/>
    <n v="6150"/>
    <n v="3"/>
    <n v="18450"/>
    <x v="598"/>
    <s v="Thursday"/>
    <s v="Weekday"/>
  </r>
  <r>
    <s v="ORD-01449"/>
    <s v="CUST0195"/>
    <x v="1"/>
    <x v="0"/>
    <n v="48"/>
    <x v="2"/>
    <x v="4"/>
    <x v="1"/>
    <n v="6150"/>
    <n v="2"/>
    <n v="12300"/>
    <x v="603"/>
    <s v="Monday"/>
    <s v="Weekday"/>
  </r>
  <r>
    <s v="ORD-01450"/>
    <s v="CUST0288"/>
    <x v="0"/>
    <x v="5"/>
    <n v="55"/>
    <x v="0"/>
    <x v="6"/>
    <x v="0"/>
    <n v="98400"/>
    <n v="4"/>
    <n v="393600"/>
    <x v="485"/>
    <s v="Monday"/>
    <s v="Weekday"/>
  </r>
  <r>
    <s v="ORD-01451"/>
    <s v="CUST0140"/>
    <x v="0"/>
    <x v="7"/>
    <n v="50"/>
    <x v="3"/>
    <x v="1"/>
    <x v="1"/>
    <n v="12300"/>
    <n v="1"/>
    <n v="12300"/>
    <x v="604"/>
    <s v="Saturday"/>
    <s v="Weekend"/>
  </r>
  <r>
    <s v="ORD-01452"/>
    <s v="CUST0232"/>
    <x v="2"/>
    <x v="4"/>
    <n v="44"/>
    <x v="2"/>
    <x v="6"/>
    <x v="0"/>
    <n v="98400"/>
    <n v="1"/>
    <n v="98400"/>
    <x v="605"/>
    <s v="Wednesday"/>
    <s v="Weekday"/>
  </r>
  <r>
    <s v="ORD-01453"/>
    <s v="CUST0031"/>
    <x v="0"/>
    <x v="1"/>
    <n v="67"/>
    <x v="2"/>
    <x v="2"/>
    <x v="0"/>
    <n v="184500"/>
    <n v="2"/>
    <n v="369000"/>
    <x v="358"/>
    <s v="Thursday"/>
    <s v="Weekday"/>
  </r>
  <r>
    <s v="ORD-01454"/>
    <s v="CUST0032"/>
    <x v="0"/>
    <x v="4"/>
    <n v="63"/>
    <x v="0"/>
    <x v="4"/>
    <x v="1"/>
    <n v="6150"/>
    <n v="1"/>
    <n v="6150"/>
    <x v="606"/>
    <s v="Sunday"/>
    <s v="Weekday"/>
  </r>
  <r>
    <s v="ORD-01455"/>
    <s v="CUST0257"/>
    <x v="1"/>
    <x v="0"/>
    <n v="54"/>
    <x v="3"/>
    <x v="4"/>
    <x v="1"/>
    <n v="6150"/>
    <n v="2"/>
    <n v="12300"/>
    <x v="488"/>
    <s v="Tuesday"/>
    <s v="Weekday"/>
  </r>
  <r>
    <s v="ORD-01456"/>
    <s v="CUST0260"/>
    <x v="0"/>
    <x v="0"/>
    <n v="32"/>
    <x v="0"/>
    <x v="4"/>
    <x v="1"/>
    <n v="6150"/>
    <n v="3"/>
    <n v="18450"/>
    <x v="420"/>
    <s v="Tuesday"/>
    <s v="Weekday"/>
  </r>
  <r>
    <s v="ORD-01457"/>
    <s v="CUST0038"/>
    <x v="0"/>
    <x v="0"/>
    <n v="57"/>
    <x v="1"/>
    <x v="1"/>
    <x v="1"/>
    <n v="12300"/>
    <n v="5"/>
    <n v="61500"/>
    <x v="448"/>
    <s v="Friday"/>
    <s v="Weekend"/>
  </r>
  <r>
    <s v="ORD-01458"/>
    <s v="CUST0268"/>
    <x v="0"/>
    <x v="0"/>
    <n v="21"/>
    <x v="1"/>
    <x v="2"/>
    <x v="0"/>
    <n v="184500"/>
    <n v="5"/>
    <n v="922500"/>
    <x v="479"/>
    <s v="Thursday"/>
    <s v="Weekday"/>
  </r>
  <r>
    <s v="ORD-01459"/>
    <s v="CUST0203"/>
    <x v="1"/>
    <x v="0"/>
    <n v="33"/>
    <x v="2"/>
    <x v="6"/>
    <x v="0"/>
    <n v="98400"/>
    <n v="3"/>
    <n v="295200"/>
    <x v="574"/>
    <s v="Saturday"/>
    <s v="Weekend"/>
  </r>
  <r>
    <s v="ORD-01460"/>
    <s v="CUST0269"/>
    <x v="0"/>
    <x v="1"/>
    <n v="64"/>
    <x v="3"/>
    <x v="6"/>
    <x v="0"/>
    <n v="98400"/>
    <n v="1"/>
    <n v="98400"/>
    <x v="382"/>
    <s v="Friday"/>
    <s v="Weekend"/>
  </r>
  <r>
    <s v="ORD-01461"/>
    <s v="CUST0222"/>
    <x v="1"/>
    <x v="0"/>
    <n v="61"/>
    <x v="1"/>
    <x v="2"/>
    <x v="0"/>
    <n v="184500"/>
    <n v="4"/>
    <n v="738000"/>
    <x v="311"/>
    <s v="Thursday"/>
    <s v="Weekday"/>
  </r>
  <r>
    <s v="ORD-01462"/>
    <s v="CUST0256"/>
    <x v="0"/>
    <x v="2"/>
    <n v="69"/>
    <x v="1"/>
    <x v="1"/>
    <x v="1"/>
    <n v="12300"/>
    <n v="2"/>
    <n v="24600"/>
    <x v="587"/>
    <s v="Friday"/>
    <s v="Weekend"/>
  </r>
  <r>
    <s v="ORD-01463"/>
    <s v="CUST0249"/>
    <x v="0"/>
    <x v="0"/>
    <n v="33"/>
    <x v="1"/>
    <x v="5"/>
    <x v="1"/>
    <n v="3690"/>
    <n v="3"/>
    <n v="11070"/>
    <x v="573"/>
    <s v="Tuesday"/>
    <s v="Weekday"/>
  </r>
  <r>
    <s v="ORD-01464"/>
    <s v="CUST0229"/>
    <x v="2"/>
    <x v="2"/>
    <n v="45"/>
    <x v="1"/>
    <x v="1"/>
    <x v="1"/>
    <n v="12300"/>
    <n v="5"/>
    <n v="61500"/>
    <x v="607"/>
    <s v="Saturday"/>
    <s v="Weekend"/>
  </r>
  <r>
    <s v="ORD-01465"/>
    <s v="CUST0204"/>
    <x v="0"/>
    <x v="1"/>
    <n v="54"/>
    <x v="0"/>
    <x v="1"/>
    <x v="1"/>
    <n v="12300"/>
    <n v="2"/>
    <n v="24600"/>
    <x v="414"/>
    <s v="Tuesday"/>
    <s v="Weekday"/>
  </r>
  <r>
    <s v="ORD-01466"/>
    <s v="CUST0097"/>
    <x v="2"/>
    <x v="4"/>
    <n v="34"/>
    <x v="2"/>
    <x v="6"/>
    <x v="0"/>
    <n v="98400"/>
    <n v="5"/>
    <n v="492000"/>
    <x v="608"/>
    <s v="Sunday"/>
    <s v="Weekday"/>
  </r>
  <r>
    <s v="ORD-01467"/>
    <s v="CUST0026"/>
    <x v="2"/>
    <x v="5"/>
    <n v="27"/>
    <x v="2"/>
    <x v="5"/>
    <x v="1"/>
    <n v="3690"/>
    <n v="5"/>
    <n v="18450"/>
    <x v="609"/>
    <s v="Saturday"/>
    <s v="Weekend"/>
  </r>
  <r>
    <s v="ORD-01468"/>
    <s v="CUST0128"/>
    <x v="1"/>
    <x v="1"/>
    <n v="52"/>
    <x v="1"/>
    <x v="5"/>
    <x v="1"/>
    <n v="3690"/>
    <n v="1"/>
    <n v="3690"/>
    <x v="240"/>
    <s v="Tuesday"/>
    <s v="Weekday"/>
  </r>
  <r>
    <s v="ORD-01469"/>
    <s v="CUST0131"/>
    <x v="1"/>
    <x v="1"/>
    <n v="67"/>
    <x v="2"/>
    <x v="6"/>
    <x v="0"/>
    <n v="98400"/>
    <n v="3"/>
    <n v="295200"/>
    <x v="484"/>
    <s v="Wednesday"/>
    <s v="Weekday"/>
  </r>
  <r>
    <s v="ORD-01470"/>
    <s v="CUST0093"/>
    <x v="2"/>
    <x v="1"/>
    <n v="66"/>
    <x v="2"/>
    <x v="5"/>
    <x v="1"/>
    <n v="3690"/>
    <n v="1"/>
    <n v="3690"/>
    <x v="610"/>
    <s v="Friday"/>
    <s v="Weekend"/>
  </r>
  <r>
    <s v="ORD-01471"/>
    <s v="CUST0268"/>
    <x v="0"/>
    <x v="0"/>
    <n v="21"/>
    <x v="2"/>
    <x v="0"/>
    <x v="0"/>
    <n v="36900"/>
    <n v="4"/>
    <n v="147600"/>
    <x v="474"/>
    <s v="Wednesday"/>
    <s v="Weekday"/>
  </r>
  <r>
    <s v="ORD-01472"/>
    <s v="CUST0103"/>
    <x v="2"/>
    <x v="0"/>
    <n v="23"/>
    <x v="2"/>
    <x v="3"/>
    <x v="2"/>
    <n v="24600"/>
    <n v="4"/>
    <n v="98400"/>
    <x v="611"/>
    <s v="Wednesday"/>
    <s v="Weekday"/>
  </r>
  <r>
    <s v="ORD-01473"/>
    <s v="CUST0157"/>
    <x v="1"/>
    <x v="0"/>
    <n v="48"/>
    <x v="0"/>
    <x v="6"/>
    <x v="0"/>
    <n v="98400"/>
    <n v="5"/>
    <n v="492000"/>
    <x v="539"/>
    <s v="Sunday"/>
    <s v="Weekday"/>
  </r>
  <r>
    <s v="ORD-01474"/>
    <s v="CUST0099"/>
    <x v="2"/>
    <x v="5"/>
    <n v="26"/>
    <x v="1"/>
    <x v="3"/>
    <x v="2"/>
    <n v="24600"/>
    <n v="1"/>
    <n v="24600"/>
    <x v="311"/>
    <s v="Thursday"/>
    <s v="Weekday"/>
  </r>
  <r>
    <s v="ORD-01475"/>
    <s v="CUST0283"/>
    <x v="1"/>
    <x v="2"/>
    <n v="67"/>
    <x v="3"/>
    <x v="2"/>
    <x v="0"/>
    <n v="184500"/>
    <n v="3"/>
    <n v="553500"/>
    <x v="358"/>
    <s v="Thursday"/>
    <s v="Weekday"/>
  </r>
  <r>
    <s v="ORD-01476"/>
    <s v="CUST0192"/>
    <x v="0"/>
    <x v="0"/>
    <n v="58"/>
    <x v="0"/>
    <x v="3"/>
    <x v="2"/>
    <n v="24600"/>
    <n v="2"/>
    <n v="49200"/>
    <x v="433"/>
    <s v="Sunday"/>
    <s v="Weekday"/>
  </r>
  <r>
    <s v="ORD-01477"/>
    <s v="CUST0122"/>
    <x v="0"/>
    <x v="0"/>
    <n v="68"/>
    <x v="2"/>
    <x v="2"/>
    <x v="0"/>
    <n v="184500"/>
    <n v="5"/>
    <n v="922500"/>
    <x v="592"/>
    <s v="Monday"/>
    <s v="Weekday"/>
  </r>
  <r>
    <s v="ORD-01478"/>
    <s v="CUST0139"/>
    <x v="0"/>
    <x v="1"/>
    <n v="57"/>
    <x v="1"/>
    <x v="3"/>
    <x v="2"/>
    <n v="24600"/>
    <n v="2"/>
    <n v="49200"/>
    <x v="612"/>
    <s v="Friday"/>
    <s v="Weekend"/>
  </r>
  <r>
    <s v="ORD-01479"/>
    <s v="CUST0190"/>
    <x v="0"/>
    <x v="0"/>
    <n v="28"/>
    <x v="1"/>
    <x v="0"/>
    <x v="0"/>
    <n v="36900"/>
    <n v="3"/>
    <n v="110700"/>
    <x v="613"/>
    <s v="Monday"/>
    <s v="Weekday"/>
  </r>
  <r>
    <s v="ORD-01480"/>
    <s v="CUST0265"/>
    <x v="2"/>
    <x v="0"/>
    <n v="38"/>
    <x v="1"/>
    <x v="5"/>
    <x v="1"/>
    <n v="3690"/>
    <n v="5"/>
    <n v="18450"/>
    <x v="491"/>
    <s v="Wednesday"/>
    <s v="Weekday"/>
  </r>
  <r>
    <s v="ORD-01481"/>
    <s v="CUST0044"/>
    <x v="0"/>
    <x v="0"/>
    <n v="30"/>
    <x v="1"/>
    <x v="0"/>
    <x v="0"/>
    <n v="36900"/>
    <n v="1"/>
    <n v="36900"/>
    <x v="458"/>
    <s v="Sunday"/>
    <s v="Weekday"/>
  </r>
  <r>
    <s v="ORD-01482"/>
    <s v="CUST0048"/>
    <x v="0"/>
    <x v="7"/>
    <n v="34"/>
    <x v="2"/>
    <x v="1"/>
    <x v="1"/>
    <n v="12300"/>
    <n v="1"/>
    <n v="12300"/>
    <x v="427"/>
    <s v="Friday"/>
    <s v="Weekend"/>
  </r>
  <r>
    <s v="ORD-01483"/>
    <s v="CUST0204"/>
    <x v="0"/>
    <x v="1"/>
    <n v="54"/>
    <x v="1"/>
    <x v="6"/>
    <x v="0"/>
    <n v="98400"/>
    <n v="5"/>
    <n v="492000"/>
    <x v="397"/>
    <s v="Friday"/>
    <s v="Weekend"/>
  </r>
  <r>
    <s v="ORD-01484"/>
    <s v="CUST0212"/>
    <x v="1"/>
    <x v="1"/>
    <n v="62"/>
    <x v="3"/>
    <x v="1"/>
    <x v="1"/>
    <n v="12300"/>
    <n v="3"/>
    <n v="36900"/>
    <x v="465"/>
    <s v="Sunday"/>
    <s v="Weekday"/>
  </r>
  <r>
    <s v="ORD-01485"/>
    <s v="CUST0218"/>
    <x v="0"/>
    <x v="2"/>
    <n v="36"/>
    <x v="3"/>
    <x v="2"/>
    <x v="0"/>
    <n v="184500"/>
    <n v="4"/>
    <n v="738000"/>
    <x v="540"/>
    <s v="Tuesday"/>
    <s v="Weekday"/>
  </r>
  <r>
    <s v="ORD-01486"/>
    <s v="CUST0070"/>
    <x v="0"/>
    <x v="3"/>
    <n v="23"/>
    <x v="1"/>
    <x v="5"/>
    <x v="1"/>
    <n v="3690"/>
    <n v="5"/>
    <n v="18450"/>
    <x v="589"/>
    <s v="Thursday"/>
    <s v="Weekday"/>
  </r>
  <r>
    <s v="ORD-01487"/>
    <s v="CUST0047"/>
    <x v="1"/>
    <x v="1"/>
    <n v="41"/>
    <x v="2"/>
    <x v="2"/>
    <x v="0"/>
    <n v="184500"/>
    <n v="2"/>
    <n v="369000"/>
    <x v="462"/>
    <s v="Monday"/>
    <s v="Weekday"/>
  </r>
  <r>
    <s v="ORD-01488"/>
    <s v="CUST0149"/>
    <x v="0"/>
    <x v="0"/>
    <n v="40"/>
    <x v="3"/>
    <x v="2"/>
    <x v="0"/>
    <n v="184500"/>
    <n v="2"/>
    <n v="369000"/>
    <x v="591"/>
    <s v="Monday"/>
    <s v="Weekday"/>
  </r>
  <r>
    <s v="ORD-01489"/>
    <s v="CUST0037"/>
    <x v="2"/>
    <x v="2"/>
    <n v="51"/>
    <x v="3"/>
    <x v="6"/>
    <x v="0"/>
    <n v="98400"/>
    <n v="1"/>
    <n v="98400"/>
    <x v="614"/>
    <s v="Tuesday"/>
    <s v="Weekday"/>
  </r>
  <r>
    <s v="ORD-01490"/>
    <s v="CUST0287"/>
    <x v="1"/>
    <x v="0"/>
    <n v="60"/>
    <x v="3"/>
    <x v="3"/>
    <x v="2"/>
    <n v="24600"/>
    <n v="5"/>
    <n v="123000"/>
    <x v="555"/>
    <s v="Saturday"/>
    <s v="Weekend"/>
  </r>
  <r>
    <s v="ORD-01491"/>
    <s v="CUST0031"/>
    <x v="0"/>
    <x v="1"/>
    <n v="67"/>
    <x v="0"/>
    <x v="6"/>
    <x v="0"/>
    <n v="98400"/>
    <n v="5"/>
    <n v="492000"/>
    <x v="362"/>
    <s v="Monday"/>
    <s v="Weekday"/>
  </r>
  <r>
    <s v="ORD-01492"/>
    <s v="CUST0235"/>
    <x v="0"/>
    <x v="6"/>
    <n v="19"/>
    <x v="0"/>
    <x v="4"/>
    <x v="1"/>
    <n v="6150"/>
    <n v="2"/>
    <n v="12300"/>
    <x v="503"/>
    <s v="Thursday"/>
    <s v="Weekday"/>
  </r>
  <r>
    <s v="ORD-01493"/>
    <s v="CUST0293"/>
    <x v="0"/>
    <x v="1"/>
    <n v="32"/>
    <x v="3"/>
    <x v="4"/>
    <x v="1"/>
    <n v="6150"/>
    <n v="5"/>
    <n v="30750"/>
    <x v="602"/>
    <s v="Sunday"/>
    <s v="Weekday"/>
  </r>
  <r>
    <s v="ORD-01494"/>
    <s v="CUST0182"/>
    <x v="0"/>
    <x v="0"/>
    <n v="19"/>
    <x v="2"/>
    <x v="0"/>
    <x v="0"/>
    <n v="36900"/>
    <n v="4"/>
    <n v="147600"/>
    <x v="496"/>
    <s v="Tuesday"/>
    <s v="Weekday"/>
  </r>
  <r>
    <s v="ORD-01495"/>
    <s v="CUST0137"/>
    <x v="1"/>
    <x v="2"/>
    <n v="19"/>
    <x v="2"/>
    <x v="1"/>
    <x v="1"/>
    <n v="12300"/>
    <n v="1"/>
    <n v="12300"/>
    <x v="615"/>
    <s v="Friday"/>
    <s v="Weekend"/>
  </r>
  <r>
    <s v="ORD-01496"/>
    <s v="CUST0078"/>
    <x v="1"/>
    <x v="4"/>
    <n v="38"/>
    <x v="3"/>
    <x v="6"/>
    <x v="0"/>
    <n v="98400"/>
    <n v="2"/>
    <n v="196800"/>
    <x v="616"/>
    <s v="Monday"/>
    <s v="Weekday"/>
  </r>
  <r>
    <s v="ORD-01497"/>
    <s v="CUST0284"/>
    <x v="1"/>
    <x v="0"/>
    <n v="64"/>
    <x v="3"/>
    <x v="0"/>
    <x v="0"/>
    <n v="36900"/>
    <n v="4"/>
    <n v="147600"/>
    <x v="94"/>
    <s v="Friday"/>
    <s v="Weekend"/>
  </r>
  <r>
    <s v="ORD-01498"/>
    <s v="CUST0052"/>
    <x v="0"/>
    <x v="0"/>
    <n v="66"/>
    <x v="2"/>
    <x v="4"/>
    <x v="1"/>
    <n v="6150"/>
    <n v="4"/>
    <n v="24600"/>
    <x v="614"/>
    <s v="Tuesday"/>
    <s v="Weekday"/>
  </r>
  <r>
    <s v="ORD-01499"/>
    <s v="CUST0101"/>
    <x v="1"/>
    <x v="1"/>
    <n v="53"/>
    <x v="0"/>
    <x v="6"/>
    <x v="0"/>
    <n v="98400"/>
    <n v="4"/>
    <n v="393600"/>
    <x v="505"/>
    <s v="Thursday"/>
    <s v="Weekday"/>
  </r>
  <r>
    <s v="ORD-01500"/>
    <s v="CUST0257"/>
    <x v="1"/>
    <x v="0"/>
    <n v="54"/>
    <x v="0"/>
    <x v="4"/>
    <x v="1"/>
    <n v="6150"/>
    <n v="5"/>
    <n v="30750"/>
    <x v="277"/>
    <s v="Monday"/>
    <s v="Weekday"/>
  </r>
  <r>
    <s v="ORD-01501"/>
    <s v="CUST0167"/>
    <x v="2"/>
    <x v="7"/>
    <n v="67"/>
    <x v="3"/>
    <x v="4"/>
    <x v="1"/>
    <n v="6150"/>
    <n v="1"/>
    <n v="6150"/>
    <x v="617"/>
    <s v="Tuesday"/>
    <s v="Weekday"/>
  </r>
  <r>
    <s v="ORD-01502"/>
    <s v="CUST0280"/>
    <x v="0"/>
    <x v="5"/>
    <n v="44"/>
    <x v="2"/>
    <x v="3"/>
    <x v="2"/>
    <n v="24600"/>
    <n v="3"/>
    <n v="73800"/>
    <x v="530"/>
    <s v="Friday"/>
    <s v="Weekend"/>
  </r>
  <r>
    <s v="ORD-01503"/>
    <s v="CUST0020"/>
    <x v="1"/>
    <x v="1"/>
    <n v="55"/>
    <x v="0"/>
    <x v="0"/>
    <x v="0"/>
    <n v="36900"/>
    <n v="2"/>
    <n v="73800"/>
    <x v="579"/>
    <s v="Monday"/>
    <s v="Weekday"/>
  </r>
  <r>
    <s v="ORD-01504"/>
    <s v="CUST0237"/>
    <x v="0"/>
    <x v="2"/>
    <n v="65"/>
    <x v="3"/>
    <x v="0"/>
    <x v="0"/>
    <n v="36900"/>
    <n v="4"/>
    <n v="147600"/>
    <x v="568"/>
    <s v="Thursday"/>
    <s v="Weekday"/>
  </r>
  <r>
    <s v="ORD-01505"/>
    <s v="CUST0044"/>
    <x v="0"/>
    <x v="0"/>
    <n v="30"/>
    <x v="1"/>
    <x v="0"/>
    <x v="0"/>
    <n v="36900"/>
    <n v="4"/>
    <n v="147600"/>
    <x v="426"/>
    <s v="Friday"/>
    <s v="Weekend"/>
  </r>
  <r>
    <s v="ORD-01506"/>
    <s v="CUST0088"/>
    <x v="2"/>
    <x v="5"/>
    <n v="66"/>
    <x v="3"/>
    <x v="6"/>
    <x v="0"/>
    <n v="98400"/>
    <n v="3"/>
    <n v="295200"/>
    <x v="584"/>
    <s v="Tuesday"/>
    <s v="Weekday"/>
  </r>
  <r>
    <s v="ORD-01507"/>
    <s v="CUST0125"/>
    <x v="2"/>
    <x v="0"/>
    <n v="46"/>
    <x v="1"/>
    <x v="6"/>
    <x v="0"/>
    <n v="98400"/>
    <n v="2"/>
    <n v="196800"/>
    <x v="481"/>
    <s v="Friday"/>
    <s v="Weekend"/>
  </r>
  <r>
    <s v="ORD-01508"/>
    <s v="CUST0272"/>
    <x v="2"/>
    <x v="5"/>
    <n v="52"/>
    <x v="3"/>
    <x v="2"/>
    <x v="0"/>
    <n v="184500"/>
    <n v="4"/>
    <n v="738000"/>
    <x v="562"/>
    <s v="Saturday"/>
    <s v="Weekend"/>
  </r>
  <r>
    <s v="ORD-01509"/>
    <s v="CUST0005"/>
    <x v="1"/>
    <x v="4"/>
    <n v="56"/>
    <x v="2"/>
    <x v="1"/>
    <x v="1"/>
    <n v="12300"/>
    <n v="4"/>
    <n v="49200"/>
    <x v="437"/>
    <s v="Tuesday"/>
    <s v="Weekday"/>
  </r>
  <r>
    <s v="ORD-01510"/>
    <s v="CUST0161"/>
    <x v="0"/>
    <x v="5"/>
    <n v="62"/>
    <x v="2"/>
    <x v="6"/>
    <x v="0"/>
    <n v="98400"/>
    <n v="1"/>
    <n v="98400"/>
    <x v="427"/>
    <s v="Friday"/>
    <s v="Weekend"/>
  </r>
  <r>
    <s v="ORD-01511"/>
    <s v="CUST0135"/>
    <x v="0"/>
    <x v="6"/>
    <n v="41"/>
    <x v="2"/>
    <x v="4"/>
    <x v="1"/>
    <n v="6150"/>
    <n v="1"/>
    <n v="6150"/>
    <x v="618"/>
    <s v="Wednesday"/>
    <s v="Weekday"/>
  </r>
  <r>
    <s v="ORD-01512"/>
    <s v="CUST0288"/>
    <x v="0"/>
    <x v="5"/>
    <n v="55"/>
    <x v="2"/>
    <x v="1"/>
    <x v="1"/>
    <n v="12300"/>
    <n v="1"/>
    <n v="12300"/>
    <x v="619"/>
    <s v="Tuesday"/>
    <s v="Weekday"/>
  </r>
  <r>
    <s v="ORD-01513"/>
    <s v="CUST0267"/>
    <x v="0"/>
    <x v="7"/>
    <n v="29"/>
    <x v="1"/>
    <x v="2"/>
    <x v="0"/>
    <n v="184500"/>
    <n v="3"/>
    <n v="553500"/>
    <x v="620"/>
    <s v="Wednesday"/>
    <s v="Weekday"/>
  </r>
  <r>
    <s v="ORD-01514"/>
    <s v="CUST0045"/>
    <x v="2"/>
    <x v="2"/>
    <n v="21"/>
    <x v="3"/>
    <x v="5"/>
    <x v="1"/>
    <n v="3690"/>
    <n v="1"/>
    <n v="3690"/>
    <x v="440"/>
    <s v="Friday"/>
    <s v="Weekend"/>
  </r>
  <r>
    <s v="ORD-01515"/>
    <s v="CUST0013"/>
    <x v="1"/>
    <x v="7"/>
    <n v="55"/>
    <x v="2"/>
    <x v="1"/>
    <x v="1"/>
    <n v="12300"/>
    <n v="4"/>
    <n v="49200"/>
    <x v="526"/>
    <s v="Friday"/>
    <s v="Weekend"/>
  </r>
  <r>
    <s v="ORD-01516"/>
    <s v="CUST0099"/>
    <x v="2"/>
    <x v="5"/>
    <n v="26"/>
    <x v="0"/>
    <x v="6"/>
    <x v="0"/>
    <n v="98400"/>
    <n v="3"/>
    <n v="295200"/>
    <x v="427"/>
    <s v="Friday"/>
    <s v="Weekend"/>
  </r>
  <r>
    <s v="ORD-01517"/>
    <s v="CUST0080"/>
    <x v="0"/>
    <x v="5"/>
    <n v="51"/>
    <x v="0"/>
    <x v="0"/>
    <x v="0"/>
    <n v="36900"/>
    <n v="4"/>
    <n v="147600"/>
    <x v="363"/>
    <s v="Tuesday"/>
    <s v="Weekday"/>
  </r>
  <r>
    <s v="ORD-01518"/>
    <s v="CUST0155"/>
    <x v="2"/>
    <x v="1"/>
    <n v="41"/>
    <x v="0"/>
    <x v="6"/>
    <x v="0"/>
    <n v="98400"/>
    <n v="2"/>
    <n v="196800"/>
    <x v="621"/>
    <s v="Thursday"/>
    <s v="Weekday"/>
  </r>
  <r>
    <s v="ORD-01519"/>
    <s v="CUST0004"/>
    <x v="0"/>
    <x v="1"/>
    <n v="65"/>
    <x v="3"/>
    <x v="5"/>
    <x v="1"/>
    <n v="3690"/>
    <n v="4"/>
    <n v="14760"/>
    <x v="606"/>
    <s v="Sunday"/>
    <s v="Weekday"/>
  </r>
  <r>
    <s v="ORD-01520"/>
    <s v="CUST0173"/>
    <x v="0"/>
    <x v="0"/>
    <n v="65"/>
    <x v="0"/>
    <x v="3"/>
    <x v="2"/>
    <n v="24600"/>
    <n v="2"/>
    <n v="49200"/>
    <x v="520"/>
    <s v="Wednesday"/>
    <s v="Weekday"/>
  </r>
  <r>
    <s v="ORD-01521"/>
    <s v="CUST0173"/>
    <x v="0"/>
    <x v="0"/>
    <n v="65"/>
    <x v="0"/>
    <x v="1"/>
    <x v="1"/>
    <n v="12300"/>
    <n v="3"/>
    <n v="36900"/>
    <x v="619"/>
    <s v="Tuesday"/>
    <s v="Weekday"/>
  </r>
  <r>
    <s v="ORD-01522"/>
    <s v="CUST0156"/>
    <x v="2"/>
    <x v="2"/>
    <n v="57"/>
    <x v="1"/>
    <x v="3"/>
    <x v="2"/>
    <n v="24600"/>
    <n v="4"/>
    <n v="98400"/>
    <x v="206"/>
    <s v="Thursday"/>
    <s v="Weekday"/>
  </r>
  <r>
    <s v="ORD-01523"/>
    <s v="CUST0197"/>
    <x v="0"/>
    <x v="4"/>
    <n v="54"/>
    <x v="3"/>
    <x v="3"/>
    <x v="2"/>
    <n v="24600"/>
    <n v="3"/>
    <n v="73800"/>
    <x v="475"/>
    <s v="Tuesday"/>
    <s v="Weekday"/>
  </r>
  <r>
    <s v="ORD-01524"/>
    <s v="CUST0057"/>
    <x v="2"/>
    <x v="0"/>
    <n v="62"/>
    <x v="3"/>
    <x v="0"/>
    <x v="0"/>
    <n v="36900"/>
    <n v="5"/>
    <n v="184500"/>
    <x v="464"/>
    <s v="Monday"/>
    <s v="Weekday"/>
  </r>
  <r>
    <s v="ORD-01525"/>
    <s v="CUST0183"/>
    <x v="1"/>
    <x v="2"/>
    <n v="42"/>
    <x v="0"/>
    <x v="2"/>
    <x v="0"/>
    <n v="184500"/>
    <n v="1"/>
    <n v="184500"/>
    <x v="604"/>
    <s v="Saturday"/>
    <s v="Weekend"/>
  </r>
  <r>
    <s v="ORD-01526"/>
    <s v="CUST0279"/>
    <x v="1"/>
    <x v="0"/>
    <n v="59"/>
    <x v="3"/>
    <x v="6"/>
    <x v="0"/>
    <n v="98400"/>
    <n v="3"/>
    <n v="295200"/>
    <x v="433"/>
    <s v="Sunday"/>
    <s v="Weekday"/>
  </r>
  <r>
    <s v="ORD-01527"/>
    <s v="CUST0116"/>
    <x v="0"/>
    <x v="3"/>
    <n v="20"/>
    <x v="1"/>
    <x v="1"/>
    <x v="1"/>
    <n v="12300"/>
    <n v="2"/>
    <n v="24600"/>
    <x v="580"/>
    <s v="Saturday"/>
    <s v="Weekend"/>
  </r>
  <r>
    <s v="ORD-01528"/>
    <s v="CUST0288"/>
    <x v="0"/>
    <x v="5"/>
    <n v="55"/>
    <x v="1"/>
    <x v="6"/>
    <x v="0"/>
    <n v="98400"/>
    <n v="5"/>
    <n v="492000"/>
    <x v="622"/>
    <s v="Wednesday"/>
    <s v="Weekday"/>
  </r>
  <r>
    <s v="ORD-01529"/>
    <s v="CUST0022"/>
    <x v="1"/>
    <x v="0"/>
    <n v="33"/>
    <x v="2"/>
    <x v="5"/>
    <x v="1"/>
    <n v="3690"/>
    <n v="1"/>
    <n v="3690"/>
    <x v="434"/>
    <s v="Saturday"/>
    <s v="Weekend"/>
  </r>
  <r>
    <s v="ORD-01530"/>
    <s v="CUST0285"/>
    <x v="1"/>
    <x v="1"/>
    <n v="58"/>
    <x v="1"/>
    <x v="3"/>
    <x v="2"/>
    <n v="24600"/>
    <n v="4"/>
    <n v="98400"/>
    <x v="619"/>
    <s v="Tuesday"/>
    <s v="Weekday"/>
  </r>
  <r>
    <s v="ORD-01531"/>
    <s v="CUST0189"/>
    <x v="1"/>
    <x v="3"/>
    <n v="38"/>
    <x v="2"/>
    <x v="2"/>
    <x v="0"/>
    <n v="184500"/>
    <n v="2"/>
    <n v="369000"/>
    <x v="520"/>
    <s v="Wednesday"/>
    <s v="Weekday"/>
  </r>
  <r>
    <s v="ORD-01532"/>
    <s v="CUST0235"/>
    <x v="0"/>
    <x v="6"/>
    <n v="19"/>
    <x v="0"/>
    <x v="5"/>
    <x v="1"/>
    <n v="3690"/>
    <n v="3"/>
    <n v="11070"/>
    <x v="618"/>
    <s v="Wednesday"/>
    <s v="Weekday"/>
  </r>
  <r>
    <s v="ORD-01533"/>
    <s v="CUST0292"/>
    <x v="0"/>
    <x v="0"/>
    <n v="21"/>
    <x v="2"/>
    <x v="1"/>
    <x v="1"/>
    <n v="12300"/>
    <n v="3"/>
    <n v="36900"/>
    <x v="623"/>
    <s v="Tuesday"/>
    <s v="Weekday"/>
  </r>
  <r>
    <s v="ORD-01534"/>
    <s v="CUST0184"/>
    <x v="1"/>
    <x v="0"/>
    <n v="54"/>
    <x v="2"/>
    <x v="5"/>
    <x v="1"/>
    <n v="3690"/>
    <n v="5"/>
    <n v="18450"/>
    <x v="416"/>
    <s v="Sunday"/>
    <s v="Weekday"/>
  </r>
  <r>
    <s v="ORD-01535"/>
    <s v="CUST0158"/>
    <x v="1"/>
    <x v="1"/>
    <n v="51"/>
    <x v="0"/>
    <x v="5"/>
    <x v="1"/>
    <n v="3690"/>
    <n v="1"/>
    <n v="3690"/>
    <x v="379"/>
    <s v="Sunday"/>
    <s v="Weekday"/>
  </r>
  <r>
    <s v="ORD-01536"/>
    <s v="CUST0188"/>
    <x v="0"/>
    <x v="5"/>
    <n v="29"/>
    <x v="2"/>
    <x v="3"/>
    <x v="2"/>
    <n v="24600"/>
    <n v="3"/>
    <n v="73800"/>
    <x v="624"/>
    <s v="Tuesday"/>
    <s v="Weekday"/>
  </r>
  <r>
    <s v="ORD-01537"/>
    <s v="CUST0295"/>
    <x v="2"/>
    <x v="0"/>
    <n v="26"/>
    <x v="1"/>
    <x v="6"/>
    <x v="0"/>
    <n v="98400"/>
    <n v="1"/>
    <n v="98400"/>
    <x v="625"/>
    <s v="Monday"/>
    <s v="Weekday"/>
  </r>
  <r>
    <s v="ORD-01538"/>
    <s v="CUST0205"/>
    <x v="2"/>
    <x v="4"/>
    <n v="43"/>
    <x v="0"/>
    <x v="3"/>
    <x v="2"/>
    <n v="24600"/>
    <n v="2"/>
    <n v="49200"/>
    <x v="566"/>
    <s v="Sunday"/>
    <s v="Weekday"/>
  </r>
  <r>
    <s v="ORD-01539"/>
    <s v="CUST0255"/>
    <x v="0"/>
    <x v="1"/>
    <n v="39"/>
    <x v="3"/>
    <x v="2"/>
    <x v="0"/>
    <n v="184500"/>
    <n v="4"/>
    <n v="738000"/>
    <x v="626"/>
    <s v="Monday"/>
    <s v="Weekday"/>
  </r>
  <r>
    <s v="ORD-01540"/>
    <s v="CUST0028"/>
    <x v="0"/>
    <x v="1"/>
    <n v="50"/>
    <x v="2"/>
    <x v="2"/>
    <x v="0"/>
    <n v="184500"/>
    <n v="4"/>
    <n v="738000"/>
    <x v="450"/>
    <s v="Thursday"/>
    <s v="Weekday"/>
  </r>
  <r>
    <s v="ORD-01541"/>
    <s v="CUST0180"/>
    <x v="0"/>
    <x v="5"/>
    <n v="68"/>
    <x v="1"/>
    <x v="6"/>
    <x v="0"/>
    <n v="98400"/>
    <n v="2"/>
    <n v="196800"/>
    <x v="388"/>
    <s v="Sunday"/>
    <s v="Weekday"/>
  </r>
  <r>
    <s v="ORD-01542"/>
    <s v="CUST0203"/>
    <x v="1"/>
    <x v="0"/>
    <n v="33"/>
    <x v="3"/>
    <x v="2"/>
    <x v="0"/>
    <n v="184500"/>
    <n v="1"/>
    <n v="184500"/>
    <x v="496"/>
    <s v="Tuesday"/>
    <s v="Weekday"/>
  </r>
  <r>
    <s v="ORD-01543"/>
    <s v="CUST0113"/>
    <x v="2"/>
    <x v="7"/>
    <n v="38"/>
    <x v="0"/>
    <x v="4"/>
    <x v="1"/>
    <n v="6150"/>
    <n v="2"/>
    <n v="12300"/>
    <x v="627"/>
    <s v="Wednesday"/>
    <s v="Weekday"/>
  </r>
  <r>
    <s v="ORD-01544"/>
    <s v="CUST0131"/>
    <x v="1"/>
    <x v="1"/>
    <n v="67"/>
    <x v="0"/>
    <x v="1"/>
    <x v="1"/>
    <n v="12300"/>
    <n v="5"/>
    <n v="61500"/>
    <x v="628"/>
    <s v="Friday"/>
    <s v="Weekend"/>
  </r>
  <r>
    <s v="ORD-01545"/>
    <s v="CUST0161"/>
    <x v="0"/>
    <x v="5"/>
    <n v="62"/>
    <x v="0"/>
    <x v="0"/>
    <x v="0"/>
    <n v="36900"/>
    <n v="3"/>
    <n v="110700"/>
    <x v="399"/>
    <s v="Sunday"/>
    <s v="Weekday"/>
  </r>
  <r>
    <s v="ORD-01546"/>
    <s v="CUST0201"/>
    <x v="1"/>
    <x v="1"/>
    <n v="49"/>
    <x v="1"/>
    <x v="5"/>
    <x v="1"/>
    <n v="3690"/>
    <n v="1"/>
    <n v="3690"/>
    <x v="394"/>
    <s v="Thursday"/>
    <s v="Weekday"/>
  </r>
  <r>
    <s v="ORD-01547"/>
    <s v="CUST0280"/>
    <x v="0"/>
    <x v="5"/>
    <n v="44"/>
    <x v="3"/>
    <x v="2"/>
    <x v="0"/>
    <n v="184500"/>
    <n v="2"/>
    <n v="369000"/>
    <x v="605"/>
    <s v="Wednesday"/>
    <s v="Weekday"/>
  </r>
  <r>
    <s v="ORD-01548"/>
    <s v="CUST0273"/>
    <x v="2"/>
    <x v="0"/>
    <n v="55"/>
    <x v="0"/>
    <x v="1"/>
    <x v="1"/>
    <n v="12300"/>
    <n v="1"/>
    <n v="12300"/>
    <x v="597"/>
    <s v="Saturday"/>
    <s v="Weekend"/>
  </r>
  <r>
    <s v="ORD-01549"/>
    <s v="CUST0243"/>
    <x v="2"/>
    <x v="3"/>
    <n v="58"/>
    <x v="1"/>
    <x v="5"/>
    <x v="1"/>
    <n v="3690"/>
    <n v="5"/>
    <n v="18450"/>
    <x v="456"/>
    <s v="Saturday"/>
    <s v="Weekend"/>
  </r>
  <r>
    <s v="ORD-01550"/>
    <s v="CUST0245"/>
    <x v="0"/>
    <x v="2"/>
    <n v="63"/>
    <x v="1"/>
    <x v="2"/>
    <x v="0"/>
    <n v="184500"/>
    <n v="4"/>
    <n v="738000"/>
    <x v="240"/>
    <s v="Tuesday"/>
    <s v="Weekday"/>
  </r>
  <r>
    <s v="ORD-01551"/>
    <s v="CUST0058"/>
    <x v="2"/>
    <x v="1"/>
    <n v="42"/>
    <x v="3"/>
    <x v="0"/>
    <x v="0"/>
    <n v="36900"/>
    <n v="2"/>
    <n v="73800"/>
    <x v="399"/>
    <s v="Sunday"/>
    <s v="Weekday"/>
  </r>
  <r>
    <s v="ORD-01552"/>
    <s v="CUST0199"/>
    <x v="2"/>
    <x v="5"/>
    <n v="41"/>
    <x v="0"/>
    <x v="4"/>
    <x v="1"/>
    <n v="6150"/>
    <n v="5"/>
    <n v="30750"/>
    <x v="573"/>
    <s v="Tuesday"/>
    <s v="Weekday"/>
  </r>
  <r>
    <s v="ORD-01553"/>
    <s v="CUST0196"/>
    <x v="1"/>
    <x v="1"/>
    <n v="37"/>
    <x v="0"/>
    <x v="3"/>
    <x v="2"/>
    <n v="24600"/>
    <n v="3"/>
    <n v="73800"/>
    <x v="629"/>
    <s v="Friday"/>
    <s v="Weekend"/>
  </r>
  <r>
    <s v="ORD-01554"/>
    <s v="CUST0264"/>
    <x v="1"/>
    <x v="2"/>
    <n v="59"/>
    <x v="2"/>
    <x v="5"/>
    <x v="1"/>
    <n v="3690"/>
    <n v="1"/>
    <n v="3690"/>
    <x v="591"/>
    <s v="Monday"/>
    <s v="Weekday"/>
  </r>
  <r>
    <s v="ORD-01555"/>
    <s v="CUST0218"/>
    <x v="0"/>
    <x v="2"/>
    <n v="36"/>
    <x v="0"/>
    <x v="3"/>
    <x v="2"/>
    <n v="24600"/>
    <n v="4"/>
    <n v="98400"/>
    <x v="604"/>
    <s v="Saturday"/>
    <s v="Weekend"/>
  </r>
  <r>
    <s v="ORD-01556"/>
    <s v="CUST0020"/>
    <x v="1"/>
    <x v="1"/>
    <n v="55"/>
    <x v="3"/>
    <x v="5"/>
    <x v="1"/>
    <n v="3690"/>
    <n v="2"/>
    <n v="7380"/>
    <x v="630"/>
    <s v="Saturday"/>
    <s v="Weekend"/>
  </r>
  <r>
    <s v="ORD-01557"/>
    <s v="CUST0173"/>
    <x v="0"/>
    <x v="0"/>
    <n v="65"/>
    <x v="1"/>
    <x v="2"/>
    <x v="0"/>
    <n v="184500"/>
    <n v="4"/>
    <n v="738000"/>
    <x v="595"/>
    <s v="Tuesday"/>
    <s v="Weekday"/>
  </r>
  <r>
    <s v="ORD-01558"/>
    <s v="CUST0127"/>
    <x v="0"/>
    <x v="6"/>
    <n v="62"/>
    <x v="3"/>
    <x v="4"/>
    <x v="1"/>
    <n v="6150"/>
    <n v="5"/>
    <n v="30750"/>
    <x v="631"/>
    <s v="Thursday"/>
    <s v="Weekday"/>
  </r>
  <r>
    <s v="ORD-01559"/>
    <s v="CUST0207"/>
    <x v="0"/>
    <x v="5"/>
    <n v="54"/>
    <x v="0"/>
    <x v="4"/>
    <x v="1"/>
    <n v="6150"/>
    <n v="5"/>
    <n v="30750"/>
    <x v="587"/>
    <s v="Friday"/>
    <s v="Weekend"/>
  </r>
  <r>
    <s v="ORD-01560"/>
    <s v="CUST0167"/>
    <x v="2"/>
    <x v="7"/>
    <n v="67"/>
    <x v="1"/>
    <x v="3"/>
    <x v="2"/>
    <n v="24600"/>
    <n v="2"/>
    <n v="49200"/>
    <x v="521"/>
    <s v="Sunday"/>
    <s v="Weekday"/>
  </r>
  <r>
    <s v="ORD-01561"/>
    <s v="CUST0101"/>
    <x v="1"/>
    <x v="1"/>
    <n v="53"/>
    <x v="3"/>
    <x v="1"/>
    <x v="1"/>
    <n v="12300"/>
    <n v="3"/>
    <n v="36900"/>
    <x v="432"/>
    <s v="Wednesday"/>
    <s v="Weekday"/>
  </r>
  <r>
    <s v="ORD-01562"/>
    <s v="CUST0050"/>
    <x v="2"/>
    <x v="1"/>
    <n v="40"/>
    <x v="0"/>
    <x v="4"/>
    <x v="1"/>
    <n v="6150"/>
    <n v="4"/>
    <n v="24600"/>
    <x v="554"/>
    <s v="Tuesday"/>
    <s v="Weekday"/>
  </r>
  <r>
    <s v="ORD-01563"/>
    <s v="CUST0017"/>
    <x v="1"/>
    <x v="0"/>
    <n v="36"/>
    <x v="0"/>
    <x v="2"/>
    <x v="0"/>
    <n v="184500"/>
    <n v="2"/>
    <n v="369000"/>
    <x v="590"/>
    <s v="Saturday"/>
    <s v="Weekend"/>
  </r>
  <r>
    <s v="ORD-01564"/>
    <s v="CUST0041"/>
    <x v="0"/>
    <x v="0"/>
    <n v="64"/>
    <x v="0"/>
    <x v="6"/>
    <x v="0"/>
    <n v="98400"/>
    <n v="5"/>
    <n v="492000"/>
    <x v="382"/>
    <s v="Friday"/>
    <s v="Weekend"/>
  </r>
  <r>
    <s v="ORD-01565"/>
    <s v="CUST0070"/>
    <x v="0"/>
    <x v="3"/>
    <n v="23"/>
    <x v="2"/>
    <x v="6"/>
    <x v="0"/>
    <n v="98400"/>
    <n v="5"/>
    <n v="492000"/>
    <x v="387"/>
    <s v="Monday"/>
    <s v="Weekday"/>
  </r>
  <r>
    <s v="ORD-01566"/>
    <s v="CUST0114"/>
    <x v="0"/>
    <x v="0"/>
    <n v="60"/>
    <x v="2"/>
    <x v="5"/>
    <x v="1"/>
    <n v="3690"/>
    <n v="2"/>
    <n v="7380"/>
    <x v="472"/>
    <s v="Tuesday"/>
    <s v="Weekday"/>
  </r>
  <r>
    <s v="ORD-01567"/>
    <s v="CUST0295"/>
    <x v="2"/>
    <x v="0"/>
    <n v="26"/>
    <x v="2"/>
    <x v="0"/>
    <x v="0"/>
    <n v="36900"/>
    <n v="1"/>
    <n v="36900"/>
    <x v="559"/>
    <s v="Sunday"/>
    <s v="Weekday"/>
  </r>
  <r>
    <s v="ORD-01568"/>
    <s v="CUST0109"/>
    <x v="0"/>
    <x v="0"/>
    <n v="57"/>
    <x v="1"/>
    <x v="2"/>
    <x v="0"/>
    <n v="184500"/>
    <n v="3"/>
    <n v="553500"/>
    <x v="569"/>
    <s v="Wednesday"/>
    <s v="Weekday"/>
  </r>
  <r>
    <s v="ORD-01569"/>
    <s v="CUST0042"/>
    <x v="1"/>
    <x v="1"/>
    <n v="57"/>
    <x v="3"/>
    <x v="0"/>
    <x v="0"/>
    <n v="36900"/>
    <n v="2"/>
    <n v="73800"/>
    <x v="608"/>
    <s v="Sunday"/>
    <s v="Weekday"/>
  </r>
  <r>
    <s v="ORD-01570"/>
    <s v="CUST0032"/>
    <x v="0"/>
    <x v="4"/>
    <n v="63"/>
    <x v="1"/>
    <x v="3"/>
    <x v="2"/>
    <n v="24600"/>
    <n v="5"/>
    <n v="123000"/>
    <x v="564"/>
    <s v="Wednesday"/>
    <s v="Weekday"/>
  </r>
  <r>
    <s v="ORD-01571"/>
    <s v="CUST0220"/>
    <x v="0"/>
    <x v="1"/>
    <n v="67"/>
    <x v="1"/>
    <x v="6"/>
    <x v="0"/>
    <n v="98400"/>
    <n v="3"/>
    <n v="295200"/>
    <x v="374"/>
    <s v="Wednesday"/>
    <s v="Weekday"/>
  </r>
  <r>
    <s v="ORD-01572"/>
    <s v="CUST0243"/>
    <x v="2"/>
    <x v="3"/>
    <n v="58"/>
    <x v="0"/>
    <x v="2"/>
    <x v="0"/>
    <n v="184500"/>
    <n v="4"/>
    <n v="738000"/>
    <x v="614"/>
    <s v="Tuesday"/>
    <s v="Weekday"/>
  </r>
  <r>
    <s v="ORD-01573"/>
    <s v="CUST0198"/>
    <x v="0"/>
    <x v="0"/>
    <n v="56"/>
    <x v="0"/>
    <x v="5"/>
    <x v="1"/>
    <n v="3690"/>
    <n v="2"/>
    <n v="7380"/>
    <x v="375"/>
    <s v="Wednesday"/>
    <s v="Weekday"/>
  </r>
  <r>
    <s v="ORD-01574"/>
    <s v="CUST0124"/>
    <x v="1"/>
    <x v="4"/>
    <n v="53"/>
    <x v="1"/>
    <x v="6"/>
    <x v="0"/>
    <n v="98400"/>
    <n v="2"/>
    <n v="196800"/>
    <x v="448"/>
    <s v="Friday"/>
    <s v="Weekend"/>
  </r>
  <r>
    <s v="ORD-01575"/>
    <s v="CUST0217"/>
    <x v="0"/>
    <x v="0"/>
    <n v="18"/>
    <x v="3"/>
    <x v="5"/>
    <x v="1"/>
    <n v="3690"/>
    <n v="4"/>
    <n v="14760"/>
    <x v="425"/>
    <s v="Monday"/>
    <s v="Weekday"/>
  </r>
  <r>
    <s v="ORD-01576"/>
    <s v="CUST0032"/>
    <x v="0"/>
    <x v="4"/>
    <n v="63"/>
    <x v="2"/>
    <x v="4"/>
    <x v="1"/>
    <n v="6150"/>
    <n v="1"/>
    <n v="6150"/>
    <x v="470"/>
    <s v="Wednesday"/>
    <s v="Weekday"/>
  </r>
  <r>
    <s v="ORD-01577"/>
    <s v="CUST0077"/>
    <x v="0"/>
    <x v="1"/>
    <n v="50"/>
    <x v="1"/>
    <x v="3"/>
    <x v="2"/>
    <n v="24600"/>
    <n v="4"/>
    <n v="98400"/>
    <x v="563"/>
    <s v="Friday"/>
    <s v="Weekend"/>
  </r>
  <r>
    <s v="ORD-01578"/>
    <s v="CUST0042"/>
    <x v="1"/>
    <x v="1"/>
    <n v="57"/>
    <x v="1"/>
    <x v="0"/>
    <x v="0"/>
    <n v="36900"/>
    <n v="3"/>
    <n v="110700"/>
    <x v="455"/>
    <s v="Tuesday"/>
    <s v="Weekday"/>
  </r>
  <r>
    <s v="ORD-01579"/>
    <s v="CUST0135"/>
    <x v="0"/>
    <x v="6"/>
    <n v="41"/>
    <x v="3"/>
    <x v="6"/>
    <x v="0"/>
    <n v="98400"/>
    <n v="5"/>
    <n v="492000"/>
    <x v="499"/>
    <s v="Monday"/>
    <s v="Weekday"/>
  </r>
  <r>
    <s v="ORD-01580"/>
    <s v="CUST0055"/>
    <x v="1"/>
    <x v="1"/>
    <n v="45"/>
    <x v="3"/>
    <x v="4"/>
    <x v="1"/>
    <n v="6150"/>
    <n v="5"/>
    <n v="30750"/>
    <x v="577"/>
    <s v="Sunday"/>
    <s v="Weekday"/>
  </r>
  <r>
    <s v="ORD-01581"/>
    <s v="CUST0098"/>
    <x v="1"/>
    <x v="0"/>
    <n v="57"/>
    <x v="1"/>
    <x v="5"/>
    <x v="1"/>
    <n v="3690"/>
    <n v="2"/>
    <n v="7380"/>
    <x v="384"/>
    <s v="Friday"/>
    <s v="Weekend"/>
  </r>
  <r>
    <s v="ORD-01582"/>
    <s v="CUST0010"/>
    <x v="2"/>
    <x v="2"/>
    <n v="37"/>
    <x v="0"/>
    <x v="1"/>
    <x v="1"/>
    <n v="12300"/>
    <n v="5"/>
    <n v="61500"/>
    <x v="629"/>
    <s v="Friday"/>
    <s v="Weekend"/>
  </r>
  <r>
    <s v="ORD-01583"/>
    <s v="CUST0147"/>
    <x v="0"/>
    <x v="1"/>
    <n v="64"/>
    <x v="0"/>
    <x v="5"/>
    <x v="1"/>
    <n v="3690"/>
    <n v="2"/>
    <n v="7380"/>
    <x v="396"/>
    <s v="Wednesday"/>
    <s v="Weekday"/>
  </r>
  <r>
    <s v="ORD-01584"/>
    <s v="CUST0185"/>
    <x v="1"/>
    <x v="1"/>
    <n v="29"/>
    <x v="1"/>
    <x v="6"/>
    <x v="0"/>
    <n v="98400"/>
    <n v="2"/>
    <n v="196800"/>
    <x v="358"/>
    <s v="Thursday"/>
    <s v="Weekday"/>
  </r>
  <r>
    <s v="ORD-01585"/>
    <s v="CUST0141"/>
    <x v="2"/>
    <x v="0"/>
    <n v="58"/>
    <x v="0"/>
    <x v="2"/>
    <x v="0"/>
    <n v="184500"/>
    <n v="3"/>
    <n v="553500"/>
    <x v="413"/>
    <s v="Sunday"/>
    <s v="Weekday"/>
  </r>
  <r>
    <s v="ORD-01586"/>
    <s v="CUST0162"/>
    <x v="0"/>
    <x v="3"/>
    <n v="69"/>
    <x v="3"/>
    <x v="3"/>
    <x v="2"/>
    <n v="24600"/>
    <n v="2"/>
    <n v="49200"/>
    <x v="632"/>
    <s v="Monday"/>
    <s v="Weekday"/>
  </r>
  <r>
    <s v="ORD-01587"/>
    <s v="CUST0025"/>
    <x v="1"/>
    <x v="0"/>
    <n v="56"/>
    <x v="2"/>
    <x v="0"/>
    <x v="0"/>
    <n v="36900"/>
    <n v="4"/>
    <n v="147600"/>
    <x v="516"/>
    <s v="Tuesday"/>
    <s v="Weekday"/>
  </r>
  <r>
    <s v="ORD-01588"/>
    <s v="CUST0201"/>
    <x v="1"/>
    <x v="1"/>
    <n v="49"/>
    <x v="3"/>
    <x v="0"/>
    <x v="0"/>
    <n v="36900"/>
    <n v="4"/>
    <n v="147600"/>
    <x v="461"/>
    <s v="Friday"/>
    <s v="Weekend"/>
  </r>
  <r>
    <s v="ORD-01589"/>
    <s v="CUST0268"/>
    <x v="0"/>
    <x v="0"/>
    <n v="21"/>
    <x v="2"/>
    <x v="6"/>
    <x v="0"/>
    <n v="98400"/>
    <n v="1"/>
    <n v="98400"/>
    <x v="541"/>
    <s v="Sunday"/>
    <s v="Weekday"/>
  </r>
  <r>
    <s v="ORD-01590"/>
    <s v="CUST0194"/>
    <x v="1"/>
    <x v="7"/>
    <n v="61"/>
    <x v="1"/>
    <x v="4"/>
    <x v="1"/>
    <n v="6150"/>
    <n v="5"/>
    <n v="30750"/>
    <x v="481"/>
    <s v="Friday"/>
    <s v="Weekend"/>
  </r>
  <r>
    <s v="ORD-01591"/>
    <s v="CUST0071"/>
    <x v="2"/>
    <x v="0"/>
    <n v="46"/>
    <x v="1"/>
    <x v="2"/>
    <x v="0"/>
    <n v="184500"/>
    <n v="1"/>
    <n v="184500"/>
    <x v="388"/>
    <s v="Sunday"/>
    <s v="Weekday"/>
  </r>
  <r>
    <s v="ORD-01592"/>
    <s v="CUST0166"/>
    <x v="1"/>
    <x v="1"/>
    <n v="29"/>
    <x v="2"/>
    <x v="6"/>
    <x v="0"/>
    <n v="98400"/>
    <n v="5"/>
    <n v="492000"/>
    <x v="499"/>
    <s v="Monday"/>
    <s v="Weekday"/>
  </r>
  <r>
    <s v="ORD-01593"/>
    <s v="CUST0144"/>
    <x v="1"/>
    <x v="0"/>
    <n v="54"/>
    <x v="0"/>
    <x v="5"/>
    <x v="1"/>
    <n v="3690"/>
    <n v="4"/>
    <n v="14760"/>
    <x v="362"/>
    <s v="Monday"/>
    <s v="Weekday"/>
  </r>
  <r>
    <s v="ORD-01594"/>
    <s v="CUST0026"/>
    <x v="2"/>
    <x v="5"/>
    <n v="27"/>
    <x v="1"/>
    <x v="0"/>
    <x v="0"/>
    <n v="36900"/>
    <n v="3"/>
    <n v="110700"/>
    <x v="370"/>
    <s v="Thursday"/>
    <s v="Weekday"/>
  </r>
  <r>
    <s v="ORD-01595"/>
    <s v="CUST0095"/>
    <x v="1"/>
    <x v="0"/>
    <n v="60"/>
    <x v="2"/>
    <x v="4"/>
    <x v="1"/>
    <n v="6150"/>
    <n v="5"/>
    <n v="30750"/>
    <x v="591"/>
    <s v="Monday"/>
    <s v="Weekday"/>
  </r>
  <r>
    <s v="ORD-01596"/>
    <s v="CUST0228"/>
    <x v="0"/>
    <x v="1"/>
    <n v="25"/>
    <x v="0"/>
    <x v="3"/>
    <x v="2"/>
    <n v="24600"/>
    <n v="2"/>
    <n v="49200"/>
    <x v="386"/>
    <s v="Wednesday"/>
    <s v="Weekday"/>
  </r>
  <r>
    <s v="ORD-01597"/>
    <s v="CUST0018"/>
    <x v="1"/>
    <x v="2"/>
    <n v="38"/>
    <x v="2"/>
    <x v="0"/>
    <x v="0"/>
    <n v="36900"/>
    <n v="3"/>
    <n v="110700"/>
    <x v="509"/>
    <s v="Saturday"/>
    <s v="Weekend"/>
  </r>
  <r>
    <s v="ORD-01598"/>
    <s v="CUST0067"/>
    <x v="1"/>
    <x v="7"/>
    <n v="19"/>
    <x v="1"/>
    <x v="1"/>
    <x v="1"/>
    <n v="12300"/>
    <n v="4"/>
    <n v="49200"/>
    <x v="592"/>
    <s v="Monday"/>
    <s v="Weekday"/>
  </r>
  <r>
    <s v="ORD-01599"/>
    <s v="CUST0055"/>
    <x v="1"/>
    <x v="1"/>
    <n v="45"/>
    <x v="1"/>
    <x v="0"/>
    <x v="0"/>
    <n v="36900"/>
    <n v="4"/>
    <n v="147600"/>
    <x v="633"/>
    <s v="Friday"/>
    <s v="Weekend"/>
  </r>
  <r>
    <s v="ORD-01600"/>
    <s v="CUST0045"/>
    <x v="2"/>
    <x v="2"/>
    <n v="21"/>
    <x v="3"/>
    <x v="6"/>
    <x v="0"/>
    <n v="98400"/>
    <n v="4"/>
    <n v="393600"/>
    <x v="382"/>
    <s v="Friday"/>
    <s v="Weekend"/>
  </r>
  <r>
    <s v="ORD-01601"/>
    <s v="CUST0271"/>
    <x v="0"/>
    <x v="0"/>
    <n v="46"/>
    <x v="2"/>
    <x v="1"/>
    <x v="1"/>
    <n v="12300"/>
    <n v="4"/>
    <n v="49200"/>
    <x v="449"/>
    <s v="Monday"/>
    <s v="Weekday"/>
  </r>
  <r>
    <s v="ORD-01602"/>
    <s v="CUST0265"/>
    <x v="2"/>
    <x v="0"/>
    <n v="38"/>
    <x v="0"/>
    <x v="3"/>
    <x v="2"/>
    <n v="24600"/>
    <n v="5"/>
    <n v="123000"/>
    <x v="634"/>
    <s v="Monday"/>
    <s v="Weekday"/>
  </r>
  <r>
    <s v="ORD-01603"/>
    <s v="CUST0203"/>
    <x v="1"/>
    <x v="0"/>
    <n v="33"/>
    <x v="1"/>
    <x v="5"/>
    <x v="1"/>
    <n v="3690"/>
    <n v="5"/>
    <n v="18450"/>
    <x v="524"/>
    <s v="Thursday"/>
    <s v="Weekday"/>
  </r>
  <r>
    <s v="ORD-01604"/>
    <s v="CUST0031"/>
    <x v="0"/>
    <x v="1"/>
    <n v="67"/>
    <x v="3"/>
    <x v="5"/>
    <x v="1"/>
    <n v="3690"/>
    <n v="5"/>
    <n v="18450"/>
    <x v="437"/>
    <s v="Tuesday"/>
    <s v="Weekday"/>
  </r>
  <r>
    <s v="ORD-01605"/>
    <s v="CUST0085"/>
    <x v="0"/>
    <x v="1"/>
    <n v="18"/>
    <x v="3"/>
    <x v="3"/>
    <x v="2"/>
    <n v="24600"/>
    <n v="5"/>
    <n v="123000"/>
    <x v="536"/>
    <s v="Monday"/>
    <s v="Weekday"/>
  </r>
  <r>
    <s v="ORD-01606"/>
    <s v="CUST0156"/>
    <x v="2"/>
    <x v="2"/>
    <n v="57"/>
    <x v="0"/>
    <x v="3"/>
    <x v="2"/>
    <n v="24600"/>
    <n v="3"/>
    <n v="73800"/>
    <x v="398"/>
    <s v="Friday"/>
    <s v="Weekend"/>
  </r>
  <r>
    <s v="ORD-01607"/>
    <s v="CUST0245"/>
    <x v="0"/>
    <x v="2"/>
    <n v="63"/>
    <x v="1"/>
    <x v="1"/>
    <x v="1"/>
    <n v="12300"/>
    <n v="4"/>
    <n v="49200"/>
    <x v="635"/>
    <s v="Saturday"/>
    <s v="Weekend"/>
  </r>
  <r>
    <s v="ORD-01608"/>
    <s v="CUST0100"/>
    <x v="0"/>
    <x v="0"/>
    <n v="29"/>
    <x v="3"/>
    <x v="6"/>
    <x v="0"/>
    <n v="98400"/>
    <n v="5"/>
    <n v="492000"/>
    <x v="636"/>
    <s v="Saturday"/>
    <s v="Weekend"/>
  </r>
  <r>
    <s v="ORD-01609"/>
    <s v="CUST0265"/>
    <x v="2"/>
    <x v="0"/>
    <n v="38"/>
    <x v="0"/>
    <x v="5"/>
    <x v="1"/>
    <n v="3690"/>
    <n v="2"/>
    <n v="7380"/>
    <x v="343"/>
    <s v="Friday"/>
    <s v="Weekend"/>
  </r>
  <r>
    <s v="ORD-01610"/>
    <s v="CUST0109"/>
    <x v="0"/>
    <x v="0"/>
    <n v="57"/>
    <x v="0"/>
    <x v="5"/>
    <x v="1"/>
    <n v="3690"/>
    <n v="3"/>
    <n v="11070"/>
    <x v="592"/>
    <s v="Monday"/>
    <s v="Weekday"/>
  </r>
  <r>
    <s v="ORD-01611"/>
    <s v="CUST0163"/>
    <x v="1"/>
    <x v="0"/>
    <n v="22"/>
    <x v="2"/>
    <x v="4"/>
    <x v="1"/>
    <n v="6150"/>
    <n v="5"/>
    <n v="30750"/>
    <x v="619"/>
    <s v="Tuesday"/>
    <s v="Weekday"/>
  </r>
  <r>
    <s v="ORD-01612"/>
    <s v="CUST0218"/>
    <x v="0"/>
    <x v="2"/>
    <n v="36"/>
    <x v="2"/>
    <x v="6"/>
    <x v="0"/>
    <n v="98400"/>
    <n v="3"/>
    <n v="295200"/>
    <x v="530"/>
    <s v="Friday"/>
    <s v="Weekend"/>
  </r>
  <r>
    <s v="ORD-01613"/>
    <s v="CUST0262"/>
    <x v="0"/>
    <x v="3"/>
    <n v="27"/>
    <x v="1"/>
    <x v="4"/>
    <x v="1"/>
    <n v="6150"/>
    <n v="1"/>
    <n v="6150"/>
    <x v="556"/>
    <s v="Sunday"/>
    <s v="Weekday"/>
  </r>
  <r>
    <s v="ORD-01614"/>
    <s v="CUST0038"/>
    <x v="0"/>
    <x v="0"/>
    <n v="57"/>
    <x v="3"/>
    <x v="1"/>
    <x v="1"/>
    <n v="12300"/>
    <n v="3"/>
    <n v="36900"/>
    <x v="637"/>
    <s v="Wednesday"/>
    <s v="Weekday"/>
  </r>
  <r>
    <s v="ORD-01615"/>
    <s v="CUST0216"/>
    <x v="0"/>
    <x v="3"/>
    <n v="53"/>
    <x v="3"/>
    <x v="1"/>
    <x v="1"/>
    <n v="12300"/>
    <n v="1"/>
    <n v="12300"/>
    <x v="638"/>
    <s v="Wednesday"/>
    <s v="Weekday"/>
  </r>
  <r>
    <s v="ORD-01616"/>
    <s v="CUST0287"/>
    <x v="1"/>
    <x v="0"/>
    <n v="60"/>
    <x v="2"/>
    <x v="0"/>
    <x v="0"/>
    <n v="36900"/>
    <n v="3"/>
    <n v="110700"/>
    <x v="440"/>
    <s v="Friday"/>
    <s v="Weekend"/>
  </r>
  <r>
    <s v="ORD-01617"/>
    <s v="CUST0040"/>
    <x v="2"/>
    <x v="7"/>
    <n v="29"/>
    <x v="1"/>
    <x v="6"/>
    <x v="0"/>
    <n v="98400"/>
    <n v="2"/>
    <n v="196800"/>
    <x v="354"/>
    <s v="Friday"/>
    <s v="Weekend"/>
  </r>
  <r>
    <s v="ORD-01618"/>
    <s v="CUST0044"/>
    <x v="0"/>
    <x v="0"/>
    <n v="30"/>
    <x v="3"/>
    <x v="4"/>
    <x v="1"/>
    <n v="6150"/>
    <n v="3"/>
    <n v="18450"/>
    <x v="554"/>
    <s v="Tuesday"/>
    <s v="Weekday"/>
  </r>
  <r>
    <s v="ORD-01619"/>
    <s v="CUST0047"/>
    <x v="1"/>
    <x v="1"/>
    <n v="41"/>
    <x v="0"/>
    <x v="3"/>
    <x v="2"/>
    <n v="24600"/>
    <n v="4"/>
    <n v="98400"/>
    <x v="360"/>
    <s v="Wednesday"/>
    <s v="Weekday"/>
  </r>
  <r>
    <s v="ORD-01620"/>
    <s v="CUST0234"/>
    <x v="2"/>
    <x v="5"/>
    <n v="44"/>
    <x v="0"/>
    <x v="0"/>
    <x v="0"/>
    <n v="36900"/>
    <n v="1"/>
    <n v="36900"/>
    <x v="367"/>
    <s v="Wednesday"/>
    <s v="Weekday"/>
  </r>
  <r>
    <s v="ORD-01621"/>
    <s v="CUST0005"/>
    <x v="1"/>
    <x v="4"/>
    <n v="56"/>
    <x v="0"/>
    <x v="6"/>
    <x v="0"/>
    <n v="98400"/>
    <n v="2"/>
    <n v="196800"/>
    <x v="455"/>
    <s v="Tuesday"/>
    <s v="Weekday"/>
  </r>
  <r>
    <s v="ORD-01622"/>
    <s v="CUST0148"/>
    <x v="0"/>
    <x v="7"/>
    <n v="67"/>
    <x v="0"/>
    <x v="6"/>
    <x v="0"/>
    <n v="98400"/>
    <n v="5"/>
    <n v="492000"/>
    <x v="562"/>
    <s v="Saturday"/>
    <s v="Weekend"/>
  </r>
  <r>
    <s v="ORD-01623"/>
    <s v="CUST0008"/>
    <x v="1"/>
    <x v="6"/>
    <n v="18"/>
    <x v="2"/>
    <x v="1"/>
    <x v="1"/>
    <n v="12300"/>
    <n v="5"/>
    <n v="61500"/>
    <x v="518"/>
    <s v="Wednesday"/>
    <s v="Weekday"/>
  </r>
  <r>
    <s v="ORD-01624"/>
    <s v="CUST0226"/>
    <x v="0"/>
    <x v="5"/>
    <n v="43"/>
    <x v="1"/>
    <x v="4"/>
    <x v="1"/>
    <n v="6150"/>
    <n v="3"/>
    <n v="18450"/>
    <x v="581"/>
    <s v="Thursday"/>
    <s v="Weekday"/>
  </r>
  <r>
    <s v="ORD-01625"/>
    <s v="CUST0056"/>
    <x v="1"/>
    <x v="2"/>
    <n v="23"/>
    <x v="0"/>
    <x v="0"/>
    <x v="0"/>
    <n v="36900"/>
    <n v="3"/>
    <n v="110700"/>
    <x v="556"/>
    <s v="Sunday"/>
    <s v="Weekday"/>
  </r>
  <r>
    <s v="ORD-01626"/>
    <s v="CUST0091"/>
    <x v="2"/>
    <x v="2"/>
    <n v="30"/>
    <x v="0"/>
    <x v="2"/>
    <x v="0"/>
    <n v="184500"/>
    <n v="5"/>
    <n v="922500"/>
    <x v="377"/>
    <s v="Saturday"/>
    <s v="Weekend"/>
  </r>
  <r>
    <s v="ORD-01627"/>
    <s v="CUST0094"/>
    <x v="0"/>
    <x v="7"/>
    <n v="30"/>
    <x v="3"/>
    <x v="3"/>
    <x v="2"/>
    <n v="24600"/>
    <n v="5"/>
    <n v="123000"/>
    <x v="366"/>
    <s v="Monday"/>
    <s v="Weekday"/>
  </r>
  <r>
    <s v="ORD-01628"/>
    <s v="CUST0263"/>
    <x v="1"/>
    <x v="0"/>
    <n v="40"/>
    <x v="2"/>
    <x v="4"/>
    <x v="1"/>
    <n v="6150"/>
    <n v="2"/>
    <n v="12300"/>
    <x v="564"/>
    <s v="Wednesday"/>
    <s v="Weekday"/>
  </r>
  <r>
    <s v="ORD-01629"/>
    <s v="CUST0271"/>
    <x v="0"/>
    <x v="0"/>
    <n v="46"/>
    <x v="3"/>
    <x v="1"/>
    <x v="1"/>
    <n v="12300"/>
    <n v="4"/>
    <n v="49200"/>
    <x v="639"/>
    <s v="Saturday"/>
    <s v="Weekend"/>
  </r>
  <r>
    <s v="ORD-01630"/>
    <s v="CUST0300"/>
    <x v="2"/>
    <x v="0"/>
    <n v="66"/>
    <x v="3"/>
    <x v="1"/>
    <x v="1"/>
    <n v="12300"/>
    <n v="2"/>
    <n v="24600"/>
    <x v="438"/>
    <s v="Monday"/>
    <s v="Weekday"/>
  </r>
  <r>
    <s v="ORD-01631"/>
    <s v="CUST0204"/>
    <x v="0"/>
    <x v="1"/>
    <n v="54"/>
    <x v="3"/>
    <x v="1"/>
    <x v="1"/>
    <n v="12300"/>
    <n v="5"/>
    <n v="61500"/>
    <x v="640"/>
    <s v="Friday"/>
    <s v="Weekend"/>
  </r>
  <r>
    <s v="ORD-01632"/>
    <s v="CUST0173"/>
    <x v="0"/>
    <x v="0"/>
    <n v="65"/>
    <x v="0"/>
    <x v="0"/>
    <x v="0"/>
    <n v="36900"/>
    <n v="3"/>
    <n v="110700"/>
    <x v="422"/>
    <s v="Tuesday"/>
    <s v="Weekday"/>
  </r>
  <r>
    <s v="ORD-01633"/>
    <s v="CUST0202"/>
    <x v="0"/>
    <x v="2"/>
    <n v="56"/>
    <x v="1"/>
    <x v="0"/>
    <x v="0"/>
    <n v="36900"/>
    <n v="3"/>
    <n v="110700"/>
    <x v="475"/>
    <s v="Tuesday"/>
    <s v="Weekday"/>
  </r>
  <r>
    <s v="ORD-01634"/>
    <s v="CUST0114"/>
    <x v="0"/>
    <x v="0"/>
    <n v="60"/>
    <x v="2"/>
    <x v="4"/>
    <x v="1"/>
    <n v="6150"/>
    <n v="3"/>
    <n v="18450"/>
    <x v="641"/>
    <s v="Monday"/>
    <s v="Weekday"/>
  </r>
  <r>
    <s v="ORD-01635"/>
    <s v="CUST0161"/>
    <x v="0"/>
    <x v="5"/>
    <n v="62"/>
    <x v="0"/>
    <x v="4"/>
    <x v="1"/>
    <n v="6150"/>
    <n v="5"/>
    <n v="30750"/>
    <x v="637"/>
    <s v="Wednesday"/>
    <s v="Weekday"/>
  </r>
  <r>
    <s v="ORD-01636"/>
    <s v="CUST0137"/>
    <x v="1"/>
    <x v="2"/>
    <n v="19"/>
    <x v="2"/>
    <x v="2"/>
    <x v="0"/>
    <n v="184500"/>
    <n v="5"/>
    <n v="922500"/>
    <x v="642"/>
    <s v="Sunday"/>
    <s v="Weekday"/>
  </r>
  <r>
    <s v="ORD-01637"/>
    <s v="CUST0104"/>
    <x v="0"/>
    <x v="1"/>
    <n v="40"/>
    <x v="0"/>
    <x v="4"/>
    <x v="1"/>
    <n v="6150"/>
    <n v="1"/>
    <n v="6150"/>
    <x v="588"/>
    <s v="Thursday"/>
    <s v="Weekday"/>
  </r>
  <r>
    <s v="ORD-01638"/>
    <s v="CUST0155"/>
    <x v="2"/>
    <x v="1"/>
    <n v="41"/>
    <x v="1"/>
    <x v="6"/>
    <x v="0"/>
    <n v="98400"/>
    <n v="4"/>
    <n v="393600"/>
    <x v="464"/>
    <s v="Monday"/>
    <s v="Weekday"/>
  </r>
  <r>
    <s v="ORD-01639"/>
    <s v="CUST0011"/>
    <x v="2"/>
    <x v="0"/>
    <n v="54"/>
    <x v="1"/>
    <x v="5"/>
    <x v="1"/>
    <n v="3690"/>
    <n v="1"/>
    <n v="3690"/>
    <x v="397"/>
    <s v="Friday"/>
    <s v="Weekend"/>
  </r>
  <r>
    <s v="ORD-01640"/>
    <s v="CUST0294"/>
    <x v="1"/>
    <x v="7"/>
    <n v="49"/>
    <x v="2"/>
    <x v="5"/>
    <x v="1"/>
    <n v="3690"/>
    <n v="3"/>
    <n v="11070"/>
    <x v="643"/>
    <s v="Tuesday"/>
    <s v="Weekday"/>
  </r>
  <r>
    <s v="ORD-01641"/>
    <s v="CUST0163"/>
    <x v="1"/>
    <x v="0"/>
    <n v="22"/>
    <x v="3"/>
    <x v="6"/>
    <x v="0"/>
    <n v="98400"/>
    <n v="3"/>
    <n v="295200"/>
    <x v="555"/>
    <s v="Saturday"/>
    <s v="Weekend"/>
  </r>
  <r>
    <s v="ORD-01642"/>
    <s v="CUST0069"/>
    <x v="2"/>
    <x v="1"/>
    <n v="66"/>
    <x v="0"/>
    <x v="2"/>
    <x v="0"/>
    <n v="184500"/>
    <n v="4"/>
    <n v="738000"/>
    <x v="566"/>
    <s v="Sunday"/>
    <s v="Weekday"/>
  </r>
  <r>
    <s v="ORD-01643"/>
    <s v="CUST0098"/>
    <x v="1"/>
    <x v="0"/>
    <n v="57"/>
    <x v="2"/>
    <x v="2"/>
    <x v="0"/>
    <n v="184500"/>
    <n v="1"/>
    <n v="184500"/>
    <x v="464"/>
    <s v="Monday"/>
    <s v="Weekday"/>
  </r>
  <r>
    <s v="ORD-01644"/>
    <s v="CUST0002"/>
    <x v="0"/>
    <x v="2"/>
    <n v="23"/>
    <x v="3"/>
    <x v="5"/>
    <x v="1"/>
    <n v="3690"/>
    <n v="5"/>
    <n v="18450"/>
    <x v="492"/>
    <s v="Tuesday"/>
    <s v="Weekday"/>
  </r>
  <r>
    <s v="ORD-01645"/>
    <s v="CUST0042"/>
    <x v="1"/>
    <x v="1"/>
    <n v="57"/>
    <x v="1"/>
    <x v="5"/>
    <x v="1"/>
    <n v="3690"/>
    <n v="1"/>
    <n v="3690"/>
    <x v="524"/>
    <s v="Thursday"/>
    <s v="Weekday"/>
  </r>
  <r>
    <s v="ORD-01646"/>
    <s v="CUST0109"/>
    <x v="0"/>
    <x v="0"/>
    <n v="57"/>
    <x v="0"/>
    <x v="6"/>
    <x v="0"/>
    <n v="98400"/>
    <n v="3"/>
    <n v="295200"/>
    <x v="363"/>
    <s v="Tuesday"/>
    <s v="Weekday"/>
  </r>
  <r>
    <s v="ORD-01647"/>
    <s v="CUST0164"/>
    <x v="0"/>
    <x v="2"/>
    <n v="50"/>
    <x v="1"/>
    <x v="3"/>
    <x v="2"/>
    <n v="24600"/>
    <n v="4"/>
    <n v="98400"/>
    <x v="312"/>
    <s v="Monday"/>
    <s v="Weekday"/>
  </r>
  <r>
    <s v="ORD-01648"/>
    <s v="CUST0019"/>
    <x v="0"/>
    <x v="0"/>
    <n v="69"/>
    <x v="0"/>
    <x v="4"/>
    <x v="1"/>
    <n v="6150"/>
    <n v="2"/>
    <n v="12300"/>
    <x v="400"/>
    <s v="Thursday"/>
    <s v="Weekday"/>
  </r>
  <r>
    <s v="ORD-01649"/>
    <s v="CUST0090"/>
    <x v="0"/>
    <x v="0"/>
    <n v="61"/>
    <x v="3"/>
    <x v="2"/>
    <x v="0"/>
    <n v="184500"/>
    <n v="2"/>
    <n v="369000"/>
    <x v="541"/>
    <s v="Sunday"/>
    <s v="Weekday"/>
  </r>
  <r>
    <s v="ORD-01650"/>
    <s v="CUST0161"/>
    <x v="0"/>
    <x v="5"/>
    <n v="62"/>
    <x v="0"/>
    <x v="0"/>
    <x v="0"/>
    <n v="36900"/>
    <n v="5"/>
    <n v="184500"/>
    <x v="601"/>
    <s v="Thursday"/>
    <s v="Weekday"/>
  </r>
  <r>
    <s v="ORD-01651"/>
    <s v="CUST0007"/>
    <x v="1"/>
    <x v="5"/>
    <n v="52"/>
    <x v="3"/>
    <x v="0"/>
    <x v="0"/>
    <n v="36900"/>
    <n v="5"/>
    <n v="184500"/>
    <x v="461"/>
    <s v="Friday"/>
    <s v="Weekend"/>
  </r>
  <r>
    <s v="ORD-01652"/>
    <s v="CUST0130"/>
    <x v="0"/>
    <x v="0"/>
    <n v="68"/>
    <x v="0"/>
    <x v="2"/>
    <x v="0"/>
    <n v="184500"/>
    <n v="2"/>
    <n v="369000"/>
    <x v="506"/>
    <s v="Friday"/>
    <s v="Weekend"/>
  </r>
  <r>
    <s v="ORD-01653"/>
    <s v="CUST0036"/>
    <x v="2"/>
    <x v="0"/>
    <n v="33"/>
    <x v="2"/>
    <x v="3"/>
    <x v="2"/>
    <n v="24600"/>
    <n v="5"/>
    <n v="123000"/>
    <x v="535"/>
    <s v="Thursday"/>
    <s v="Weekday"/>
  </r>
  <r>
    <s v="ORD-01654"/>
    <s v="CUST0062"/>
    <x v="0"/>
    <x v="3"/>
    <n v="43"/>
    <x v="1"/>
    <x v="1"/>
    <x v="1"/>
    <n v="12300"/>
    <n v="1"/>
    <n v="12300"/>
    <x v="581"/>
    <s v="Thursday"/>
    <s v="Weekday"/>
  </r>
  <r>
    <s v="ORD-01655"/>
    <s v="CUST0190"/>
    <x v="0"/>
    <x v="0"/>
    <n v="28"/>
    <x v="0"/>
    <x v="6"/>
    <x v="0"/>
    <n v="98400"/>
    <n v="5"/>
    <n v="492000"/>
    <x v="445"/>
    <s v="Sunday"/>
    <s v="Weekday"/>
  </r>
  <r>
    <s v="ORD-01656"/>
    <s v="CUST0109"/>
    <x v="0"/>
    <x v="0"/>
    <n v="57"/>
    <x v="0"/>
    <x v="5"/>
    <x v="1"/>
    <n v="3690"/>
    <n v="1"/>
    <n v="3690"/>
    <x v="386"/>
    <s v="Wednesday"/>
    <s v="Weekday"/>
  </r>
  <r>
    <s v="ORD-01657"/>
    <s v="CUST0249"/>
    <x v="0"/>
    <x v="0"/>
    <n v="33"/>
    <x v="1"/>
    <x v="2"/>
    <x v="0"/>
    <n v="184500"/>
    <n v="3"/>
    <n v="553500"/>
    <x v="452"/>
    <s v="Sunday"/>
    <s v="Weekday"/>
  </r>
  <r>
    <s v="ORD-01658"/>
    <s v="CUST0165"/>
    <x v="2"/>
    <x v="0"/>
    <n v="49"/>
    <x v="0"/>
    <x v="2"/>
    <x v="0"/>
    <n v="184500"/>
    <n v="5"/>
    <n v="922500"/>
    <x v="608"/>
    <s v="Sunday"/>
    <s v="Weekday"/>
  </r>
  <r>
    <s v="ORD-01659"/>
    <s v="CUST0145"/>
    <x v="0"/>
    <x v="2"/>
    <n v="51"/>
    <x v="1"/>
    <x v="3"/>
    <x v="2"/>
    <n v="24600"/>
    <n v="3"/>
    <n v="73800"/>
    <x v="573"/>
    <s v="Tuesday"/>
    <s v="Weekday"/>
  </r>
  <r>
    <s v="ORD-01660"/>
    <s v="CUST0091"/>
    <x v="2"/>
    <x v="2"/>
    <n v="30"/>
    <x v="3"/>
    <x v="4"/>
    <x v="1"/>
    <n v="6150"/>
    <n v="5"/>
    <n v="30750"/>
    <x v="414"/>
    <s v="Tuesday"/>
    <s v="Weekday"/>
  </r>
  <r>
    <s v="ORD-01661"/>
    <s v="CUST0290"/>
    <x v="1"/>
    <x v="0"/>
    <n v="37"/>
    <x v="2"/>
    <x v="2"/>
    <x v="0"/>
    <n v="184500"/>
    <n v="3"/>
    <n v="553500"/>
    <x v="94"/>
    <s v="Friday"/>
    <s v="Weekend"/>
  </r>
  <r>
    <s v="ORD-01662"/>
    <s v="CUST0157"/>
    <x v="1"/>
    <x v="0"/>
    <n v="48"/>
    <x v="2"/>
    <x v="3"/>
    <x v="2"/>
    <n v="24600"/>
    <n v="4"/>
    <n v="98400"/>
    <x v="516"/>
    <s v="Tuesday"/>
    <s v="Weekday"/>
  </r>
  <r>
    <s v="ORD-01663"/>
    <s v="CUST0234"/>
    <x v="2"/>
    <x v="5"/>
    <n v="44"/>
    <x v="1"/>
    <x v="0"/>
    <x v="0"/>
    <n v="36900"/>
    <n v="2"/>
    <n v="73800"/>
    <x v="631"/>
    <s v="Thursday"/>
    <s v="Weekday"/>
  </r>
  <r>
    <s v="ORD-01664"/>
    <s v="CUST0270"/>
    <x v="2"/>
    <x v="3"/>
    <n v="64"/>
    <x v="2"/>
    <x v="6"/>
    <x v="0"/>
    <n v="98400"/>
    <n v="2"/>
    <n v="196800"/>
    <x v="604"/>
    <s v="Saturday"/>
    <s v="Weekend"/>
  </r>
  <r>
    <s v="ORD-01665"/>
    <s v="CUST0064"/>
    <x v="0"/>
    <x v="2"/>
    <n v="61"/>
    <x v="1"/>
    <x v="5"/>
    <x v="1"/>
    <n v="3690"/>
    <n v="1"/>
    <n v="3690"/>
    <x v="582"/>
    <s v="Tuesday"/>
    <s v="Weekday"/>
  </r>
  <r>
    <s v="ORD-01666"/>
    <s v="CUST0139"/>
    <x v="0"/>
    <x v="1"/>
    <n v="57"/>
    <x v="2"/>
    <x v="6"/>
    <x v="0"/>
    <n v="98400"/>
    <n v="5"/>
    <n v="492000"/>
    <x v="530"/>
    <s v="Friday"/>
    <s v="Weekend"/>
  </r>
  <r>
    <s v="ORD-01667"/>
    <s v="CUST0036"/>
    <x v="2"/>
    <x v="0"/>
    <n v="33"/>
    <x v="0"/>
    <x v="0"/>
    <x v="0"/>
    <n v="36900"/>
    <n v="5"/>
    <n v="184500"/>
    <x v="312"/>
    <s v="Monday"/>
    <s v="Weekday"/>
  </r>
  <r>
    <s v="ORD-01668"/>
    <s v="CUST0219"/>
    <x v="1"/>
    <x v="0"/>
    <n v="48"/>
    <x v="0"/>
    <x v="2"/>
    <x v="0"/>
    <n v="184500"/>
    <n v="4"/>
    <n v="738000"/>
    <x v="485"/>
    <s v="Monday"/>
    <s v="Weekday"/>
  </r>
  <r>
    <s v="ORD-01669"/>
    <s v="CUST0109"/>
    <x v="0"/>
    <x v="0"/>
    <n v="57"/>
    <x v="2"/>
    <x v="1"/>
    <x v="1"/>
    <n v="12300"/>
    <n v="4"/>
    <n v="49200"/>
    <x v="566"/>
    <s v="Sunday"/>
    <s v="Weekday"/>
  </r>
  <r>
    <s v="ORD-01670"/>
    <s v="CUST0144"/>
    <x v="1"/>
    <x v="0"/>
    <n v="54"/>
    <x v="3"/>
    <x v="4"/>
    <x v="1"/>
    <n v="6150"/>
    <n v="1"/>
    <n v="6150"/>
    <x v="602"/>
    <s v="Sunday"/>
    <s v="Weekday"/>
  </r>
  <r>
    <s v="ORD-01671"/>
    <s v="CUST0228"/>
    <x v="0"/>
    <x v="1"/>
    <n v="25"/>
    <x v="2"/>
    <x v="6"/>
    <x v="0"/>
    <n v="98400"/>
    <n v="5"/>
    <n v="492000"/>
    <x v="474"/>
    <s v="Wednesday"/>
    <s v="Weekday"/>
  </r>
  <r>
    <s v="ORD-01672"/>
    <s v="CUST0014"/>
    <x v="0"/>
    <x v="0"/>
    <n v="20"/>
    <x v="0"/>
    <x v="4"/>
    <x v="1"/>
    <n v="6150"/>
    <n v="2"/>
    <n v="12300"/>
    <x v="644"/>
    <s v="Wednesday"/>
    <s v="Weekday"/>
  </r>
  <r>
    <s v="ORD-01673"/>
    <s v="CUST0050"/>
    <x v="2"/>
    <x v="1"/>
    <n v="40"/>
    <x v="2"/>
    <x v="1"/>
    <x v="1"/>
    <n v="12300"/>
    <n v="4"/>
    <n v="49200"/>
    <x v="199"/>
    <s v="Saturday"/>
    <s v="Weekend"/>
  </r>
  <r>
    <s v="ORD-01674"/>
    <s v="CUST0140"/>
    <x v="0"/>
    <x v="7"/>
    <n v="50"/>
    <x v="0"/>
    <x v="0"/>
    <x v="0"/>
    <n v="36900"/>
    <n v="2"/>
    <n v="73800"/>
    <x v="566"/>
    <s v="Sunday"/>
    <s v="Weekday"/>
  </r>
  <r>
    <s v="ORD-01675"/>
    <s v="CUST0246"/>
    <x v="1"/>
    <x v="0"/>
    <n v="64"/>
    <x v="3"/>
    <x v="3"/>
    <x v="2"/>
    <n v="24600"/>
    <n v="1"/>
    <n v="24600"/>
    <x v="489"/>
    <s v="Monday"/>
    <s v="Weekday"/>
  </r>
  <r>
    <s v="ORD-01676"/>
    <s v="CUST0057"/>
    <x v="2"/>
    <x v="0"/>
    <n v="62"/>
    <x v="3"/>
    <x v="5"/>
    <x v="1"/>
    <n v="3690"/>
    <n v="5"/>
    <n v="18450"/>
    <x v="586"/>
    <s v="Saturday"/>
    <s v="Weekend"/>
  </r>
  <r>
    <s v="ORD-01677"/>
    <s v="CUST0142"/>
    <x v="0"/>
    <x v="1"/>
    <n v="32"/>
    <x v="2"/>
    <x v="4"/>
    <x v="1"/>
    <n v="6150"/>
    <n v="5"/>
    <n v="30750"/>
    <x v="645"/>
    <s v="Wednesday"/>
    <s v="Weekday"/>
  </r>
  <r>
    <s v="ORD-01678"/>
    <s v="CUST0162"/>
    <x v="0"/>
    <x v="3"/>
    <n v="69"/>
    <x v="0"/>
    <x v="2"/>
    <x v="0"/>
    <n v="184500"/>
    <n v="5"/>
    <n v="922500"/>
    <x v="381"/>
    <s v="Wednesday"/>
    <s v="Weekday"/>
  </r>
  <r>
    <s v="ORD-01679"/>
    <s v="CUST0216"/>
    <x v="0"/>
    <x v="3"/>
    <n v="53"/>
    <x v="3"/>
    <x v="3"/>
    <x v="2"/>
    <n v="24600"/>
    <n v="2"/>
    <n v="49200"/>
    <x v="555"/>
    <s v="Saturday"/>
    <s v="Weekend"/>
  </r>
  <r>
    <s v="ORD-01680"/>
    <s v="CUST0280"/>
    <x v="0"/>
    <x v="5"/>
    <n v="44"/>
    <x v="1"/>
    <x v="3"/>
    <x v="2"/>
    <n v="24600"/>
    <n v="4"/>
    <n v="98400"/>
    <x v="437"/>
    <s v="Tuesday"/>
    <s v="Weekday"/>
  </r>
  <r>
    <s v="ORD-01681"/>
    <s v="CUST0022"/>
    <x v="1"/>
    <x v="0"/>
    <n v="33"/>
    <x v="2"/>
    <x v="3"/>
    <x v="2"/>
    <n v="24600"/>
    <n v="2"/>
    <n v="49200"/>
    <x v="541"/>
    <s v="Sunday"/>
    <s v="Weekday"/>
  </r>
  <r>
    <s v="ORD-01682"/>
    <s v="CUST0270"/>
    <x v="2"/>
    <x v="3"/>
    <n v="64"/>
    <x v="1"/>
    <x v="1"/>
    <x v="1"/>
    <n v="12300"/>
    <n v="2"/>
    <n v="24600"/>
    <x v="494"/>
    <s v="Sunday"/>
    <s v="Weekday"/>
  </r>
  <r>
    <s v="ORD-01683"/>
    <s v="CUST0083"/>
    <x v="0"/>
    <x v="2"/>
    <n v="28"/>
    <x v="2"/>
    <x v="5"/>
    <x v="1"/>
    <n v="3690"/>
    <n v="2"/>
    <n v="7380"/>
    <x v="375"/>
    <s v="Wednesday"/>
    <s v="Weekday"/>
  </r>
  <r>
    <s v="ORD-01684"/>
    <s v="CUST0244"/>
    <x v="1"/>
    <x v="0"/>
    <n v="24"/>
    <x v="0"/>
    <x v="3"/>
    <x v="2"/>
    <n v="24600"/>
    <n v="4"/>
    <n v="98400"/>
    <x v="571"/>
    <s v="Thursday"/>
    <s v="Weekday"/>
  </r>
  <r>
    <s v="ORD-01685"/>
    <s v="CUST0059"/>
    <x v="1"/>
    <x v="4"/>
    <n v="18"/>
    <x v="0"/>
    <x v="0"/>
    <x v="0"/>
    <n v="36900"/>
    <n v="2"/>
    <n v="73800"/>
    <x v="530"/>
    <s v="Friday"/>
    <s v="Weekend"/>
  </r>
  <r>
    <s v="ORD-01686"/>
    <s v="CUST0251"/>
    <x v="0"/>
    <x v="4"/>
    <n v="42"/>
    <x v="1"/>
    <x v="1"/>
    <x v="1"/>
    <n v="12300"/>
    <n v="5"/>
    <n v="61500"/>
    <x v="646"/>
    <s v="Friday"/>
    <s v="Weekend"/>
  </r>
  <r>
    <s v="ORD-01687"/>
    <s v="CUST0038"/>
    <x v="0"/>
    <x v="0"/>
    <n v="57"/>
    <x v="0"/>
    <x v="1"/>
    <x v="1"/>
    <n v="12300"/>
    <n v="3"/>
    <n v="36900"/>
    <x v="414"/>
    <s v="Tuesday"/>
    <s v="Weekday"/>
  </r>
  <r>
    <s v="ORD-01688"/>
    <s v="CUST0054"/>
    <x v="1"/>
    <x v="6"/>
    <n v="64"/>
    <x v="0"/>
    <x v="4"/>
    <x v="1"/>
    <n v="6150"/>
    <n v="5"/>
    <n v="30750"/>
    <x v="647"/>
    <s v="Thursday"/>
    <s v="Weekday"/>
  </r>
  <r>
    <s v="ORD-01689"/>
    <s v="CUST0080"/>
    <x v="0"/>
    <x v="5"/>
    <n v="51"/>
    <x v="0"/>
    <x v="0"/>
    <x v="0"/>
    <n v="36900"/>
    <n v="2"/>
    <n v="73800"/>
    <x v="512"/>
    <s v="Thursday"/>
    <s v="Weekday"/>
  </r>
  <r>
    <s v="ORD-01690"/>
    <s v="CUST0017"/>
    <x v="1"/>
    <x v="0"/>
    <n v="36"/>
    <x v="1"/>
    <x v="1"/>
    <x v="1"/>
    <n v="12300"/>
    <n v="2"/>
    <n v="24600"/>
    <x v="533"/>
    <s v="Tuesday"/>
    <s v="Weekday"/>
  </r>
  <r>
    <s v="ORD-01691"/>
    <s v="CUST0266"/>
    <x v="0"/>
    <x v="1"/>
    <n v="29"/>
    <x v="0"/>
    <x v="4"/>
    <x v="1"/>
    <n v="6150"/>
    <n v="5"/>
    <n v="30750"/>
    <x v="572"/>
    <s v="Thursday"/>
    <s v="Weekday"/>
  </r>
  <r>
    <s v="ORD-01692"/>
    <s v="CUST0106"/>
    <x v="1"/>
    <x v="0"/>
    <n v="50"/>
    <x v="3"/>
    <x v="3"/>
    <x v="2"/>
    <n v="24600"/>
    <n v="5"/>
    <n v="123000"/>
    <x v="503"/>
    <s v="Thursday"/>
    <s v="Weekday"/>
  </r>
  <r>
    <s v="ORD-01693"/>
    <s v="CUST0010"/>
    <x v="2"/>
    <x v="2"/>
    <n v="37"/>
    <x v="2"/>
    <x v="1"/>
    <x v="1"/>
    <n v="12300"/>
    <n v="1"/>
    <n v="12300"/>
    <x v="581"/>
    <s v="Thursday"/>
    <s v="Weekday"/>
  </r>
  <r>
    <s v="ORD-01694"/>
    <s v="CUST0271"/>
    <x v="0"/>
    <x v="0"/>
    <n v="46"/>
    <x v="3"/>
    <x v="5"/>
    <x v="1"/>
    <n v="3690"/>
    <n v="4"/>
    <n v="14760"/>
    <x v="534"/>
    <s v="Friday"/>
    <s v="Weekend"/>
  </r>
  <r>
    <s v="ORD-01695"/>
    <s v="CUST0203"/>
    <x v="1"/>
    <x v="0"/>
    <n v="33"/>
    <x v="1"/>
    <x v="3"/>
    <x v="2"/>
    <n v="24600"/>
    <n v="5"/>
    <n v="123000"/>
    <x v="595"/>
    <s v="Tuesday"/>
    <s v="Weekday"/>
  </r>
  <r>
    <s v="ORD-01696"/>
    <s v="CUST0083"/>
    <x v="0"/>
    <x v="2"/>
    <n v="28"/>
    <x v="1"/>
    <x v="0"/>
    <x v="0"/>
    <n v="36900"/>
    <n v="4"/>
    <n v="147600"/>
    <x v="648"/>
    <s v="Thursday"/>
    <s v="Weekday"/>
  </r>
  <r>
    <s v="ORD-01697"/>
    <s v="CUST0268"/>
    <x v="0"/>
    <x v="0"/>
    <n v="21"/>
    <x v="0"/>
    <x v="6"/>
    <x v="0"/>
    <n v="98400"/>
    <n v="4"/>
    <n v="393600"/>
    <x v="396"/>
    <s v="Wednesday"/>
    <s v="Weekday"/>
  </r>
  <r>
    <s v="ORD-01698"/>
    <s v="CUST0242"/>
    <x v="0"/>
    <x v="1"/>
    <n v="58"/>
    <x v="3"/>
    <x v="5"/>
    <x v="1"/>
    <n v="3690"/>
    <n v="5"/>
    <n v="18450"/>
    <x v="557"/>
    <s v="Sunday"/>
    <s v="Weekday"/>
  </r>
  <r>
    <s v="ORD-01699"/>
    <s v="CUST0047"/>
    <x v="1"/>
    <x v="1"/>
    <n v="41"/>
    <x v="1"/>
    <x v="2"/>
    <x v="0"/>
    <n v="184500"/>
    <n v="5"/>
    <n v="922500"/>
    <x v="641"/>
    <s v="Monday"/>
    <s v="Weekday"/>
  </r>
  <r>
    <s v="ORD-01700"/>
    <s v="CUST0125"/>
    <x v="2"/>
    <x v="0"/>
    <n v="46"/>
    <x v="2"/>
    <x v="3"/>
    <x v="2"/>
    <n v="24600"/>
    <n v="2"/>
    <n v="49200"/>
    <x v="649"/>
    <s v="Monday"/>
    <s v="Weekday"/>
  </r>
  <r>
    <s v="ORD-01701"/>
    <s v="CUST0247"/>
    <x v="0"/>
    <x v="1"/>
    <n v="44"/>
    <x v="1"/>
    <x v="2"/>
    <x v="0"/>
    <n v="184500"/>
    <n v="5"/>
    <n v="922500"/>
    <x v="515"/>
    <s v="Friday"/>
    <s v="Weekend"/>
  </r>
  <r>
    <s v="ORD-01702"/>
    <s v="CUST0015"/>
    <x v="0"/>
    <x v="5"/>
    <n v="58"/>
    <x v="3"/>
    <x v="0"/>
    <x v="0"/>
    <n v="36900"/>
    <n v="1"/>
    <n v="36900"/>
    <x v="437"/>
    <s v="Tuesday"/>
    <s v="Weekday"/>
  </r>
  <r>
    <s v="ORD-01703"/>
    <s v="CUST0002"/>
    <x v="0"/>
    <x v="2"/>
    <n v="23"/>
    <x v="2"/>
    <x v="3"/>
    <x v="2"/>
    <n v="24600"/>
    <n v="2"/>
    <n v="49200"/>
    <x v="510"/>
    <s v="Saturday"/>
    <s v="Weekend"/>
  </r>
  <r>
    <s v="ORD-01704"/>
    <s v="CUST0051"/>
    <x v="2"/>
    <x v="4"/>
    <n v="41"/>
    <x v="2"/>
    <x v="0"/>
    <x v="0"/>
    <n v="36900"/>
    <n v="2"/>
    <n v="73800"/>
    <x v="408"/>
    <s v="Monday"/>
    <s v="Weekday"/>
  </r>
  <r>
    <s v="ORD-01705"/>
    <s v="CUST0075"/>
    <x v="1"/>
    <x v="7"/>
    <n v="56"/>
    <x v="0"/>
    <x v="6"/>
    <x v="0"/>
    <n v="98400"/>
    <n v="5"/>
    <n v="492000"/>
    <x v="377"/>
    <s v="Saturday"/>
    <s v="Weekend"/>
  </r>
  <r>
    <s v="ORD-01706"/>
    <s v="CUST0052"/>
    <x v="0"/>
    <x v="0"/>
    <n v="66"/>
    <x v="2"/>
    <x v="5"/>
    <x v="1"/>
    <n v="3690"/>
    <n v="4"/>
    <n v="14760"/>
    <x v="487"/>
    <s v="Wednesday"/>
    <s v="Weekday"/>
  </r>
  <r>
    <s v="ORD-01707"/>
    <s v="CUST0292"/>
    <x v="0"/>
    <x v="0"/>
    <n v="21"/>
    <x v="0"/>
    <x v="3"/>
    <x v="2"/>
    <n v="24600"/>
    <n v="2"/>
    <n v="49200"/>
    <x v="480"/>
    <s v="Sunday"/>
    <s v="Weekday"/>
  </r>
  <r>
    <s v="ORD-01708"/>
    <s v="CUST0062"/>
    <x v="0"/>
    <x v="3"/>
    <n v="43"/>
    <x v="0"/>
    <x v="2"/>
    <x v="0"/>
    <n v="184500"/>
    <n v="5"/>
    <n v="922500"/>
    <x v="503"/>
    <s v="Thursday"/>
    <s v="Weekday"/>
  </r>
  <r>
    <s v="ORD-01709"/>
    <s v="CUST0179"/>
    <x v="0"/>
    <x v="0"/>
    <n v="45"/>
    <x v="1"/>
    <x v="6"/>
    <x v="0"/>
    <n v="98400"/>
    <n v="1"/>
    <n v="98400"/>
    <x v="570"/>
    <s v="Saturday"/>
    <s v="Weekend"/>
  </r>
  <r>
    <s v="ORD-01710"/>
    <s v="CUST0251"/>
    <x v="0"/>
    <x v="4"/>
    <n v="42"/>
    <x v="1"/>
    <x v="0"/>
    <x v="0"/>
    <n v="36900"/>
    <n v="2"/>
    <n v="73800"/>
    <x v="557"/>
    <s v="Sunday"/>
    <s v="Weekday"/>
  </r>
  <r>
    <s v="ORD-01711"/>
    <s v="CUST0233"/>
    <x v="0"/>
    <x v="0"/>
    <n v="24"/>
    <x v="0"/>
    <x v="4"/>
    <x v="1"/>
    <n v="6150"/>
    <n v="1"/>
    <n v="6150"/>
    <x v="650"/>
    <s v="Saturday"/>
    <s v="Weekend"/>
  </r>
  <r>
    <s v="ORD-01712"/>
    <s v="CUST0070"/>
    <x v="0"/>
    <x v="3"/>
    <n v="23"/>
    <x v="3"/>
    <x v="6"/>
    <x v="0"/>
    <n v="98400"/>
    <n v="2"/>
    <n v="196800"/>
    <x v="510"/>
    <s v="Saturday"/>
    <s v="Weekend"/>
  </r>
  <r>
    <s v="ORD-01713"/>
    <s v="CUST0131"/>
    <x v="1"/>
    <x v="1"/>
    <n v="67"/>
    <x v="0"/>
    <x v="0"/>
    <x v="0"/>
    <n v="36900"/>
    <n v="3"/>
    <n v="110700"/>
    <x v="651"/>
    <s v="Tuesday"/>
    <s v="Weekday"/>
  </r>
  <r>
    <s v="ORD-01714"/>
    <s v="CUST0196"/>
    <x v="1"/>
    <x v="1"/>
    <n v="37"/>
    <x v="3"/>
    <x v="5"/>
    <x v="1"/>
    <n v="3690"/>
    <n v="4"/>
    <n v="14760"/>
    <x v="651"/>
    <s v="Tuesday"/>
    <s v="Weekday"/>
  </r>
  <r>
    <s v="ORD-01715"/>
    <s v="CUST0117"/>
    <x v="2"/>
    <x v="0"/>
    <n v="22"/>
    <x v="2"/>
    <x v="2"/>
    <x v="0"/>
    <n v="184500"/>
    <n v="5"/>
    <n v="922500"/>
    <x v="618"/>
    <s v="Wednesday"/>
    <s v="Weekday"/>
  </r>
  <r>
    <s v="ORD-01716"/>
    <s v="CUST0150"/>
    <x v="2"/>
    <x v="1"/>
    <n v="63"/>
    <x v="2"/>
    <x v="5"/>
    <x v="1"/>
    <n v="3690"/>
    <n v="4"/>
    <n v="14760"/>
    <x v="407"/>
    <s v="Friday"/>
    <s v="Weekend"/>
  </r>
  <r>
    <s v="ORD-01717"/>
    <s v="CUST0107"/>
    <x v="0"/>
    <x v="5"/>
    <n v="67"/>
    <x v="2"/>
    <x v="2"/>
    <x v="0"/>
    <n v="184500"/>
    <n v="2"/>
    <n v="369000"/>
    <x v="576"/>
    <s v="Thursday"/>
    <s v="Weekday"/>
  </r>
  <r>
    <s v="ORD-01718"/>
    <s v="CUST0029"/>
    <x v="2"/>
    <x v="2"/>
    <n v="66"/>
    <x v="0"/>
    <x v="5"/>
    <x v="1"/>
    <n v="3690"/>
    <n v="2"/>
    <n v="7380"/>
    <x v="469"/>
    <s v="Tuesday"/>
    <s v="Weekday"/>
  </r>
  <r>
    <s v="ORD-01719"/>
    <s v="CUST0238"/>
    <x v="0"/>
    <x v="0"/>
    <n v="26"/>
    <x v="3"/>
    <x v="1"/>
    <x v="1"/>
    <n v="12300"/>
    <n v="1"/>
    <n v="12300"/>
    <x v="521"/>
    <s v="Sunday"/>
    <s v="Weekday"/>
  </r>
  <r>
    <s v="ORD-01720"/>
    <s v="CUST0043"/>
    <x v="0"/>
    <x v="3"/>
    <n v="22"/>
    <x v="0"/>
    <x v="2"/>
    <x v="0"/>
    <n v="184500"/>
    <n v="4"/>
    <n v="738000"/>
    <x v="406"/>
    <s v="Saturday"/>
    <s v="Weekend"/>
  </r>
  <r>
    <s v="ORD-01721"/>
    <s v="CUST0159"/>
    <x v="0"/>
    <x v="4"/>
    <n v="18"/>
    <x v="2"/>
    <x v="5"/>
    <x v="1"/>
    <n v="3690"/>
    <n v="1"/>
    <n v="3690"/>
    <x v="607"/>
    <s v="Saturday"/>
    <s v="Weekend"/>
  </r>
  <r>
    <s v="ORD-01722"/>
    <s v="CUST0166"/>
    <x v="1"/>
    <x v="1"/>
    <n v="29"/>
    <x v="1"/>
    <x v="4"/>
    <x v="1"/>
    <n v="6150"/>
    <n v="3"/>
    <n v="18450"/>
    <x v="652"/>
    <s v="Tuesday"/>
    <s v="Weekday"/>
  </r>
  <r>
    <s v="ORD-01723"/>
    <s v="CUST0187"/>
    <x v="2"/>
    <x v="0"/>
    <n v="25"/>
    <x v="2"/>
    <x v="4"/>
    <x v="1"/>
    <n v="6150"/>
    <n v="1"/>
    <n v="6150"/>
    <x v="311"/>
    <s v="Thursday"/>
    <s v="Weekday"/>
  </r>
  <r>
    <s v="ORD-01724"/>
    <s v="CUST0071"/>
    <x v="2"/>
    <x v="0"/>
    <n v="46"/>
    <x v="2"/>
    <x v="0"/>
    <x v="0"/>
    <n v="36900"/>
    <n v="5"/>
    <n v="184500"/>
    <x v="618"/>
    <s v="Wednesday"/>
    <s v="Weekday"/>
  </r>
  <r>
    <s v="ORD-01725"/>
    <s v="CUST0216"/>
    <x v="0"/>
    <x v="3"/>
    <n v="53"/>
    <x v="1"/>
    <x v="5"/>
    <x v="1"/>
    <n v="3690"/>
    <n v="4"/>
    <n v="14760"/>
    <x v="264"/>
    <s v="Saturday"/>
    <s v="Weekend"/>
  </r>
  <r>
    <s v="ORD-01726"/>
    <s v="CUST0202"/>
    <x v="0"/>
    <x v="2"/>
    <n v="56"/>
    <x v="3"/>
    <x v="6"/>
    <x v="0"/>
    <n v="98400"/>
    <n v="3"/>
    <n v="295200"/>
    <x v="416"/>
    <s v="Sunday"/>
    <s v="Weekday"/>
  </r>
  <r>
    <s v="ORD-01727"/>
    <s v="CUST0294"/>
    <x v="1"/>
    <x v="7"/>
    <n v="49"/>
    <x v="2"/>
    <x v="4"/>
    <x v="1"/>
    <n v="6150"/>
    <n v="1"/>
    <n v="6150"/>
    <x v="411"/>
    <s v="Wednesday"/>
    <s v="Weekday"/>
  </r>
  <r>
    <s v="ORD-01728"/>
    <s v="CUST0047"/>
    <x v="1"/>
    <x v="1"/>
    <n v="41"/>
    <x v="3"/>
    <x v="5"/>
    <x v="1"/>
    <n v="3690"/>
    <n v="2"/>
    <n v="7380"/>
    <x v="653"/>
    <s v="Friday"/>
    <s v="Weekend"/>
  </r>
  <r>
    <s v="ORD-01729"/>
    <s v="CUST0180"/>
    <x v="0"/>
    <x v="5"/>
    <n v="68"/>
    <x v="1"/>
    <x v="3"/>
    <x v="2"/>
    <n v="24600"/>
    <n v="3"/>
    <n v="73800"/>
    <x v="573"/>
    <s v="Tuesday"/>
    <s v="Weekday"/>
  </r>
  <r>
    <s v="ORD-01730"/>
    <s v="CUST0142"/>
    <x v="0"/>
    <x v="1"/>
    <n v="32"/>
    <x v="1"/>
    <x v="1"/>
    <x v="1"/>
    <n v="12300"/>
    <n v="3"/>
    <n v="36900"/>
    <x v="379"/>
    <s v="Sunday"/>
    <s v="Weekday"/>
  </r>
  <r>
    <s v="ORD-01731"/>
    <s v="CUST0106"/>
    <x v="1"/>
    <x v="0"/>
    <n v="50"/>
    <x v="1"/>
    <x v="0"/>
    <x v="0"/>
    <n v="36900"/>
    <n v="5"/>
    <n v="184500"/>
    <x v="81"/>
    <s v="Saturday"/>
    <s v="Weekend"/>
  </r>
  <r>
    <s v="ORD-01732"/>
    <s v="CUST0278"/>
    <x v="1"/>
    <x v="4"/>
    <n v="52"/>
    <x v="0"/>
    <x v="1"/>
    <x v="1"/>
    <n v="12300"/>
    <n v="5"/>
    <n v="61500"/>
    <x v="602"/>
    <s v="Sunday"/>
    <s v="Weekday"/>
  </r>
  <r>
    <s v="ORD-01733"/>
    <s v="CUST0189"/>
    <x v="1"/>
    <x v="3"/>
    <n v="38"/>
    <x v="3"/>
    <x v="3"/>
    <x v="2"/>
    <n v="24600"/>
    <n v="2"/>
    <n v="49200"/>
    <x v="465"/>
    <s v="Sunday"/>
    <s v="Weekday"/>
  </r>
  <r>
    <s v="ORD-01734"/>
    <s v="CUST0076"/>
    <x v="0"/>
    <x v="0"/>
    <n v="26"/>
    <x v="0"/>
    <x v="1"/>
    <x v="1"/>
    <n v="12300"/>
    <n v="2"/>
    <n v="24600"/>
    <x v="640"/>
    <s v="Friday"/>
    <s v="Weekend"/>
  </r>
  <r>
    <s v="ORD-01735"/>
    <s v="CUST0229"/>
    <x v="2"/>
    <x v="2"/>
    <n v="45"/>
    <x v="1"/>
    <x v="1"/>
    <x v="1"/>
    <n v="12300"/>
    <n v="1"/>
    <n v="12300"/>
    <x v="522"/>
    <s v="Monday"/>
    <s v="Weekday"/>
  </r>
  <r>
    <s v="ORD-01736"/>
    <s v="CUST0260"/>
    <x v="0"/>
    <x v="0"/>
    <n v="32"/>
    <x v="2"/>
    <x v="4"/>
    <x v="1"/>
    <n v="6150"/>
    <n v="1"/>
    <n v="6150"/>
    <x v="591"/>
    <s v="Monday"/>
    <s v="Weekday"/>
  </r>
  <r>
    <s v="ORD-01737"/>
    <s v="CUST0017"/>
    <x v="1"/>
    <x v="0"/>
    <n v="36"/>
    <x v="0"/>
    <x v="2"/>
    <x v="0"/>
    <n v="184500"/>
    <n v="5"/>
    <n v="922500"/>
    <x v="361"/>
    <s v="Saturday"/>
    <s v="Weekend"/>
  </r>
  <r>
    <s v="ORD-01738"/>
    <s v="CUST0156"/>
    <x v="2"/>
    <x v="2"/>
    <n v="57"/>
    <x v="2"/>
    <x v="3"/>
    <x v="2"/>
    <n v="24600"/>
    <n v="2"/>
    <n v="49200"/>
    <x v="472"/>
    <s v="Tuesday"/>
    <s v="Weekday"/>
  </r>
  <r>
    <s v="ORD-01739"/>
    <s v="CUST0126"/>
    <x v="0"/>
    <x v="5"/>
    <n v="66"/>
    <x v="0"/>
    <x v="1"/>
    <x v="1"/>
    <n v="12300"/>
    <n v="5"/>
    <n v="61500"/>
    <x v="398"/>
    <s v="Friday"/>
    <s v="Weekend"/>
  </r>
  <r>
    <s v="ORD-01740"/>
    <s v="CUST0241"/>
    <x v="1"/>
    <x v="0"/>
    <n v="27"/>
    <x v="3"/>
    <x v="3"/>
    <x v="2"/>
    <n v="24600"/>
    <n v="5"/>
    <n v="123000"/>
    <x v="620"/>
    <s v="Wednesday"/>
    <s v="Weekday"/>
  </r>
  <r>
    <s v="ORD-01741"/>
    <s v="CUST0150"/>
    <x v="2"/>
    <x v="1"/>
    <n v="63"/>
    <x v="2"/>
    <x v="3"/>
    <x v="2"/>
    <n v="24600"/>
    <n v="1"/>
    <n v="24600"/>
    <x v="493"/>
    <s v="Wednesday"/>
    <s v="Weekday"/>
  </r>
  <r>
    <s v="ORD-01742"/>
    <s v="CUST0173"/>
    <x v="0"/>
    <x v="0"/>
    <n v="65"/>
    <x v="0"/>
    <x v="0"/>
    <x v="0"/>
    <n v="36900"/>
    <n v="2"/>
    <n v="73800"/>
    <x v="489"/>
    <s v="Monday"/>
    <s v="Weekday"/>
  </r>
  <r>
    <s v="ORD-01743"/>
    <s v="CUST0051"/>
    <x v="2"/>
    <x v="4"/>
    <n v="41"/>
    <x v="1"/>
    <x v="4"/>
    <x v="1"/>
    <n v="6150"/>
    <n v="3"/>
    <n v="18450"/>
    <x v="536"/>
    <s v="Monday"/>
    <s v="Weekday"/>
  </r>
  <r>
    <s v="ORD-01744"/>
    <s v="CUST0004"/>
    <x v="0"/>
    <x v="1"/>
    <n v="65"/>
    <x v="1"/>
    <x v="3"/>
    <x v="2"/>
    <n v="24600"/>
    <n v="5"/>
    <n v="123000"/>
    <x v="448"/>
    <s v="Friday"/>
    <s v="Weekend"/>
  </r>
  <r>
    <s v="ORD-01745"/>
    <s v="CUST0123"/>
    <x v="0"/>
    <x v="1"/>
    <n v="52"/>
    <x v="3"/>
    <x v="1"/>
    <x v="1"/>
    <n v="12300"/>
    <n v="4"/>
    <n v="49200"/>
    <x v="395"/>
    <s v="Friday"/>
    <s v="Weekend"/>
  </r>
  <r>
    <s v="ORD-01746"/>
    <s v="CUST0237"/>
    <x v="0"/>
    <x v="2"/>
    <n v="65"/>
    <x v="3"/>
    <x v="2"/>
    <x v="0"/>
    <n v="184500"/>
    <n v="4"/>
    <n v="738000"/>
    <x v="654"/>
    <s v="Sunday"/>
    <s v="Weekday"/>
  </r>
  <r>
    <s v="ORD-01747"/>
    <s v="CUST0258"/>
    <x v="1"/>
    <x v="1"/>
    <n v="39"/>
    <x v="0"/>
    <x v="6"/>
    <x v="0"/>
    <n v="98400"/>
    <n v="1"/>
    <n v="98400"/>
    <x v="464"/>
    <s v="Monday"/>
    <s v="Weekday"/>
  </r>
  <r>
    <s v="ORD-01748"/>
    <s v="CUST0098"/>
    <x v="1"/>
    <x v="0"/>
    <n v="57"/>
    <x v="1"/>
    <x v="6"/>
    <x v="0"/>
    <n v="98400"/>
    <n v="4"/>
    <n v="393600"/>
    <x v="560"/>
    <s v="Tuesday"/>
    <s v="Weekday"/>
  </r>
  <r>
    <s v="ORD-01749"/>
    <s v="CUST0020"/>
    <x v="1"/>
    <x v="1"/>
    <n v="55"/>
    <x v="2"/>
    <x v="6"/>
    <x v="0"/>
    <n v="98400"/>
    <n v="1"/>
    <n v="98400"/>
    <x v="646"/>
    <s v="Friday"/>
    <s v="Weekend"/>
  </r>
  <r>
    <s v="ORD-01750"/>
    <s v="CUST0029"/>
    <x v="2"/>
    <x v="2"/>
    <n v="66"/>
    <x v="0"/>
    <x v="4"/>
    <x v="1"/>
    <n v="6150"/>
    <n v="3"/>
    <n v="18450"/>
    <x v="515"/>
    <s v="Friday"/>
    <s v="Weekend"/>
  </r>
  <r>
    <s v="ORD-01751"/>
    <s v="CUST0040"/>
    <x v="2"/>
    <x v="7"/>
    <n v="29"/>
    <x v="0"/>
    <x v="6"/>
    <x v="0"/>
    <n v="98400"/>
    <n v="5"/>
    <n v="492000"/>
    <x v="565"/>
    <s v="Sunday"/>
    <s v="Weekday"/>
  </r>
  <r>
    <s v="ORD-01752"/>
    <s v="CUST0099"/>
    <x v="2"/>
    <x v="5"/>
    <n v="26"/>
    <x v="1"/>
    <x v="0"/>
    <x v="0"/>
    <n v="36900"/>
    <n v="2"/>
    <n v="73800"/>
    <x v="555"/>
    <s v="Saturday"/>
    <s v="Weekend"/>
  </r>
  <r>
    <s v="ORD-01753"/>
    <s v="CUST0176"/>
    <x v="0"/>
    <x v="0"/>
    <n v="51"/>
    <x v="3"/>
    <x v="3"/>
    <x v="2"/>
    <n v="24600"/>
    <n v="3"/>
    <n v="73800"/>
    <x v="501"/>
    <s v="Tuesday"/>
    <s v="Weekday"/>
  </r>
  <r>
    <s v="ORD-01754"/>
    <s v="CUST0292"/>
    <x v="0"/>
    <x v="0"/>
    <n v="21"/>
    <x v="2"/>
    <x v="6"/>
    <x v="0"/>
    <n v="98400"/>
    <n v="3"/>
    <n v="295200"/>
    <x v="387"/>
    <s v="Monday"/>
    <s v="Weekday"/>
  </r>
  <r>
    <s v="ORD-01755"/>
    <s v="CUST0016"/>
    <x v="1"/>
    <x v="3"/>
    <n v="61"/>
    <x v="3"/>
    <x v="6"/>
    <x v="0"/>
    <n v="98400"/>
    <n v="5"/>
    <n v="492000"/>
    <x v="630"/>
    <s v="Saturday"/>
    <s v="Weekend"/>
  </r>
  <r>
    <s v="ORD-01756"/>
    <s v="CUST0104"/>
    <x v="0"/>
    <x v="1"/>
    <n v="40"/>
    <x v="0"/>
    <x v="1"/>
    <x v="1"/>
    <n v="12300"/>
    <n v="3"/>
    <n v="36900"/>
    <x v="437"/>
    <s v="Tuesday"/>
    <s v="Weekday"/>
  </r>
  <r>
    <s v="ORD-01757"/>
    <s v="CUST0249"/>
    <x v="0"/>
    <x v="0"/>
    <n v="33"/>
    <x v="0"/>
    <x v="6"/>
    <x v="0"/>
    <n v="98400"/>
    <n v="4"/>
    <n v="393600"/>
    <x v="537"/>
    <s v="Wednesday"/>
    <s v="Weekday"/>
  </r>
  <r>
    <s v="ORD-01758"/>
    <s v="CUST0208"/>
    <x v="1"/>
    <x v="6"/>
    <n v="57"/>
    <x v="1"/>
    <x v="3"/>
    <x v="2"/>
    <n v="24600"/>
    <n v="2"/>
    <n v="49200"/>
    <x v="653"/>
    <s v="Friday"/>
    <s v="Weekend"/>
  </r>
  <r>
    <s v="ORD-01759"/>
    <s v="CUST0088"/>
    <x v="2"/>
    <x v="5"/>
    <n v="66"/>
    <x v="3"/>
    <x v="3"/>
    <x v="2"/>
    <n v="24600"/>
    <n v="5"/>
    <n v="123000"/>
    <x v="404"/>
    <s v="Tuesday"/>
    <s v="Weekday"/>
  </r>
  <r>
    <s v="ORD-01760"/>
    <s v="CUST0251"/>
    <x v="0"/>
    <x v="4"/>
    <n v="42"/>
    <x v="0"/>
    <x v="2"/>
    <x v="0"/>
    <n v="184500"/>
    <n v="2"/>
    <n v="369000"/>
    <x v="544"/>
    <s v="Sunday"/>
    <s v="Weekday"/>
  </r>
  <r>
    <s v="ORD-01761"/>
    <s v="CUST0105"/>
    <x v="0"/>
    <x v="4"/>
    <n v="27"/>
    <x v="0"/>
    <x v="4"/>
    <x v="1"/>
    <n v="6150"/>
    <n v="4"/>
    <n v="24600"/>
    <x v="627"/>
    <s v="Wednesday"/>
    <s v="Weekday"/>
  </r>
  <r>
    <s v="ORD-01762"/>
    <s v="CUST0051"/>
    <x v="2"/>
    <x v="4"/>
    <n v="41"/>
    <x v="3"/>
    <x v="5"/>
    <x v="1"/>
    <n v="3690"/>
    <n v="5"/>
    <n v="18450"/>
    <x v="613"/>
    <s v="Monday"/>
    <s v="Weekday"/>
  </r>
  <r>
    <s v="ORD-01763"/>
    <s v="CUST0024"/>
    <x v="1"/>
    <x v="4"/>
    <n v="57"/>
    <x v="1"/>
    <x v="1"/>
    <x v="1"/>
    <n v="12300"/>
    <n v="1"/>
    <n v="12300"/>
    <x v="384"/>
    <s v="Friday"/>
    <s v="Weekend"/>
  </r>
  <r>
    <s v="ORD-01764"/>
    <s v="CUST0216"/>
    <x v="0"/>
    <x v="3"/>
    <n v="53"/>
    <x v="1"/>
    <x v="5"/>
    <x v="1"/>
    <n v="3690"/>
    <n v="1"/>
    <n v="3690"/>
    <x v="611"/>
    <s v="Wednesday"/>
    <s v="Weekday"/>
  </r>
  <r>
    <s v="ORD-01765"/>
    <s v="CUST0168"/>
    <x v="1"/>
    <x v="0"/>
    <n v="42"/>
    <x v="2"/>
    <x v="0"/>
    <x v="0"/>
    <n v="36900"/>
    <n v="4"/>
    <n v="147600"/>
    <x v="436"/>
    <s v="Wednesday"/>
    <s v="Weekday"/>
  </r>
  <r>
    <s v="ORD-01766"/>
    <s v="CUST0126"/>
    <x v="0"/>
    <x v="5"/>
    <n v="66"/>
    <x v="2"/>
    <x v="4"/>
    <x v="1"/>
    <n v="6150"/>
    <n v="1"/>
    <n v="6150"/>
    <x v="467"/>
    <s v="Wednesday"/>
    <s v="Weekday"/>
  </r>
  <r>
    <s v="ORD-01767"/>
    <s v="CUST0130"/>
    <x v="0"/>
    <x v="0"/>
    <n v="68"/>
    <x v="2"/>
    <x v="5"/>
    <x v="1"/>
    <n v="3690"/>
    <n v="4"/>
    <n v="14760"/>
    <x v="636"/>
    <s v="Saturday"/>
    <s v="Weekend"/>
  </r>
  <r>
    <s v="ORD-01768"/>
    <s v="CUST0080"/>
    <x v="0"/>
    <x v="5"/>
    <n v="51"/>
    <x v="3"/>
    <x v="3"/>
    <x v="2"/>
    <n v="24600"/>
    <n v="2"/>
    <n v="49200"/>
    <x v="655"/>
    <s v="Monday"/>
    <s v="Weekday"/>
  </r>
  <r>
    <s v="ORD-01769"/>
    <s v="CUST0293"/>
    <x v="0"/>
    <x v="1"/>
    <n v="32"/>
    <x v="2"/>
    <x v="5"/>
    <x v="1"/>
    <n v="3690"/>
    <n v="3"/>
    <n v="11070"/>
    <x v="656"/>
    <s v="Saturday"/>
    <s v="Weekend"/>
  </r>
  <r>
    <s v="ORD-01770"/>
    <s v="CUST0235"/>
    <x v="0"/>
    <x v="6"/>
    <n v="19"/>
    <x v="2"/>
    <x v="3"/>
    <x v="2"/>
    <n v="24600"/>
    <n v="5"/>
    <n v="123000"/>
    <x v="563"/>
    <s v="Friday"/>
    <s v="Weekend"/>
  </r>
  <r>
    <s v="ORD-01771"/>
    <s v="CUST0133"/>
    <x v="0"/>
    <x v="0"/>
    <n v="47"/>
    <x v="3"/>
    <x v="5"/>
    <x v="1"/>
    <n v="3690"/>
    <n v="5"/>
    <n v="18450"/>
    <x v="486"/>
    <s v="Monday"/>
    <s v="Weekday"/>
  </r>
  <r>
    <s v="ORD-01772"/>
    <s v="CUST0209"/>
    <x v="0"/>
    <x v="0"/>
    <n v="63"/>
    <x v="2"/>
    <x v="3"/>
    <x v="2"/>
    <n v="24600"/>
    <n v="5"/>
    <n v="123000"/>
    <x v="446"/>
    <s v="Monday"/>
    <s v="Weekday"/>
  </r>
  <r>
    <s v="ORD-01773"/>
    <s v="CUST0074"/>
    <x v="0"/>
    <x v="1"/>
    <n v="36"/>
    <x v="1"/>
    <x v="3"/>
    <x v="2"/>
    <n v="24600"/>
    <n v="5"/>
    <n v="123000"/>
    <x v="657"/>
    <s v="Sunday"/>
    <s v="Weekday"/>
  </r>
  <r>
    <s v="ORD-01774"/>
    <s v="CUST0188"/>
    <x v="0"/>
    <x v="5"/>
    <n v="29"/>
    <x v="0"/>
    <x v="2"/>
    <x v="0"/>
    <n v="184500"/>
    <n v="4"/>
    <n v="738000"/>
    <x v="598"/>
    <s v="Thursday"/>
    <s v="Weekday"/>
  </r>
  <r>
    <s v="ORD-01775"/>
    <s v="CUST0268"/>
    <x v="0"/>
    <x v="0"/>
    <n v="21"/>
    <x v="1"/>
    <x v="4"/>
    <x v="1"/>
    <n v="6150"/>
    <n v="2"/>
    <n v="12300"/>
    <x v="413"/>
    <s v="Sunday"/>
    <s v="Weekday"/>
  </r>
  <r>
    <s v="ORD-01776"/>
    <s v="CUST0173"/>
    <x v="0"/>
    <x v="0"/>
    <n v="65"/>
    <x v="1"/>
    <x v="5"/>
    <x v="1"/>
    <n v="3690"/>
    <n v="4"/>
    <n v="14760"/>
    <x v="311"/>
    <s v="Thursday"/>
    <s v="Weekday"/>
  </r>
  <r>
    <s v="ORD-01777"/>
    <s v="CUST0173"/>
    <x v="0"/>
    <x v="0"/>
    <n v="65"/>
    <x v="0"/>
    <x v="6"/>
    <x v="0"/>
    <n v="98400"/>
    <n v="4"/>
    <n v="393600"/>
    <x v="536"/>
    <s v="Monday"/>
    <s v="Weekday"/>
  </r>
  <r>
    <s v="ORD-01778"/>
    <s v="CUST0002"/>
    <x v="0"/>
    <x v="2"/>
    <n v="23"/>
    <x v="1"/>
    <x v="4"/>
    <x v="1"/>
    <n v="6150"/>
    <n v="3"/>
    <n v="18450"/>
    <x v="613"/>
    <s v="Monday"/>
    <s v="Weekday"/>
  </r>
  <r>
    <s v="ORD-01779"/>
    <s v="CUST0221"/>
    <x v="0"/>
    <x v="7"/>
    <n v="33"/>
    <x v="0"/>
    <x v="1"/>
    <x v="1"/>
    <n v="12300"/>
    <n v="2"/>
    <n v="24600"/>
    <x v="410"/>
    <s v="Saturday"/>
    <s v="Weekend"/>
  </r>
  <r>
    <s v="ORD-01780"/>
    <s v="CUST0162"/>
    <x v="0"/>
    <x v="3"/>
    <n v="69"/>
    <x v="1"/>
    <x v="1"/>
    <x v="1"/>
    <n v="12300"/>
    <n v="3"/>
    <n v="36900"/>
    <x v="536"/>
    <s v="Monday"/>
    <s v="Weekday"/>
  </r>
  <r>
    <s v="ORD-01781"/>
    <s v="CUST0029"/>
    <x v="2"/>
    <x v="2"/>
    <n v="66"/>
    <x v="3"/>
    <x v="6"/>
    <x v="0"/>
    <n v="98400"/>
    <n v="5"/>
    <n v="492000"/>
    <x v="658"/>
    <s v="Wednesday"/>
    <s v="Weekday"/>
  </r>
  <r>
    <s v="ORD-01782"/>
    <s v="CUST0080"/>
    <x v="0"/>
    <x v="5"/>
    <n v="51"/>
    <x v="3"/>
    <x v="5"/>
    <x v="1"/>
    <n v="3690"/>
    <n v="5"/>
    <n v="18450"/>
    <x v="399"/>
    <s v="Sunday"/>
    <s v="Weekday"/>
  </r>
  <r>
    <s v="ORD-01783"/>
    <s v="CUST0282"/>
    <x v="0"/>
    <x v="0"/>
    <n v="68"/>
    <x v="2"/>
    <x v="1"/>
    <x v="1"/>
    <n v="12300"/>
    <n v="2"/>
    <n v="24600"/>
    <x v="478"/>
    <s v="Sunday"/>
    <s v="Weekday"/>
  </r>
  <r>
    <s v="ORD-01784"/>
    <s v="CUST0240"/>
    <x v="0"/>
    <x v="7"/>
    <n v="39"/>
    <x v="3"/>
    <x v="2"/>
    <x v="0"/>
    <n v="184500"/>
    <n v="5"/>
    <n v="922500"/>
    <x v="659"/>
    <s v="Sunday"/>
    <s v="Weekday"/>
  </r>
  <r>
    <s v="ORD-01785"/>
    <s v="CUST0037"/>
    <x v="2"/>
    <x v="2"/>
    <n v="51"/>
    <x v="0"/>
    <x v="0"/>
    <x v="0"/>
    <n v="36900"/>
    <n v="5"/>
    <n v="184500"/>
    <x v="637"/>
    <s v="Wednesday"/>
    <s v="Weekday"/>
  </r>
  <r>
    <s v="ORD-01786"/>
    <s v="CUST0004"/>
    <x v="0"/>
    <x v="1"/>
    <n v="65"/>
    <x v="2"/>
    <x v="1"/>
    <x v="1"/>
    <n v="12300"/>
    <n v="4"/>
    <n v="49200"/>
    <x v="564"/>
    <s v="Wednesday"/>
    <s v="Weekday"/>
  </r>
  <r>
    <s v="ORD-01787"/>
    <s v="CUST0037"/>
    <x v="2"/>
    <x v="2"/>
    <n v="51"/>
    <x v="1"/>
    <x v="0"/>
    <x v="0"/>
    <n v="36900"/>
    <n v="4"/>
    <n v="147600"/>
    <x v="637"/>
    <s v="Wednesday"/>
    <s v="Weekday"/>
  </r>
  <r>
    <s v="ORD-01788"/>
    <s v="CUST0001"/>
    <x v="2"/>
    <x v="1"/>
    <n v="38"/>
    <x v="3"/>
    <x v="2"/>
    <x v="0"/>
    <n v="184500"/>
    <n v="4"/>
    <n v="738000"/>
    <x v="358"/>
    <s v="Thursday"/>
    <s v="Weekday"/>
  </r>
  <r>
    <s v="ORD-01789"/>
    <s v="CUST0081"/>
    <x v="0"/>
    <x v="6"/>
    <n v="38"/>
    <x v="2"/>
    <x v="6"/>
    <x v="0"/>
    <n v="98400"/>
    <n v="2"/>
    <n v="196800"/>
    <x v="374"/>
    <s v="Wednesday"/>
    <s v="Weekday"/>
  </r>
  <r>
    <s v="ORD-01790"/>
    <s v="CUST0205"/>
    <x v="2"/>
    <x v="4"/>
    <n v="43"/>
    <x v="3"/>
    <x v="4"/>
    <x v="1"/>
    <n v="6150"/>
    <n v="4"/>
    <n v="24600"/>
    <x v="641"/>
    <s v="Monday"/>
    <s v="Weekday"/>
  </r>
  <r>
    <s v="ORD-01791"/>
    <s v="CUST0047"/>
    <x v="1"/>
    <x v="1"/>
    <n v="41"/>
    <x v="2"/>
    <x v="6"/>
    <x v="0"/>
    <n v="98400"/>
    <n v="1"/>
    <n v="98400"/>
    <x v="532"/>
    <s v="Saturday"/>
    <s v="Weekend"/>
  </r>
  <r>
    <s v="ORD-01792"/>
    <s v="CUST0093"/>
    <x v="2"/>
    <x v="1"/>
    <n v="66"/>
    <x v="0"/>
    <x v="3"/>
    <x v="2"/>
    <n v="24600"/>
    <n v="4"/>
    <n v="98400"/>
    <x v="399"/>
    <s v="Sunday"/>
    <s v="Weekday"/>
  </r>
  <r>
    <s v="ORD-01793"/>
    <s v="CUST0294"/>
    <x v="1"/>
    <x v="7"/>
    <n v="49"/>
    <x v="0"/>
    <x v="5"/>
    <x v="1"/>
    <n v="3690"/>
    <n v="1"/>
    <n v="3690"/>
    <x v="228"/>
    <s v="Tuesday"/>
    <s v="Weekday"/>
  </r>
  <r>
    <s v="ORD-01794"/>
    <s v="CUST0063"/>
    <x v="0"/>
    <x v="0"/>
    <n v="20"/>
    <x v="1"/>
    <x v="5"/>
    <x v="1"/>
    <n v="3690"/>
    <n v="3"/>
    <n v="11070"/>
    <x v="476"/>
    <s v="Sunday"/>
    <s v="Weekday"/>
  </r>
  <r>
    <s v="ORD-01795"/>
    <s v="CUST0007"/>
    <x v="1"/>
    <x v="5"/>
    <n v="52"/>
    <x v="2"/>
    <x v="5"/>
    <x v="1"/>
    <n v="3690"/>
    <n v="5"/>
    <n v="18450"/>
    <x v="448"/>
    <s v="Friday"/>
    <s v="Weekend"/>
  </r>
  <r>
    <s v="ORD-01796"/>
    <s v="CUST0116"/>
    <x v="0"/>
    <x v="3"/>
    <n v="20"/>
    <x v="0"/>
    <x v="1"/>
    <x v="1"/>
    <n v="12300"/>
    <n v="3"/>
    <n v="36900"/>
    <x v="399"/>
    <s v="Sunday"/>
    <s v="Weekday"/>
  </r>
  <r>
    <s v="ORD-01797"/>
    <s v="CUST0112"/>
    <x v="0"/>
    <x v="1"/>
    <n v="33"/>
    <x v="1"/>
    <x v="1"/>
    <x v="1"/>
    <n v="12300"/>
    <n v="4"/>
    <n v="49200"/>
    <x v="587"/>
    <s v="Friday"/>
    <s v="Weekend"/>
  </r>
  <r>
    <s v="ORD-01798"/>
    <s v="CUST0052"/>
    <x v="0"/>
    <x v="0"/>
    <n v="66"/>
    <x v="2"/>
    <x v="4"/>
    <x v="1"/>
    <n v="6150"/>
    <n v="1"/>
    <n v="6150"/>
    <x v="660"/>
    <s v="Tuesday"/>
    <s v="Weekday"/>
  </r>
  <r>
    <s v="ORD-01799"/>
    <s v="CUST0007"/>
    <x v="1"/>
    <x v="5"/>
    <n v="52"/>
    <x v="1"/>
    <x v="4"/>
    <x v="1"/>
    <n v="6150"/>
    <n v="4"/>
    <n v="24600"/>
    <x v="506"/>
    <s v="Friday"/>
    <s v="Weekend"/>
  </r>
  <r>
    <s v="ORD-01800"/>
    <s v="CUST0131"/>
    <x v="1"/>
    <x v="1"/>
    <n v="67"/>
    <x v="0"/>
    <x v="1"/>
    <x v="1"/>
    <n v="12300"/>
    <n v="2"/>
    <n v="24600"/>
    <x v="651"/>
    <s v="Tuesday"/>
    <s v="Weekday"/>
  </r>
  <r>
    <s v="ORD-01801"/>
    <s v="CUST0055"/>
    <x v="1"/>
    <x v="1"/>
    <n v="45"/>
    <x v="1"/>
    <x v="6"/>
    <x v="0"/>
    <n v="98400"/>
    <n v="1"/>
    <n v="98400"/>
    <x v="533"/>
    <s v="Tuesday"/>
    <s v="Weekday"/>
  </r>
  <r>
    <s v="ORD-01802"/>
    <s v="CUST0061"/>
    <x v="1"/>
    <x v="5"/>
    <n v="35"/>
    <x v="2"/>
    <x v="6"/>
    <x v="0"/>
    <n v="98400"/>
    <n v="1"/>
    <n v="98400"/>
    <x v="81"/>
    <s v="Saturday"/>
    <s v="Weekend"/>
  </r>
  <r>
    <s v="ORD-01803"/>
    <s v="CUST0292"/>
    <x v="0"/>
    <x v="0"/>
    <n v="21"/>
    <x v="3"/>
    <x v="6"/>
    <x v="0"/>
    <n v="98400"/>
    <n v="3"/>
    <n v="295200"/>
    <x v="379"/>
    <s v="Sunday"/>
    <s v="Weekday"/>
  </r>
  <r>
    <s v="ORD-01804"/>
    <s v="CUST0137"/>
    <x v="1"/>
    <x v="2"/>
    <n v="19"/>
    <x v="0"/>
    <x v="0"/>
    <x v="0"/>
    <n v="36900"/>
    <n v="4"/>
    <n v="147600"/>
    <x v="434"/>
    <s v="Saturday"/>
    <s v="Weekend"/>
  </r>
  <r>
    <s v="ORD-01805"/>
    <s v="CUST0050"/>
    <x v="2"/>
    <x v="1"/>
    <n v="40"/>
    <x v="2"/>
    <x v="3"/>
    <x v="2"/>
    <n v="24600"/>
    <n v="4"/>
    <n v="98400"/>
    <x v="592"/>
    <s v="Monday"/>
    <s v="Weekday"/>
  </r>
  <r>
    <s v="ORD-01806"/>
    <s v="CUST0172"/>
    <x v="1"/>
    <x v="5"/>
    <n v="56"/>
    <x v="2"/>
    <x v="1"/>
    <x v="1"/>
    <n v="12300"/>
    <n v="5"/>
    <n v="61500"/>
    <x v="616"/>
    <s v="Monday"/>
    <s v="Weekday"/>
  </r>
  <r>
    <s v="ORD-01807"/>
    <s v="CUST0068"/>
    <x v="0"/>
    <x v="0"/>
    <n v="64"/>
    <x v="1"/>
    <x v="2"/>
    <x v="0"/>
    <n v="184500"/>
    <n v="5"/>
    <n v="922500"/>
    <x v="454"/>
    <s v="Friday"/>
    <s v="Weekend"/>
  </r>
  <r>
    <s v="ORD-01808"/>
    <s v="CUST0282"/>
    <x v="0"/>
    <x v="0"/>
    <n v="68"/>
    <x v="0"/>
    <x v="4"/>
    <x v="1"/>
    <n v="6150"/>
    <n v="2"/>
    <n v="12300"/>
    <x v="648"/>
    <s v="Thursday"/>
    <s v="Weekday"/>
  </r>
  <r>
    <s v="ORD-01809"/>
    <s v="CUST0129"/>
    <x v="0"/>
    <x v="2"/>
    <n v="66"/>
    <x v="3"/>
    <x v="3"/>
    <x v="2"/>
    <n v="24600"/>
    <n v="1"/>
    <n v="24600"/>
    <x v="429"/>
    <s v="Tuesday"/>
    <s v="Weekday"/>
  </r>
  <r>
    <s v="ORD-01810"/>
    <s v="CUST0289"/>
    <x v="1"/>
    <x v="3"/>
    <n v="37"/>
    <x v="3"/>
    <x v="0"/>
    <x v="0"/>
    <n v="36900"/>
    <n v="5"/>
    <n v="184500"/>
    <x v="651"/>
    <s v="Tuesday"/>
    <s v="Weekday"/>
  </r>
  <r>
    <s v="ORD-01811"/>
    <s v="CUST0174"/>
    <x v="1"/>
    <x v="1"/>
    <n v="68"/>
    <x v="1"/>
    <x v="2"/>
    <x v="0"/>
    <n v="184500"/>
    <n v="1"/>
    <n v="184500"/>
    <x v="555"/>
    <s v="Saturday"/>
    <s v="Weekend"/>
  </r>
  <r>
    <s v="ORD-01812"/>
    <s v="CUST0031"/>
    <x v="0"/>
    <x v="1"/>
    <n v="67"/>
    <x v="0"/>
    <x v="1"/>
    <x v="1"/>
    <n v="12300"/>
    <n v="5"/>
    <n v="61500"/>
    <x v="528"/>
    <s v="Monday"/>
    <s v="Weekday"/>
  </r>
  <r>
    <s v="ORD-01813"/>
    <s v="CUST0091"/>
    <x v="2"/>
    <x v="2"/>
    <n v="30"/>
    <x v="3"/>
    <x v="4"/>
    <x v="1"/>
    <n v="6150"/>
    <n v="3"/>
    <n v="18450"/>
    <x v="94"/>
    <s v="Friday"/>
    <s v="Weekend"/>
  </r>
  <r>
    <s v="ORD-01814"/>
    <s v="CUST0041"/>
    <x v="0"/>
    <x v="0"/>
    <n v="64"/>
    <x v="0"/>
    <x v="0"/>
    <x v="0"/>
    <n v="36900"/>
    <n v="5"/>
    <n v="184500"/>
    <x v="555"/>
    <s v="Saturday"/>
    <s v="Weekend"/>
  </r>
  <r>
    <s v="ORD-01815"/>
    <s v="CUST0077"/>
    <x v="0"/>
    <x v="1"/>
    <n v="50"/>
    <x v="1"/>
    <x v="1"/>
    <x v="1"/>
    <n v="12300"/>
    <n v="1"/>
    <n v="12300"/>
    <x v="562"/>
    <s v="Saturday"/>
    <s v="Weekend"/>
  </r>
  <r>
    <s v="ORD-01816"/>
    <s v="CUST0125"/>
    <x v="2"/>
    <x v="0"/>
    <n v="46"/>
    <x v="0"/>
    <x v="0"/>
    <x v="0"/>
    <n v="36900"/>
    <n v="5"/>
    <n v="184500"/>
    <x v="416"/>
    <s v="Sunday"/>
    <s v="Weekday"/>
  </r>
  <r>
    <s v="ORD-01817"/>
    <s v="CUST0172"/>
    <x v="1"/>
    <x v="5"/>
    <n v="56"/>
    <x v="0"/>
    <x v="4"/>
    <x v="1"/>
    <n v="6150"/>
    <n v="5"/>
    <n v="30750"/>
    <x v="591"/>
    <s v="Monday"/>
    <s v="Weekday"/>
  </r>
  <r>
    <s v="ORD-01818"/>
    <s v="CUST0129"/>
    <x v="0"/>
    <x v="2"/>
    <n v="66"/>
    <x v="0"/>
    <x v="1"/>
    <x v="1"/>
    <n v="12300"/>
    <n v="5"/>
    <n v="61500"/>
    <x v="389"/>
    <s v="Tuesday"/>
    <s v="Weekday"/>
  </r>
  <r>
    <s v="ORD-01819"/>
    <s v="CUST0146"/>
    <x v="2"/>
    <x v="0"/>
    <n v="47"/>
    <x v="1"/>
    <x v="5"/>
    <x v="1"/>
    <n v="3690"/>
    <n v="4"/>
    <n v="14760"/>
    <x v="478"/>
    <s v="Sunday"/>
    <s v="Weekday"/>
  </r>
  <r>
    <s v="ORD-01820"/>
    <s v="CUST0298"/>
    <x v="2"/>
    <x v="0"/>
    <n v="58"/>
    <x v="1"/>
    <x v="2"/>
    <x v="0"/>
    <n v="184500"/>
    <n v="5"/>
    <n v="922500"/>
    <x v="488"/>
    <s v="Tuesday"/>
    <s v="Weekday"/>
  </r>
  <r>
    <s v="ORD-01821"/>
    <s v="CUST0148"/>
    <x v="0"/>
    <x v="7"/>
    <n v="67"/>
    <x v="1"/>
    <x v="6"/>
    <x v="0"/>
    <n v="98400"/>
    <n v="1"/>
    <n v="98400"/>
    <x v="409"/>
    <s v="Monday"/>
    <s v="Weekday"/>
  </r>
  <r>
    <s v="ORD-01822"/>
    <s v="CUST0050"/>
    <x v="2"/>
    <x v="1"/>
    <n v="40"/>
    <x v="3"/>
    <x v="5"/>
    <x v="1"/>
    <n v="3690"/>
    <n v="1"/>
    <n v="3690"/>
    <x v="414"/>
    <s v="Tuesday"/>
    <s v="Weekday"/>
  </r>
  <r>
    <s v="ORD-01823"/>
    <s v="CUST0138"/>
    <x v="2"/>
    <x v="0"/>
    <n v="46"/>
    <x v="2"/>
    <x v="4"/>
    <x v="1"/>
    <n v="6150"/>
    <n v="1"/>
    <n v="6150"/>
    <x v="413"/>
    <s v="Sunday"/>
    <s v="Weekday"/>
  </r>
  <r>
    <s v="ORD-01824"/>
    <s v="CUST0010"/>
    <x v="2"/>
    <x v="2"/>
    <n v="37"/>
    <x v="0"/>
    <x v="1"/>
    <x v="1"/>
    <n v="12300"/>
    <n v="2"/>
    <n v="24600"/>
    <x v="654"/>
    <s v="Sunday"/>
    <s v="Weekday"/>
  </r>
  <r>
    <s v="ORD-01825"/>
    <s v="CUST0163"/>
    <x v="1"/>
    <x v="0"/>
    <n v="22"/>
    <x v="2"/>
    <x v="4"/>
    <x v="1"/>
    <n v="6150"/>
    <n v="5"/>
    <n v="30750"/>
    <x v="627"/>
    <s v="Wednesday"/>
    <s v="Weekday"/>
  </r>
  <r>
    <s v="ORD-01826"/>
    <s v="CUST0032"/>
    <x v="0"/>
    <x v="4"/>
    <n v="63"/>
    <x v="0"/>
    <x v="5"/>
    <x v="1"/>
    <n v="3690"/>
    <n v="4"/>
    <n v="14760"/>
    <x v="617"/>
    <s v="Tuesday"/>
    <s v="Weekday"/>
  </r>
  <r>
    <s v="ORD-01827"/>
    <s v="CUST0207"/>
    <x v="0"/>
    <x v="5"/>
    <n v="54"/>
    <x v="0"/>
    <x v="1"/>
    <x v="1"/>
    <n v="12300"/>
    <n v="2"/>
    <n v="24600"/>
    <x v="493"/>
    <s v="Wednesday"/>
    <s v="Weekday"/>
  </r>
  <r>
    <s v="ORD-01828"/>
    <s v="CUST0019"/>
    <x v="0"/>
    <x v="0"/>
    <n v="69"/>
    <x v="0"/>
    <x v="4"/>
    <x v="1"/>
    <n v="6150"/>
    <n v="5"/>
    <n v="30750"/>
    <x v="617"/>
    <s v="Tuesday"/>
    <s v="Weekday"/>
  </r>
  <r>
    <s v="ORD-01829"/>
    <s v="CUST0180"/>
    <x v="0"/>
    <x v="5"/>
    <n v="68"/>
    <x v="1"/>
    <x v="4"/>
    <x v="1"/>
    <n v="6150"/>
    <n v="3"/>
    <n v="18450"/>
    <x v="436"/>
    <s v="Wednesday"/>
    <s v="Weekday"/>
  </r>
  <r>
    <s v="ORD-01830"/>
    <s v="CUST0118"/>
    <x v="0"/>
    <x v="2"/>
    <n v="23"/>
    <x v="3"/>
    <x v="6"/>
    <x v="0"/>
    <n v="98400"/>
    <n v="3"/>
    <n v="295200"/>
    <x v="418"/>
    <s v="Wednesday"/>
    <s v="Weekday"/>
  </r>
  <r>
    <s v="ORD-01831"/>
    <s v="CUST0155"/>
    <x v="2"/>
    <x v="1"/>
    <n v="41"/>
    <x v="1"/>
    <x v="3"/>
    <x v="2"/>
    <n v="24600"/>
    <n v="5"/>
    <n v="123000"/>
    <x v="585"/>
    <s v="Monday"/>
    <s v="Weekday"/>
  </r>
  <r>
    <s v="ORD-01832"/>
    <s v="CUST0240"/>
    <x v="0"/>
    <x v="7"/>
    <n v="39"/>
    <x v="0"/>
    <x v="3"/>
    <x v="2"/>
    <n v="24600"/>
    <n v="4"/>
    <n v="98400"/>
    <x v="624"/>
    <s v="Tuesday"/>
    <s v="Weekday"/>
  </r>
  <r>
    <s v="ORD-01833"/>
    <s v="CUST0023"/>
    <x v="0"/>
    <x v="1"/>
    <n v="29"/>
    <x v="2"/>
    <x v="4"/>
    <x v="1"/>
    <n v="6150"/>
    <n v="2"/>
    <n v="12300"/>
    <x v="659"/>
    <s v="Sunday"/>
    <s v="Weekday"/>
  </r>
  <r>
    <s v="ORD-01834"/>
    <s v="CUST0100"/>
    <x v="0"/>
    <x v="0"/>
    <n v="29"/>
    <x v="0"/>
    <x v="1"/>
    <x v="1"/>
    <n v="12300"/>
    <n v="2"/>
    <n v="24600"/>
    <x v="376"/>
    <s v="Thursday"/>
    <s v="Weekday"/>
  </r>
  <r>
    <s v="ORD-01835"/>
    <s v="CUST0052"/>
    <x v="0"/>
    <x v="0"/>
    <n v="66"/>
    <x v="0"/>
    <x v="4"/>
    <x v="1"/>
    <n v="6150"/>
    <n v="5"/>
    <n v="30750"/>
    <x v="661"/>
    <s v="Friday"/>
    <s v="Weekend"/>
  </r>
  <r>
    <s v="ORD-01836"/>
    <s v="CUST0168"/>
    <x v="1"/>
    <x v="0"/>
    <n v="42"/>
    <x v="3"/>
    <x v="0"/>
    <x v="0"/>
    <n v="36900"/>
    <n v="4"/>
    <n v="147600"/>
    <x v="490"/>
    <s v="Tuesday"/>
    <s v="Weekday"/>
  </r>
  <r>
    <s v="ORD-01837"/>
    <s v="CUST0129"/>
    <x v="0"/>
    <x v="2"/>
    <n v="66"/>
    <x v="0"/>
    <x v="4"/>
    <x v="1"/>
    <n v="6150"/>
    <n v="2"/>
    <n v="12300"/>
    <x v="482"/>
    <s v="Wednesday"/>
    <s v="Weekday"/>
  </r>
  <r>
    <s v="ORD-01838"/>
    <s v="CUST0043"/>
    <x v="0"/>
    <x v="3"/>
    <n v="22"/>
    <x v="1"/>
    <x v="4"/>
    <x v="1"/>
    <n v="6150"/>
    <n v="2"/>
    <n v="12300"/>
    <x v="504"/>
    <s v="Tuesday"/>
    <s v="Weekday"/>
  </r>
  <r>
    <s v="ORD-01839"/>
    <s v="CUST0225"/>
    <x v="2"/>
    <x v="0"/>
    <n v="65"/>
    <x v="3"/>
    <x v="1"/>
    <x v="1"/>
    <n v="12300"/>
    <n v="4"/>
    <n v="49200"/>
    <x v="532"/>
    <s v="Saturday"/>
    <s v="Weekend"/>
  </r>
  <r>
    <s v="ORD-01840"/>
    <s v="CUST0168"/>
    <x v="1"/>
    <x v="0"/>
    <n v="42"/>
    <x v="3"/>
    <x v="4"/>
    <x v="1"/>
    <n v="6150"/>
    <n v="3"/>
    <n v="18450"/>
    <x v="662"/>
    <s v="Monday"/>
    <s v="Weekday"/>
  </r>
  <r>
    <s v="ORD-01841"/>
    <s v="CUST0073"/>
    <x v="0"/>
    <x v="0"/>
    <n v="19"/>
    <x v="3"/>
    <x v="6"/>
    <x v="0"/>
    <n v="98400"/>
    <n v="1"/>
    <n v="98400"/>
    <x v="558"/>
    <s v="Sunday"/>
    <s v="Weekday"/>
  </r>
  <r>
    <s v="ORD-01842"/>
    <s v="CUST0011"/>
    <x v="2"/>
    <x v="0"/>
    <n v="54"/>
    <x v="0"/>
    <x v="3"/>
    <x v="2"/>
    <n v="24600"/>
    <n v="1"/>
    <n v="24600"/>
    <x v="466"/>
    <s v="Wednesday"/>
    <s v="Weekday"/>
  </r>
  <r>
    <s v="ORD-01843"/>
    <s v="CUST0147"/>
    <x v="0"/>
    <x v="1"/>
    <n v="64"/>
    <x v="3"/>
    <x v="5"/>
    <x v="1"/>
    <n v="3690"/>
    <n v="4"/>
    <n v="14760"/>
    <x v="403"/>
    <s v="Friday"/>
    <s v="Weekend"/>
  </r>
  <r>
    <s v="ORD-01844"/>
    <s v="CUST0195"/>
    <x v="1"/>
    <x v="0"/>
    <n v="48"/>
    <x v="3"/>
    <x v="4"/>
    <x v="1"/>
    <n v="6150"/>
    <n v="5"/>
    <n v="30750"/>
    <x v="565"/>
    <s v="Sunday"/>
    <s v="Weekday"/>
  </r>
  <r>
    <s v="ORD-01845"/>
    <s v="CUST0026"/>
    <x v="2"/>
    <x v="5"/>
    <n v="27"/>
    <x v="1"/>
    <x v="1"/>
    <x v="1"/>
    <n v="12300"/>
    <n v="1"/>
    <n v="12300"/>
    <x v="657"/>
    <s v="Sunday"/>
    <s v="Weekday"/>
  </r>
  <r>
    <s v="ORD-01846"/>
    <s v="CUST0271"/>
    <x v="0"/>
    <x v="0"/>
    <n v="46"/>
    <x v="2"/>
    <x v="0"/>
    <x v="0"/>
    <n v="36900"/>
    <n v="2"/>
    <n v="73800"/>
    <x v="609"/>
    <s v="Saturday"/>
    <s v="Weekend"/>
  </r>
  <r>
    <s v="ORD-01847"/>
    <s v="CUST0227"/>
    <x v="2"/>
    <x v="6"/>
    <n v="54"/>
    <x v="1"/>
    <x v="2"/>
    <x v="0"/>
    <n v="184500"/>
    <n v="1"/>
    <n v="184500"/>
    <x v="629"/>
    <s v="Friday"/>
    <s v="Weekend"/>
  </r>
  <r>
    <s v="ORD-01848"/>
    <s v="CUST0120"/>
    <x v="2"/>
    <x v="1"/>
    <n v="35"/>
    <x v="1"/>
    <x v="3"/>
    <x v="2"/>
    <n v="24600"/>
    <n v="3"/>
    <n v="73800"/>
    <x v="518"/>
    <s v="Wednesday"/>
    <s v="Weekday"/>
  </r>
  <r>
    <s v="ORD-01849"/>
    <s v="CUST0077"/>
    <x v="0"/>
    <x v="1"/>
    <n v="50"/>
    <x v="2"/>
    <x v="6"/>
    <x v="0"/>
    <n v="98400"/>
    <n v="2"/>
    <n v="196800"/>
    <x v="249"/>
    <s v="Friday"/>
    <s v="Weekend"/>
  </r>
  <r>
    <s v="ORD-01850"/>
    <s v="CUST0221"/>
    <x v="0"/>
    <x v="7"/>
    <n v="33"/>
    <x v="2"/>
    <x v="5"/>
    <x v="1"/>
    <n v="3690"/>
    <n v="5"/>
    <n v="18450"/>
    <x v="392"/>
    <s v="Saturday"/>
    <s v="Weekend"/>
  </r>
  <r>
    <s v="ORD-01851"/>
    <s v="CUST0135"/>
    <x v="0"/>
    <x v="6"/>
    <n v="41"/>
    <x v="3"/>
    <x v="1"/>
    <x v="1"/>
    <n v="12300"/>
    <n v="2"/>
    <n v="24600"/>
    <x v="463"/>
    <s v="Thursday"/>
    <s v="Weekday"/>
  </r>
  <r>
    <s v="ORD-01852"/>
    <s v="CUST0256"/>
    <x v="0"/>
    <x v="2"/>
    <n v="69"/>
    <x v="1"/>
    <x v="5"/>
    <x v="1"/>
    <n v="3690"/>
    <n v="5"/>
    <n v="18450"/>
    <x v="393"/>
    <s v="Sunday"/>
    <s v="Weekday"/>
  </r>
  <r>
    <s v="ORD-01853"/>
    <s v="CUST0241"/>
    <x v="1"/>
    <x v="0"/>
    <n v="27"/>
    <x v="0"/>
    <x v="2"/>
    <x v="0"/>
    <n v="184500"/>
    <n v="3"/>
    <n v="553500"/>
    <x v="494"/>
    <s v="Sunday"/>
    <s v="Weekday"/>
  </r>
  <r>
    <s v="ORD-01854"/>
    <s v="CUST0039"/>
    <x v="0"/>
    <x v="1"/>
    <n v="60"/>
    <x v="1"/>
    <x v="6"/>
    <x v="0"/>
    <n v="98400"/>
    <n v="3"/>
    <n v="295200"/>
    <x v="651"/>
    <s v="Tuesday"/>
    <s v="Weekday"/>
  </r>
  <r>
    <s v="ORD-01855"/>
    <s v="CUST0005"/>
    <x v="1"/>
    <x v="4"/>
    <n v="56"/>
    <x v="2"/>
    <x v="4"/>
    <x v="1"/>
    <n v="6150"/>
    <n v="2"/>
    <n v="12300"/>
    <x v="578"/>
    <s v="Sunday"/>
    <s v="Weekday"/>
  </r>
  <r>
    <s v="ORD-01856"/>
    <s v="CUST0161"/>
    <x v="0"/>
    <x v="5"/>
    <n v="62"/>
    <x v="3"/>
    <x v="1"/>
    <x v="1"/>
    <n v="12300"/>
    <n v="1"/>
    <n v="12300"/>
    <x v="536"/>
    <s v="Monday"/>
    <s v="Weekday"/>
  </r>
  <r>
    <s v="ORD-01857"/>
    <s v="CUST0182"/>
    <x v="0"/>
    <x v="0"/>
    <n v="19"/>
    <x v="3"/>
    <x v="6"/>
    <x v="0"/>
    <n v="98400"/>
    <n v="3"/>
    <n v="295200"/>
    <x v="632"/>
    <s v="Monday"/>
    <s v="Weekday"/>
  </r>
  <r>
    <s v="ORD-01858"/>
    <s v="CUST0041"/>
    <x v="0"/>
    <x v="0"/>
    <n v="64"/>
    <x v="3"/>
    <x v="2"/>
    <x v="0"/>
    <n v="184500"/>
    <n v="4"/>
    <n v="738000"/>
    <x v="562"/>
    <s v="Saturday"/>
    <s v="Weekend"/>
  </r>
  <r>
    <s v="ORD-01859"/>
    <s v="CUST0104"/>
    <x v="0"/>
    <x v="1"/>
    <n v="40"/>
    <x v="0"/>
    <x v="1"/>
    <x v="1"/>
    <n v="12300"/>
    <n v="2"/>
    <n v="24600"/>
    <x v="603"/>
    <s v="Monday"/>
    <s v="Weekday"/>
  </r>
  <r>
    <s v="ORD-01860"/>
    <s v="CUST0120"/>
    <x v="2"/>
    <x v="1"/>
    <n v="35"/>
    <x v="0"/>
    <x v="3"/>
    <x v="2"/>
    <n v="24600"/>
    <n v="5"/>
    <n v="123000"/>
    <x v="568"/>
    <s v="Thursday"/>
    <s v="Weekday"/>
  </r>
  <r>
    <s v="ORD-01861"/>
    <s v="CUST0201"/>
    <x v="1"/>
    <x v="1"/>
    <n v="49"/>
    <x v="2"/>
    <x v="3"/>
    <x v="2"/>
    <n v="24600"/>
    <n v="5"/>
    <n v="123000"/>
    <x v="403"/>
    <s v="Friday"/>
    <s v="Weekend"/>
  </r>
  <r>
    <s v="ORD-01862"/>
    <s v="CUST0056"/>
    <x v="1"/>
    <x v="2"/>
    <n v="23"/>
    <x v="3"/>
    <x v="1"/>
    <x v="1"/>
    <n v="12300"/>
    <n v="1"/>
    <n v="12300"/>
    <x v="477"/>
    <s v="Thursday"/>
    <s v="Weekday"/>
  </r>
  <r>
    <s v="ORD-01863"/>
    <s v="CUST0127"/>
    <x v="0"/>
    <x v="6"/>
    <n v="62"/>
    <x v="1"/>
    <x v="0"/>
    <x v="0"/>
    <n v="36900"/>
    <n v="4"/>
    <n v="147600"/>
    <x v="639"/>
    <s v="Saturday"/>
    <s v="Weekend"/>
  </r>
  <r>
    <s v="ORD-01864"/>
    <s v="CUST0031"/>
    <x v="0"/>
    <x v="1"/>
    <n v="67"/>
    <x v="3"/>
    <x v="5"/>
    <x v="1"/>
    <n v="3690"/>
    <n v="3"/>
    <n v="11070"/>
    <x v="199"/>
    <s v="Saturday"/>
    <s v="Weekend"/>
  </r>
  <r>
    <s v="ORD-01865"/>
    <s v="CUST0006"/>
    <x v="2"/>
    <x v="0"/>
    <n v="52"/>
    <x v="1"/>
    <x v="0"/>
    <x v="0"/>
    <n v="36900"/>
    <n v="3"/>
    <n v="110700"/>
    <x v="444"/>
    <s v="Saturday"/>
    <s v="Weekend"/>
  </r>
  <r>
    <s v="ORD-01866"/>
    <s v="CUST0177"/>
    <x v="1"/>
    <x v="1"/>
    <n v="29"/>
    <x v="1"/>
    <x v="3"/>
    <x v="2"/>
    <n v="24600"/>
    <n v="5"/>
    <n v="123000"/>
    <x v="663"/>
    <s v="Monday"/>
    <s v="Weekday"/>
  </r>
  <r>
    <s v="ORD-01867"/>
    <s v="CUST0180"/>
    <x v="0"/>
    <x v="5"/>
    <n v="68"/>
    <x v="0"/>
    <x v="3"/>
    <x v="2"/>
    <n v="24600"/>
    <n v="5"/>
    <n v="123000"/>
    <x v="484"/>
    <s v="Wednesday"/>
    <s v="Weekday"/>
  </r>
  <r>
    <s v="ORD-01868"/>
    <s v="CUST0086"/>
    <x v="0"/>
    <x v="7"/>
    <n v="26"/>
    <x v="3"/>
    <x v="3"/>
    <x v="2"/>
    <n v="24600"/>
    <n v="5"/>
    <n v="123000"/>
    <x v="500"/>
    <s v="Wednesday"/>
    <s v="Weekday"/>
  </r>
  <r>
    <s v="ORD-01869"/>
    <s v="CUST0027"/>
    <x v="1"/>
    <x v="6"/>
    <n v="36"/>
    <x v="2"/>
    <x v="4"/>
    <x v="1"/>
    <n v="6150"/>
    <n v="3"/>
    <n v="18450"/>
    <x v="386"/>
    <s v="Wednesday"/>
    <s v="Weekday"/>
  </r>
  <r>
    <s v="ORD-01870"/>
    <s v="CUST0019"/>
    <x v="0"/>
    <x v="0"/>
    <n v="69"/>
    <x v="3"/>
    <x v="0"/>
    <x v="0"/>
    <n v="36900"/>
    <n v="3"/>
    <n v="110700"/>
    <x v="645"/>
    <s v="Wednesday"/>
    <s v="Weekday"/>
  </r>
  <r>
    <s v="ORD-01871"/>
    <s v="CUST0094"/>
    <x v="0"/>
    <x v="7"/>
    <n v="30"/>
    <x v="3"/>
    <x v="1"/>
    <x v="1"/>
    <n v="12300"/>
    <n v="5"/>
    <n v="61500"/>
    <x v="476"/>
    <s v="Sunday"/>
    <s v="Weekday"/>
  </r>
  <r>
    <s v="ORD-01872"/>
    <s v="CUST0114"/>
    <x v="0"/>
    <x v="0"/>
    <n v="60"/>
    <x v="2"/>
    <x v="3"/>
    <x v="2"/>
    <n v="24600"/>
    <n v="1"/>
    <n v="24600"/>
    <x v="394"/>
    <s v="Thursday"/>
    <s v="Weekday"/>
  </r>
  <r>
    <s v="ORD-01873"/>
    <s v="CUST0037"/>
    <x v="2"/>
    <x v="2"/>
    <n v="51"/>
    <x v="2"/>
    <x v="2"/>
    <x v="0"/>
    <n v="184500"/>
    <n v="4"/>
    <n v="738000"/>
    <x v="412"/>
    <s v="Monday"/>
    <s v="Weekday"/>
  </r>
  <r>
    <s v="ORD-01874"/>
    <s v="CUST0047"/>
    <x v="1"/>
    <x v="1"/>
    <n v="41"/>
    <x v="3"/>
    <x v="4"/>
    <x v="1"/>
    <n v="6150"/>
    <n v="5"/>
    <n v="30750"/>
    <x v="539"/>
    <s v="Sunday"/>
    <s v="Weekday"/>
  </r>
  <r>
    <s v="ORD-01875"/>
    <s v="CUST0012"/>
    <x v="0"/>
    <x v="1"/>
    <n v="28"/>
    <x v="2"/>
    <x v="3"/>
    <x v="2"/>
    <n v="24600"/>
    <n v="5"/>
    <n v="123000"/>
    <x v="599"/>
    <s v="Sunday"/>
    <s v="Weekday"/>
  </r>
  <r>
    <s v="ORD-01876"/>
    <s v="CUST0287"/>
    <x v="1"/>
    <x v="0"/>
    <n v="60"/>
    <x v="1"/>
    <x v="5"/>
    <x v="1"/>
    <n v="3690"/>
    <n v="2"/>
    <n v="7380"/>
    <x v="573"/>
    <s v="Tuesday"/>
    <s v="Weekday"/>
  </r>
  <r>
    <s v="ORD-01877"/>
    <s v="CUST0135"/>
    <x v="0"/>
    <x v="6"/>
    <n v="41"/>
    <x v="0"/>
    <x v="1"/>
    <x v="1"/>
    <n v="12300"/>
    <n v="4"/>
    <n v="49200"/>
    <x v="450"/>
    <s v="Thursday"/>
    <s v="Weekday"/>
  </r>
  <r>
    <s v="ORD-01878"/>
    <s v="CUST0014"/>
    <x v="0"/>
    <x v="0"/>
    <n v="20"/>
    <x v="2"/>
    <x v="1"/>
    <x v="1"/>
    <n v="12300"/>
    <n v="3"/>
    <n v="36900"/>
    <x v="606"/>
    <s v="Sunday"/>
    <s v="Weekday"/>
  </r>
  <r>
    <s v="ORD-01879"/>
    <s v="CUST0083"/>
    <x v="0"/>
    <x v="2"/>
    <n v="28"/>
    <x v="1"/>
    <x v="1"/>
    <x v="1"/>
    <n v="12300"/>
    <n v="3"/>
    <n v="36900"/>
    <x v="386"/>
    <s v="Wednesday"/>
    <s v="Weekday"/>
  </r>
  <r>
    <s v="ORD-01880"/>
    <s v="CUST0139"/>
    <x v="0"/>
    <x v="1"/>
    <n v="57"/>
    <x v="0"/>
    <x v="6"/>
    <x v="0"/>
    <n v="98400"/>
    <n v="3"/>
    <n v="295200"/>
    <x v="510"/>
    <s v="Saturday"/>
    <s v="Weekend"/>
  </r>
  <r>
    <s v="ORD-01881"/>
    <s v="CUST0194"/>
    <x v="1"/>
    <x v="7"/>
    <n v="61"/>
    <x v="2"/>
    <x v="3"/>
    <x v="2"/>
    <n v="24600"/>
    <n v="3"/>
    <n v="73800"/>
    <x v="387"/>
    <s v="Monday"/>
    <s v="Weekday"/>
  </r>
  <r>
    <s v="ORD-01882"/>
    <s v="CUST0227"/>
    <x v="2"/>
    <x v="6"/>
    <n v="54"/>
    <x v="0"/>
    <x v="1"/>
    <x v="1"/>
    <n v="12300"/>
    <n v="1"/>
    <n v="12300"/>
    <x v="422"/>
    <s v="Tuesday"/>
    <s v="Weekday"/>
  </r>
  <r>
    <s v="ORD-01883"/>
    <s v="CUST0105"/>
    <x v="0"/>
    <x v="4"/>
    <n v="27"/>
    <x v="3"/>
    <x v="4"/>
    <x v="1"/>
    <n v="6150"/>
    <n v="5"/>
    <n v="30750"/>
    <x v="430"/>
    <s v="Friday"/>
    <s v="Weekend"/>
  </r>
  <r>
    <s v="ORD-01884"/>
    <s v="CUST0177"/>
    <x v="1"/>
    <x v="1"/>
    <n v="29"/>
    <x v="2"/>
    <x v="5"/>
    <x v="1"/>
    <n v="3690"/>
    <n v="1"/>
    <n v="3690"/>
    <x v="376"/>
    <s v="Thursday"/>
    <s v="Weekday"/>
  </r>
  <r>
    <s v="ORD-01885"/>
    <s v="CUST0206"/>
    <x v="2"/>
    <x v="0"/>
    <n v="43"/>
    <x v="1"/>
    <x v="1"/>
    <x v="1"/>
    <n v="12300"/>
    <n v="5"/>
    <n v="61500"/>
    <x v="455"/>
    <s v="Tuesday"/>
    <s v="Weekday"/>
  </r>
  <r>
    <s v="ORD-01886"/>
    <s v="CUST0161"/>
    <x v="0"/>
    <x v="5"/>
    <n v="62"/>
    <x v="1"/>
    <x v="1"/>
    <x v="1"/>
    <n v="12300"/>
    <n v="4"/>
    <n v="49200"/>
    <x v="421"/>
    <s v="Monday"/>
    <s v="Weekday"/>
  </r>
  <r>
    <s v="ORD-01887"/>
    <s v="CUST0137"/>
    <x v="1"/>
    <x v="2"/>
    <n v="19"/>
    <x v="0"/>
    <x v="1"/>
    <x v="1"/>
    <n v="12300"/>
    <n v="1"/>
    <n v="12300"/>
    <x v="554"/>
    <s v="Tuesday"/>
    <s v="Weekday"/>
  </r>
  <r>
    <s v="ORD-01888"/>
    <s v="CUST0127"/>
    <x v="0"/>
    <x v="6"/>
    <n v="62"/>
    <x v="1"/>
    <x v="3"/>
    <x v="2"/>
    <n v="24600"/>
    <n v="2"/>
    <n v="49200"/>
    <x v="634"/>
    <s v="Monday"/>
    <s v="Weekday"/>
  </r>
  <r>
    <s v="ORD-01889"/>
    <s v="CUST0003"/>
    <x v="0"/>
    <x v="0"/>
    <n v="63"/>
    <x v="1"/>
    <x v="0"/>
    <x v="0"/>
    <n v="36900"/>
    <n v="2"/>
    <n v="73800"/>
    <x v="465"/>
    <s v="Sunday"/>
    <s v="Weekday"/>
  </r>
  <r>
    <s v="ORD-01890"/>
    <s v="CUST0172"/>
    <x v="1"/>
    <x v="5"/>
    <n v="56"/>
    <x v="2"/>
    <x v="5"/>
    <x v="1"/>
    <n v="3690"/>
    <n v="3"/>
    <n v="11070"/>
    <x v="463"/>
    <s v="Thursday"/>
    <s v="Weekday"/>
  </r>
  <r>
    <s v="ORD-01891"/>
    <s v="CUST0054"/>
    <x v="1"/>
    <x v="6"/>
    <n v="64"/>
    <x v="0"/>
    <x v="6"/>
    <x v="0"/>
    <n v="98400"/>
    <n v="1"/>
    <n v="98400"/>
    <x v="664"/>
    <s v="Sunday"/>
    <s v="Weekday"/>
  </r>
  <r>
    <s v="ORD-01892"/>
    <s v="CUST0253"/>
    <x v="1"/>
    <x v="5"/>
    <n v="51"/>
    <x v="1"/>
    <x v="3"/>
    <x v="2"/>
    <n v="24600"/>
    <n v="5"/>
    <n v="123000"/>
    <x v="377"/>
    <s v="Saturday"/>
    <s v="Weekend"/>
  </r>
  <r>
    <s v="ORD-01893"/>
    <s v="CUST0061"/>
    <x v="1"/>
    <x v="5"/>
    <n v="35"/>
    <x v="3"/>
    <x v="4"/>
    <x v="1"/>
    <n v="6150"/>
    <n v="1"/>
    <n v="6150"/>
    <x v="460"/>
    <s v="Tuesday"/>
    <s v="Weekday"/>
  </r>
  <r>
    <s v="ORD-01894"/>
    <s v="CUST0007"/>
    <x v="1"/>
    <x v="5"/>
    <n v="52"/>
    <x v="2"/>
    <x v="1"/>
    <x v="1"/>
    <n v="12300"/>
    <n v="5"/>
    <n v="61500"/>
    <x v="500"/>
    <s v="Wednesday"/>
    <s v="Weekday"/>
  </r>
  <r>
    <s v="ORD-01895"/>
    <s v="CUST0292"/>
    <x v="0"/>
    <x v="0"/>
    <n v="21"/>
    <x v="1"/>
    <x v="3"/>
    <x v="2"/>
    <n v="24600"/>
    <n v="5"/>
    <n v="123000"/>
    <x v="665"/>
    <s v="Thursday"/>
    <s v="Weekday"/>
  </r>
  <r>
    <s v="ORD-01896"/>
    <s v="CUST0095"/>
    <x v="1"/>
    <x v="0"/>
    <n v="60"/>
    <x v="1"/>
    <x v="3"/>
    <x v="2"/>
    <n v="24600"/>
    <n v="4"/>
    <n v="98400"/>
    <x v="586"/>
    <s v="Saturday"/>
    <s v="Weekend"/>
  </r>
  <r>
    <s v="ORD-01897"/>
    <s v="CUST0208"/>
    <x v="1"/>
    <x v="6"/>
    <n v="57"/>
    <x v="1"/>
    <x v="3"/>
    <x v="2"/>
    <n v="24600"/>
    <n v="2"/>
    <n v="49200"/>
    <x v="277"/>
    <s v="Monday"/>
    <s v="Weekday"/>
  </r>
  <r>
    <s v="ORD-01898"/>
    <s v="CUST0190"/>
    <x v="0"/>
    <x v="0"/>
    <n v="28"/>
    <x v="2"/>
    <x v="5"/>
    <x v="1"/>
    <n v="3690"/>
    <n v="5"/>
    <n v="18450"/>
    <x v="618"/>
    <s v="Wednesday"/>
    <s v="Weekday"/>
  </r>
  <r>
    <s v="ORD-01899"/>
    <s v="CUST0240"/>
    <x v="0"/>
    <x v="7"/>
    <n v="39"/>
    <x v="2"/>
    <x v="0"/>
    <x v="0"/>
    <n v="36900"/>
    <n v="5"/>
    <n v="184500"/>
    <x v="666"/>
    <s v="Friday"/>
    <s v="Weekend"/>
  </r>
  <r>
    <s v="ORD-01900"/>
    <s v="CUST0090"/>
    <x v="0"/>
    <x v="0"/>
    <n v="61"/>
    <x v="0"/>
    <x v="1"/>
    <x v="1"/>
    <n v="12300"/>
    <n v="4"/>
    <n v="49200"/>
    <x v="385"/>
    <s v="Sunday"/>
    <s v="Weekday"/>
  </r>
  <r>
    <s v="ORD-01901"/>
    <s v="CUST0163"/>
    <x v="1"/>
    <x v="0"/>
    <n v="22"/>
    <x v="2"/>
    <x v="3"/>
    <x v="2"/>
    <n v="24600"/>
    <n v="5"/>
    <n v="123000"/>
    <x v="433"/>
    <s v="Sunday"/>
    <s v="Weekday"/>
  </r>
  <r>
    <s v="ORD-01902"/>
    <s v="CUST0136"/>
    <x v="1"/>
    <x v="0"/>
    <n v="36"/>
    <x v="1"/>
    <x v="0"/>
    <x v="0"/>
    <n v="36900"/>
    <n v="3"/>
    <n v="110700"/>
    <x v="554"/>
    <s v="Tuesday"/>
    <s v="Weekday"/>
  </r>
  <r>
    <s v="ORD-01903"/>
    <s v="CUST0099"/>
    <x v="2"/>
    <x v="5"/>
    <n v="26"/>
    <x v="1"/>
    <x v="5"/>
    <x v="1"/>
    <n v="3690"/>
    <n v="1"/>
    <n v="3690"/>
    <x v="667"/>
    <s v="Wednesday"/>
    <s v="Weekday"/>
  </r>
  <r>
    <s v="ORD-01904"/>
    <s v="CUST0051"/>
    <x v="2"/>
    <x v="4"/>
    <n v="41"/>
    <x v="3"/>
    <x v="0"/>
    <x v="0"/>
    <n v="36900"/>
    <n v="5"/>
    <n v="184500"/>
    <x v="520"/>
    <s v="Wednesday"/>
    <s v="Weekday"/>
  </r>
  <r>
    <s v="ORD-01905"/>
    <s v="CUST0030"/>
    <x v="1"/>
    <x v="0"/>
    <n v="44"/>
    <x v="2"/>
    <x v="4"/>
    <x v="1"/>
    <n v="6150"/>
    <n v="2"/>
    <n v="12300"/>
    <x v="629"/>
    <s v="Friday"/>
    <s v="Weekend"/>
  </r>
  <r>
    <s v="ORD-01906"/>
    <s v="CUST0192"/>
    <x v="0"/>
    <x v="0"/>
    <n v="58"/>
    <x v="1"/>
    <x v="2"/>
    <x v="0"/>
    <n v="184500"/>
    <n v="5"/>
    <n v="922500"/>
    <x v="380"/>
    <s v="Saturday"/>
    <s v="Weekend"/>
  </r>
  <r>
    <s v="ORD-01907"/>
    <s v="CUST0170"/>
    <x v="2"/>
    <x v="3"/>
    <n v="40"/>
    <x v="3"/>
    <x v="1"/>
    <x v="1"/>
    <n v="12300"/>
    <n v="1"/>
    <n v="12300"/>
    <x v="647"/>
    <s v="Thursday"/>
    <s v="Weekday"/>
  </r>
  <r>
    <s v="ORD-01908"/>
    <s v="CUST0013"/>
    <x v="1"/>
    <x v="7"/>
    <n v="55"/>
    <x v="0"/>
    <x v="2"/>
    <x v="0"/>
    <n v="184500"/>
    <n v="2"/>
    <n v="369000"/>
    <x v="668"/>
    <s v="Wednesday"/>
    <s v="Weekday"/>
  </r>
  <r>
    <s v="ORD-01909"/>
    <s v="CUST0078"/>
    <x v="1"/>
    <x v="4"/>
    <n v="38"/>
    <x v="0"/>
    <x v="0"/>
    <x v="0"/>
    <n v="36900"/>
    <n v="5"/>
    <n v="184500"/>
    <x v="563"/>
    <s v="Friday"/>
    <s v="Weekend"/>
  </r>
  <r>
    <s v="ORD-01910"/>
    <s v="CUST0009"/>
    <x v="0"/>
    <x v="0"/>
    <n v="50"/>
    <x v="0"/>
    <x v="6"/>
    <x v="0"/>
    <n v="98400"/>
    <n v="4"/>
    <n v="393600"/>
    <x v="440"/>
    <s v="Friday"/>
    <s v="Weekend"/>
  </r>
  <r>
    <s v="ORD-01911"/>
    <s v="CUST0260"/>
    <x v="0"/>
    <x v="0"/>
    <n v="32"/>
    <x v="1"/>
    <x v="1"/>
    <x v="1"/>
    <n v="12300"/>
    <n v="2"/>
    <n v="24600"/>
    <x v="546"/>
    <s v="Thursday"/>
    <s v="Weekday"/>
  </r>
  <r>
    <s v="ORD-01912"/>
    <s v="CUST0018"/>
    <x v="1"/>
    <x v="2"/>
    <n v="38"/>
    <x v="1"/>
    <x v="3"/>
    <x v="2"/>
    <n v="24600"/>
    <n v="1"/>
    <n v="24600"/>
    <x v="649"/>
    <s v="Monday"/>
    <s v="Weekday"/>
  </r>
  <r>
    <s v="ORD-01913"/>
    <s v="CUST0120"/>
    <x v="2"/>
    <x v="1"/>
    <n v="35"/>
    <x v="0"/>
    <x v="2"/>
    <x v="0"/>
    <n v="184500"/>
    <n v="5"/>
    <n v="922500"/>
    <x v="591"/>
    <s v="Monday"/>
    <s v="Weekday"/>
  </r>
  <r>
    <s v="ORD-01914"/>
    <s v="CUST0289"/>
    <x v="1"/>
    <x v="3"/>
    <n v="37"/>
    <x v="3"/>
    <x v="1"/>
    <x v="1"/>
    <n v="12300"/>
    <n v="1"/>
    <n v="12300"/>
    <x v="450"/>
    <s v="Thursday"/>
    <s v="Weekday"/>
  </r>
  <r>
    <s v="ORD-01915"/>
    <s v="CUST0210"/>
    <x v="0"/>
    <x v="2"/>
    <n v="30"/>
    <x v="0"/>
    <x v="5"/>
    <x v="1"/>
    <n v="3690"/>
    <n v="5"/>
    <n v="18450"/>
    <x v="360"/>
    <s v="Wednesday"/>
    <s v="Weekday"/>
  </r>
  <r>
    <s v="ORD-01916"/>
    <s v="CUST0178"/>
    <x v="0"/>
    <x v="4"/>
    <n v="44"/>
    <x v="2"/>
    <x v="0"/>
    <x v="0"/>
    <n v="36900"/>
    <n v="1"/>
    <n v="36900"/>
    <x v="380"/>
    <s v="Saturday"/>
    <s v="Weekend"/>
  </r>
  <r>
    <s v="ORD-01917"/>
    <s v="CUST0080"/>
    <x v="0"/>
    <x v="5"/>
    <n v="51"/>
    <x v="1"/>
    <x v="4"/>
    <x v="1"/>
    <n v="6150"/>
    <n v="5"/>
    <n v="30750"/>
    <x v="454"/>
    <s v="Friday"/>
    <s v="Weekend"/>
  </r>
  <r>
    <s v="ORD-01918"/>
    <s v="CUST0243"/>
    <x v="2"/>
    <x v="3"/>
    <n v="58"/>
    <x v="1"/>
    <x v="5"/>
    <x v="1"/>
    <n v="3690"/>
    <n v="5"/>
    <n v="18450"/>
    <x v="445"/>
    <s v="Sunday"/>
    <s v="Weekday"/>
  </r>
  <r>
    <s v="ORD-01919"/>
    <s v="CUST0100"/>
    <x v="0"/>
    <x v="0"/>
    <n v="29"/>
    <x v="2"/>
    <x v="2"/>
    <x v="0"/>
    <n v="184500"/>
    <n v="3"/>
    <n v="553500"/>
    <x v="669"/>
    <s v="Saturday"/>
    <s v="Weekend"/>
  </r>
  <r>
    <s v="ORD-01920"/>
    <s v="CUST0200"/>
    <x v="1"/>
    <x v="0"/>
    <n v="68"/>
    <x v="1"/>
    <x v="6"/>
    <x v="0"/>
    <n v="98400"/>
    <n v="5"/>
    <n v="492000"/>
    <x v="599"/>
    <s v="Sunday"/>
    <s v="Weekday"/>
  </r>
  <r>
    <s v="ORD-01921"/>
    <s v="CUST0096"/>
    <x v="1"/>
    <x v="1"/>
    <n v="61"/>
    <x v="2"/>
    <x v="5"/>
    <x v="1"/>
    <n v="3690"/>
    <n v="3"/>
    <n v="11070"/>
    <x v="635"/>
    <s v="Saturday"/>
    <s v="Weekend"/>
  </r>
  <r>
    <s v="ORD-01922"/>
    <s v="CUST0082"/>
    <x v="1"/>
    <x v="0"/>
    <n v="30"/>
    <x v="0"/>
    <x v="5"/>
    <x v="1"/>
    <n v="3690"/>
    <n v="2"/>
    <n v="7380"/>
    <x v="654"/>
    <s v="Sunday"/>
    <s v="Weekday"/>
  </r>
  <r>
    <s v="ORD-01923"/>
    <s v="CUST0087"/>
    <x v="1"/>
    <x v="0"/>
    <n v="49"/>
    <x v="0"/>
    <x v="0"/>
    <x v="0"/>
    <n v="36900"/>
    <n v="4"/>
    <n v="147600"/>
    <x v="545"/>
    <s v="Saturday"/>
    <s v="Weekend"/>
  </r>
  <r>
    <s v="ORD-01924"/>
    <s v="CUST0186"/>
    <x v="1"/>
    <x v="7"/>
    <n v="55"/>
    <x v="1"/>
    <x v="3"/>
    <x v="2"/>
    <n v="24600"/>
    <n v="5"/>
    <n v="123000"/>
    <x v="437"/>
    <s v="Tuesday"/>
    <s v="Weekday"/>
  </r>
  <r>
    <s v="ORD-01925"/>
    <s v="CUST0278"/>
    <x v="1"/>
    <x v="4"/>
    <n v="52"/>
    <x v="1"/>
    <x v="1"/>
    <x v="1"/>
    <n v="12300"/>
    <n v="5"/>
    <n v="61500"/>
    <x v="412"/>
    <s v="Monday"/>
    <s v="Weekday"/>
  </r>
  <r>
    <s v="ORD-01926"/>
    <s v="CUST0009"/>
    <x v="0"/>
    <x v="0"/>
    <n v="50"/>
    <x v="0"/>
    <x v="3"/>
    <x v="2"/>
    <n v="24600"/>
    <n v="2"/>
    <n v="49200"/>
    <x v="455"/>
    <s v="Tuesday"/>
    <s v="Weekday"/>
  </r>
  <r>
    <s v="ORD-01927"/>
    <s v="CUST0109"/>
    <x v="0"/>
    <x v="0"/>
    <n v="57"/>
    <x v="2"/>
    <x v="1"/>
    <x v="1"/>
    <n v="12300"/>
    <n v="1"/>
    <n v="12300"/>
    <x v="582"/>
    <s v="Tuesday"/>
    <s v="Weekday"/>
  </r>
  <r>
    <s v="ORD-01928"/>
    <s v="CUST0083"/>
    <x v="0"/>
    <x v="2"/>
    <n v="28"/>
    <x v="0"/>
    <x v="5"/>
    <x v="1"/>
    <n v="3690"/>
    <n v="2"/>
    <n v="7380"/>
    <x v="670"/>
    <s v="Wednesday"/>
    <s v="Weekday"/>
  </r>
  <r>
    <s v="ORD-01929"/>
    <s v="CUST0042"/>
    <x v="1"/>
    <x v="1"/>
    <n v="57"/>
    <x v="2"/>
    <x v="2"/>
    <x v="0"/>
    <n v="184500"/>
    <n v="3"/>
    <n v="553500"/>
    <x v="665"/>
    <s v="Thursday"/>
    <s v="Weekday"/>
  </r>
  <r>
    <s v="ORD-01930"/>
    <s v="CUST0147"/>
    <x v="0"/>
    <x v="1"/>
    <n v="64"/>
    <x v="3"/>
    <x v="5"/>
    <x v="1"/>
    <n v="3690"/>
    <n v="2"/>
    <n v="7380"/>
    <x v="402"/>
    <s v="Tuesday"/>
    <s v="Weekday"/>
  </r>
  <r>
    <s v="ORD-01931"/>
    <s v="CUST0284"/>
    <x v="1"/>
    <x v="0"/>
    <n v="64"/>
    <x v="0"/>
    <x v="2"/>
    <x v="0"/>
    <n v="184500"/>
    <n v="3"/>
    <n v="553500"/>
    <x v="634"/>
    <s v="Monday"/>
    <s v="Weekday"/>
  </r>
  <r>
    <s v="ORD-01932"/>
    <s v="CUST0002"/>
    <x v="0"/>
    <x v="2"/>
    <n v="23"/>
    <x v="2"/>
    <x v="0"/>
    <x v="0"/>
    <n v="36900"/>
    <n v="3"/>
    <n v="110700"/>
    <x v="530"/>
    <s v="Friday"/>
    <s v="Weekend"/>
  </r>
  <r>
    <s v="ORD-01933"/>
    <s v="CUST0143"/>
    <x v="1"/>
    <x v="3"/>
    <n v="36"/>
    <x v="2"/>
    <x v="6"/>
    <x v="0"/>
    <n v="98400"/>
    <n v="2"/>
    <n v="196800"/>
    <x v="554"/>
    <s v="Tuesday"/>
    <s v="Weekday"/>
  </r>
  <r>
    <s v="ORD-01934"/>
    <s v="CUST0157"/>
    <x v="1"/>
    <x v="0"/>
    <n v="48"/>
    <x v="2"/>
    <x v="3"/>
    <x v="2"/>
    <n v="24600"/>
    <n v="1"/>
    <n v="24600"/>
    <x v="609"/>
    <s v="Saturday"/>
    <s v="Weekend"/>
  </r>
  <r>
    <s v="ORD-01935"/>
    <s v="CUST0294"/>
    <x v="1"/>
    <x v="7"/>
    <n v="49"/>
    <x v="1"/>
    <x v="6"/>
    <x v="0"/>
    <n v="98400"/>
    <n v="5"/>
    <n v="492000"/>
    <x v="402"/>
    <s v="Tuesday"/>
    <s v="Weekday"/>
  </r>
  <r>
    <s v="ORD-01936"/>
    <s v="CUST0103"/>
    <x v="2"/>
    <x v="0"/>
    <n v="23"/>
    <x v="1"/>
    <x v="5"/>
    <x v="1"/>
    <n v="3690"/>
    <n v="1"/>
    <n v="3690"/>
    <x v="543"/>
    <s v="Thursday"/>
    <s v="Weekday"/>
  </r>
  <r>
    <s v="ORD-01937"/>
    <s v="CUST0180"/>
    <x v="0"/>
    <x v="5"/>
    <n v="68"/>
    <x v="3"/>
    <x v="4"/>
    <x v="1"/>
    <n v="6150"/>
    <n v="5"/>
    <n v="30750"/>
    <x v="522"/>
    <s v="Monday"/>
    <s v="Weekday"/>
  </r>
  <r>
    <s v="ORD-01938"/>
    <s v="CUST0128"/>
    <x v="1"/>
    <x v="1"/>
    <n v="52"/>
    <x v="3"/>
    <x v="6"/>
    <x v="0"/>
    <n v="98400"/>
    <n v="3"/>
    <n v="295200"/>
    <x v="472"/>
    <s v="Tuesday"/>
    <s v="Weekday"/>
  </r>
  <r>
    <s v="ORD-01939"/>
    <s v="CUST0139"/>
    <x v="0"/>
    <x v="1"/>
    <n v="57"/>
    <x v="2"/>
    <x v="2"/>
    <x v="0"/>
    <n v="184500"/>
    <n v="4"/>
    <n v="738000"/>
    <x v="543"/>
    <s v="Thursday"/>
    <s v="Weekday"/>
  </r>
  <r>
    <s v="ORD-01940"/>
    <s v="CUST0063"/>
    <x v="0"/>
    <x v="0"/>
    <n v="20"/>
    <x v="1"/>
    <x v="1"/>
    <x v="1"/>
    <n v="12300"/>
    <n v="5"/>
    <n v="61500"/>
    <x v="544"/>
    <s v="Sunday"/>
    <s v="Weekday"/>
  </r>
  <r>
    <s v="ORD-01941"/>
    <s v="CUST0180"/>
    <x v="0"/>
    <x v="5"/>
    <n v="68"/>
    <x v="2"/>
    <x v="5"/>
    <x v="1"/>
    <n v="3690"/>
    <n v="1"/>
    <n v="3690"/>
    <x v="448"/>
    <s v="Friday"/>
    <s v="Weekend"/>
  </r>
  <r>
    <s v="ORD-01942"/>
    <s v="CUST0044"/>
    <x v="0"/>
    <x v="0"/>
    <n v="30"/>
    <x v="1"/>
    <x v="2"/>
    <x v="0"/>
    <n v="184500"/>
    <n v="4"/>
    <n v="738000"/>
    <x v="496"/>
    <s v="Tuesday"/>
    <s v="Weekday"/>
  </r>
  <r>
    <s v="ORD-01943"/>
    <s v="CUST0135"/>
    <x v="0"/>
    <x v="6"/>
    <n v="41"/>
    <x v="1"/>
    <x v="2"/>
    <x v="0"/>
    <n v="184500"/>
    <n v="2"/>
    <n v="369000"/>
    <x v="634"/>
    <s v="Monday"/>
    <s v="Weekday"/>
  </r>
  <r>
    <s v="ORD-01944"/>
    <s v="CUST0078"/>
    <x v="1"/>
    <x v="4"/>
    <n v="38"/>
    <x v="3"/>
    <x v="0"/>
    <x v="0"/>
    <n v="36900"/>
    <n v="4"/>
    <n v="147600"/>
    <x v="671"/>
    <s v="Sunday"/>
    <s v="Weekday"/>
  </r>
  <r>
    <s v="ORD-01945"/>
    <s v="CUST0086"/>
    <x v="0"/>
    <x v="7"/>
    <n v="26"/>
    <x v="2"/>
    <x v="1"/>
    <x v="1"/>
    <n v="12300"/>
    <n v="2"/>
    <n v="24600"/>
    <x v="636"/>
    <s v="Saturday"/>
    <s v="Weekend"/>
  </r>
  <r>
    <s v="ORD-01946"/>
    <s v="CUST0135"/>
    <x v="0"/>
    <x v="6"/>
    <n v="41"/>
    <x v="2"/>
    <x v="2"/>
    <x v="0"/>
    <n v="184500"/>
    <n v="3"/>
    <n v="553500"/>
    <x v="473"/>
    <s v="Tuesday"/>
    <s v="Weekday"/>
  </r>
  <r>
    <s v="ORD-01947"/>
    <s v="CUST0029"/>
    <x v="2"/>
    <x v="2"/>
    <n v="66"/>
    <x v="1"/>
    <x v="5"/>
    <x v="1"/>
    <n v="3690"/>
    <n v="2"/>
    <n v="7380"/>
    <x v="481"/>
    <s v="Friday"/>
    <s v="Weekend"/>
  </r>
  <r>
    <s v="ORD-01948"/>
    <s v="CUST0031"/>
    <x v="0"/>
    <x v="1"/>
    <n v="67"/>
    <x v="1"/>
    <x v="5"/>
    <x v="1"/>
    <n v="3690"/>
    <n v="5"/>
    <n v="18450"/>
    <x v="554"/>
    <s v="Tuesday"/>
    <s v="Weekday"/>
  </r>
  <r>
    <s v="ORD-01949"/>
    <s v="CUST0242"/>
    <x v="0"/>
    <x v="1"/>
    <n v="58"/>
    <x v="0"/>
    <x v="5"/>
    <x v="1"/>
    <n v="3690"/>
    <n v="5"/>
    <n v="18450"/>
    <x v="486"/>
    <s v="Monday"/>
    <s v="Weekday"/>
  </r>
  <r>
    <s v="ORD-01950"/>
    <s v="CUST0042"/>
    <x v="1"/>
    <x v="1"/>
    <n v="57"/>
    <x v="3"/>
    <x v="0"/>
    <x v="0"/>
    <n v="36900"/>
    <n v="5"/>
    <n v="184500"/>
    <x v="507"/>
    <s v="Wednesday"/>
    <s v="Weekday"/>
  </r>
  <r>
    <s v="ORD-01951"/>
    <s v="CUST0199"/>
    <x v="2"/>
    <x v="5"/>
    <n v="41"/>
    <x v="0"/>
    <x v="4"/>
    <x v="1"/>
    <n v="6150"/>
    <n v="3"/>
    <n v="18450"/>
    <x v="81"/>
    <s v="Saturday"/>
    <s v="Weekend"/>
  </r>
  <r>
    <s v="ORD-01952"/>
    <s v="CUST0028"/>
    <x v="0"/>
    <x v="1"/>
    <n v="50"/>
    <x v="1"/>
    <x v="1"/>
    <x v="1"/>
    <n v="12300"/>
    <n v="3"/>
    <n v="36900"/>
    <x v="436"/>
    <s v="Wednesday"/>
    <s v="Weekday"/>
  </r>
  <r>
    <s v="ORD-01953"/>
    <s v="CUST0193"/>
    <x v="2"/>
    <x v="1"/>
    <n v="64"/>
    <x v="2"/>
    <x v="5"/>
    <x v="1"/>
    <n v="3690"/>
    <n v="1"/>
    <n v="3690"/>
    <x v="603"/>
    <s v="Monday"/>
    <s v="Weekday"/>
  </r>
  <r>
    <s v="ORD-01954"/>
    <s v="CUST0244"/>
    <x v="1"/>
    <x v="0"/>
    <n v="24"/>
    <x v="1"/>
    <x v="0"/>
    <x v="0"/>
    <n v="36900"/>
    <n v="5"/>
    <n v="184500"/>
    <x v="638"/>
    <s v="Wednesday"/>
    <s v="Weekday"/>
  </r>
  <r>
    <s v="ORD-01955"/>
    <s v="CUST0287"/>
    <x v="1"/>
    <x v="0"/>
    <n v="60"/>
    <x v="0"/>
    <x v="2"/>
    <x v="0"/>
    <n v="184500"/>
    <n v="5"/>
    <n v="922500"/>
    <x v="668"/>
    <s v="Wednesday"/>
    <s v="Weekday"/>
  </r>
  <r>
    <s v="ORD-01956"/>
    <s v="CUST0080"/>
    <x v="0"/>
    <x v="5"/>
    <n v="51"/>
    <x v="3"/>
    <x v="4"/>
    <x v="1"/>
    <n v="6150"/>
    <n v="2"/>
    <n v="12300"/>
    <x v="477"/>
    <s v="Thursday"/>
    <s v="Weekday"/>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7557CC-3439-4976-B2DD-A0BEBBDB0087}" name="PT11_Average_Frequency_by_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rowHeaderCaption="Customer Segment">
  <location ref="F4:G12" firstHeaderRow="1" firstDataRow="1" firstDataCol="1"/>
  <pivotFields count="9">
    <pivotField showAll="0"/>
    <pivotField showAll="0">
      <items count="9">
        <item x="5"/>
        <item x="0"/>
        <item x="2"/>
        <item x="4"/>
        <item x="7"/>
        <item x="1"/>
        <item x="3"/>
        <item x="6"/>
        <item t="default"/>
      </items>
    </pivotField>
    <pivotField showAll="0"/>
    <pivotField dataField="1" numFmtId="1" showAll="0"/>
    <pivotField showAll="0"/>
    <pivotField showAll="0"/>
    <pivotField showAll="0"/>
    <pivotField showAll="0"/>
    <pivotField axis="axisRow" showAll="0" sortType="descending">
      <items count="8">
        <item x="0"/>
        <item x="3"/>
        <item x="2"/>
        <item x="6"/>
        <item x="1"/>
        <item x="4"/>
        <item x="5"/>
        <item t="default"/>
      </items>
      <autoSortScope>
        <pivotArea dataOnly="0" outline="0" fieldPosition="0">
          <references count="1">
            <reference field="4294967294" count="1" selected="0">
              <x v="0"/>
            </reference>
          </references>
        </pivotArea>
      </autoSortScope>
    </pivotField>
  </pivotFields>
  <rowFields count="1">
    <field x="8"/>
  </rowFields>
  <rowItems count="8">
    <i>
      <x v="1"/>
    </i>
    <i>
      <x v="4"/>
    </i>
    <i>
      <x/>
    </i>
    <i>
      <x v="6"/>
    </i>
    <i>
      <x v="5"/>
    </i>
    <i>
      <x v="3"/>
    </i>
    <i>
      <x v="2"/>
    </i>
    <i t="grand">
      <x/>
    </i>
  </rowItems>
  <colItems count="1">
    <i/>
  </colItems>
  <dataFields count="1">
    <dataField name="Average of Frequency" fld="3" subtotal="average" baseField="8" baseItem="0" numFmtId="2"/>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CFECCB8-11F0-49B1-A25E-FABEE77F6E98}" name="PT9_Average_Recency_by_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rowHeaderCaption="Customer Segment">
  <location ref="H19:I27" firstHeaderRow="1" firstDataRow="1" firstDataCol="1"/>
  <pivotFields count="9">
    <pivotField showAll="0"/>
    <pivotField showAll="0">
      <items count="9">
        <item x="5"/>
        <item x="0"/>
        <item x="2"/>
        <item x="4"/>
        <item x="7"/>
        <item x="1"/>
        <item x="3"/>
        <item x="6"/>
        <item t="default"/>
      </items>
    </pivotField>
    <pivotField dataField="1" showAll="0"/>
    <pivotField numFmtId="1" showAll="0"/>
    <pivotField showAll="0"/>
    <pivotField showAll="0"/>
    <pivotField showAll="0"/>
    <pivotField showAll="0"/>
    <pivotField axis="axisRow" showAll="0" sortType="descending">
      <items count="8">
        <item x="0"/>
        <item x="3"/>
        <item x="2"/>
        <item x="6"/>
        <item x="1"/>
        <item x="4"/>
        <item x="5"/>
        <item t="default"/>
      </items>
      <autoSortScope>
        <pivotArea dataOnly="0" outline="0" fieldPosition="0">
          <references count="1">
            <reference field="4294967294" count="1" selected="0">
              <x v="0"/>
            </reference>
          </references>
        </pivotArea>
      </autoSortScope>
    </pivotField>
  </pivotFields>
  <rowFields count="1">
    <field x="8"/>
  </rowFields>
  <rowItems count="8">
    <i>
      <x v="2"/>
    </i>
    <i>
      <x/>
    </i>
    <i>
      <x v="3"/>
    </i>
    <i>
      <x v="6"/>
    </i>
    <i>
      <x v="4"/>
    </i>
    <i>
      <x v="5"/>
    </i>
    <i>
      <x v="1"/>
    </i>
    <i t="grand">
      <x/>
    </i>
  </rowItems>
  <colItems count="1">
    <i/>
  </colItems>
  <dataFields count="1">
    <dataField name="Average of Recency" fld="2" subtotal="average" baseField="0" baseItem="0" numFmtId="2"/>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E6369EE-7BBD-45ED-ACBD-4ED82FAB07F8}" name="PT8_Revenue_by_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rowHeaderCaption="Customer Segment">
  <location ref="D19:E27" firstHeaderRow="1" firstDataRow="1" firstDataCol="1"/>
  <pivotFields count="9">
    <pivotField showAll="0"/>
    <pivotField showAll="0">
      <items count="9">
        <item x="5"/>
        <item x="0"/>
        <item x="2"/>
        <item x="4"/>
        <item x="7"/>
        <item x="1"/>
        <item x="3"/>
        <item x="6"/>
        <item t="default"/>
      </items>
    </pivotField>
    <pivotField showAll="0"/>
    <pivotField numFmtId="1" showAll="0"/>
    <pivotField dataField="1" showAll="0"/>
    <pivotField showAll="0"/>
    <pivotField showAll="0"/>
    <pivotField showAll="0"/>
    <pivotField axis="axisRow" showAll="0" sortType="descending">
      <items count="8">
        <item x="0"/>
        <item x="3"/>
        <item x="2"/>
        <item x="6"/>
        <item x="1"/>
        <item x="4"/>
        <item x="5"/>
        <item t="default"/>
      </items>
      <autoSortScope>
        <pivotArea dataOnly="0" outline="0" fieldPosition="0">
          <references count="1">
            <reference field="4294967294" count="1" selected="0">
              <x v="0"/>
            </reference>
          </references>
        </pivotArea>
      </autoSortScope>
    </pivotField>
  </pivotFields>
  <rowFields count="1">
    <field x="8"/>
  </rowFields>
  <rowItems count="8">
    <i>
      <x/>
    </i>
    <i>
      <x v="1"/>
    </i>
    <i>
      <x v="4"/>
    </i>
    <i>
      <x v="6"/>
    </i>
    <i>
      <x v="5"/>
    </i>
    <i>
      <x v="2"/>
    </i>
    <i>
      <x v="3"/>
    </i>
    <i t="grand">
      <x/>
    </i>
  </rowItems>
  <colItems count="1">
    <i/>
  </colItems>
  <dataFields count="1">
    <dataField name="Total Revenue" fld="4" baseField="8" baseItem="0" numFmtId="165"/>
  </dataFields>
  <chartFormats count="1">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BC3EDA5-4740-4EF8-B392-09E9F87CCBDB}" name="PT2_Total_Customer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5:C16" firstHeaderRow="1" firstDataRow="1" firstDataCol="0"/>
  <pivotFields count="9">
    <pivotField dataField="1" showAll="0"/>
    <pivotField showAll="0">
      <items count="9">
        <item x="5"/>
        <item x="0"/>
        <item x="2"/>
        <item x="4"/>
        <item x="7"/>
        <item x="1"/>
        <item x="3"/>
        <item x="6"/>
        <item t="default"/>
      </items>
    </pivotField>
    <pivotField showAll="0"/>
    <pivotField numFmtId="1" showAll="0"/>
    <pivotField showAll="0"/>
    <pivotField showAll="0"/>
    <pivotField showAll="0"/>
    <pivotField showAll="0"/>
    <pivotField showAll="0">
      <items count="8">
        <item x="0"/>
        <item x="3"/>
        <item x="2"/>
        <item x="6"/>
        <item x="1"/>
        <item x="4"/>
        <item x="5"/>
        <item t="default"/>
      </items>
    </pivotField>
  </pivotFields>
  <rowItems count="1">
    <i/>
  </rowItems>
  <colItems count="1">
    <i/>
  </colItems>
  <dataFields count="1">
    <dataField name="Total Customers"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DE8F642-C800-448A-81E4-83E65AF8DC2A}" name="PT1_Total_Reven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9">
    <pivotField showAll="0"/>
    <pivotField showAll="0">
      <items count="9">
        <item x="5"/>
        <item x="0"/>
        <item x="2"/>
        <item x="4"/>
        <item x="7"/>
        <item x="1"/>
        <item x="3"/>
        <item x="6"/>
        <item t="default"/>
      </items>
    </pivotField>
    <pivotField showAll="0"/>
    <pivotField numFmtId="1" showAll="0"/>
    <pivotField dataField="1" showAll="0"/>
    <pivotField showAll="0"/>
    <pivotField showAll="0"/>
    <pivotField showAll="0"/>
    <pivotField showAll="0">
      <items count="8">
        <item x="0"/>
        <item x="3"/>
        <item x="2"/>
        <item x="6"/>
        <item x="1"/>
        <item x="4"/>
        <item x="5"/>
        <item t="default"/>
      </items>
    </pivotField>
  </pivotFields>
  <rowItems count="1">
    <i/>
  </rowItems>
  <colItems count="1">
    <i/>
  </colItems>
  <dataFields count="1">
    <dataField name="Total Revenue"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C634CA2-5FAE-45A5-A39D-DBA23B72A5B1}" name="PT12_Frequency_vs_Recenc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location ref="A31:C319" firstHeaderRow="0" firstDataRow="1" firstDataCol="1"/>
  <pivotFields count="9">
    <pivotField axis="axisRow" showAll="0" sortType="descending">
      <items count="2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autoSortScope>
        <pivotArea dataOnly="0" outline="0" fieldPosition="0">
          <references count="1">
            <reference field="4294967294" count="1" selected="0">
              <x v="0"/>
            </reference>
          </references>
        </pivotArea>
      </autoSortScope>
    </pivotField>
    <pivotField showAll="0">
      <items count="9">
        <item x="5"/>
        <item x="0"/>
        <item x="2"/>
        <item x="4"/>
        <item x="7"/>
        <item x="1"/>
        <item x="3"/>
        <item x="6"/>
        <item t="default"/>
      </items>
    </pivotField>
    <pivotField dataField="1" showAll="0"/>
    <pivotField dataField="1" numFmtId="1" showAll="0"/>
    <pivotField showAll="0"/>
    <pivotField showAll="0"/>
    <pivotField showAll="0"/>
    <pivotField showAll="0"/>
    <pivotField showAll="0">
      <items count="8">
        <item x="0"/>
        <item x="3"/>
        <item x="2"/>
        <item x="6"/>
        <item x="1"/>
        <item x="4"/>
        <item x="5"/>
        <item t="default"/>
      </items>
    </pivotField>
  </pivotFields>
  <rowFields count="1">
    <field x="0"/>
  </rowFields>
  <rowItems count="288">
    <i>
      <x v="30"/>
    </i>
    <i>
      <x v="42"/>
    </i>
    <i>
      <x v="92"/>
    </i>
    <i>
      <x v="195"/>
    </i>
    <i>
      <x v="88"/>
    </i>
    <i>
      <x v="50"/>
    </i>
    <i>
      <x v="62"/>
    </i>
    <i>
      <x v="125"/>
    </i>
    <i>
      <x v="166"/>
    </i>
    <i>
      <x v="177"/>
    </i>
    <i>
      <x v="171"/>
    </i>
    <i>
      <x v="132"/>
    </i>
    <i>
      <x v="105"/>
    </i>
    <i>
      <x v="165"/>
    </i>
    <i>
      <x v="120"/>
    </i>
    <i>
      <x v="123"/>
    </i>
    <i>
      <x v="256"/>
    </i>
    <i>
      <x v="209"/>
    </i>
    <i>
      <x v="6"/>
    </i>
    <i>
      <x v="122"/>
    </i>
    <i>
      <x v="36"/>
    </i>
    <i>
      <x v="207"/>
    </i>
    <i>
      <x v="21"/>
    </i>
    <i>
      <x v="124"/>
    </i>
    <i>
      <x v="27"/>
    </i>
    <i>
      <x v="130"/>
    </i>
    <i>
      <x v="263"/>
    </i>
    <i>
      <x v="194"/>
    </i>
    <i>
      <x v="187"/>
    </i>
    <i>
      <x v="78"/>
    </i>
    <i>
      <x v="229"/>
    </i>
    <i>
      <x v="118"/>
    </i>
    <i>
      <x v="45"/>
    </i>
    <i>
      <x v="9"/>
    </i>
    <i>
      <x v="192"/>
    </i>
    <i>
      <x v="135"/>
    </i>
    <i>
      <x v="219"/>
    </i>
    <i>
      <x v="141"/>
    </i>
    <i>
      <x v="258"/>
    </i>
    <i>
      <x v="153"/>
    </i>
    <i>
      <x v="284"/>
    </i>
    <i>
      <x v="160"/>
    </i>
    <i>
      <x v="26"/>
    </i>
    <i>
      <x v="221"/>
    </i>
    <i>
      <x v="53"/>
    </i>
    <i>
      <x v="278"/>
    </i>
    <i>
      <x v="252"/>
    </i>
    <i>
      <x v="116"/>
    </i>
    <i>
      <x v="111"/>
    </i>
    <i>
      <x v="69"/>
    </i>
    <i>
      <x v="285"/>
    </i>
    <i>
      <x v="79"/>
    </i>
    <i>
      <x v="103"/>
    </i>
    <i>
      <x v="31"/>
    </i>
    <i>
      <x v="3"/>
    </i>
    <i>
      <x v="126"/>
    </i>
    <i>
      <x v="259"/>
    </i>
    <i>
      <x v="199"/>
    </i>
    <i>
      <x v="266"/>
    </i>
    <i>
      <x v="202"/>
    </i>
    <i>
      <x v="40"/>
    </i>
    <i>
      <x v="281"/>
    </i>
    <i>
      <x v="267"/>
    </i>
    <i>
      <x v="242"/>
    </i>
    <i>
      <x v="85"/>
    </i>
    <i>
      <x v="102"/>
    </i>
    <i>
      <x v="91"/>
    </i>
    <i>
      <x v="48"/>
    </i>
    <i>
      <x v="25"/>
    </i>
    <i>
      <x v="179"/>
    </i>
    <i>
      <x v="22"/>
    </i>
    <i>
      <x v="180"/>
    </i>
    <i>
      <x v="151"/>
    </i>
    <i>
      <x v="186"/>
    </i>
    <i>
      <x v="7"/>
    </i>
    <i>
      <x v="35"/>
    </i>
    <i>
      <x v="274"/>
    </i>
    <i>
      <x v="188"/>
    </i>
    <i>
      <x v="218"/>
    </i>
    <i>
      <x v="190"/>
    </i>
    <i>
      <x v="137"/>
    </i>
    <i>
      <x v="191"/>
    </i>
    <i>
      <x v="233"/>
    </i>
    <i>
      <x v="74"/>
    </i>
    <i>
      <x v="148"/>
    </i>
    <i>
      <x v="127"/>
    </i>
    <i>
      <x v="257"/>
    </i>
    <i>
      <x v="18"/>
    </i>
    <i>
      <x v="157"/>
    </i>
    <i>
      <x v="75"/>
    </i>
    <i>
      <x v="28"/>
    </i>
    <i>
      <x v="10"/>
    </i>
    <i>
      <x v="270"/>
    </i>
    <i>
      <x v="51"/>
    </i>
    <i>
      <x v="280"/>
    </i>
    <i>
      <x v="133"/>
    </i>
    <i>
      <x v="216"/>
    </i>
    <i>
      <x v="15"/>
    </i>
    <i>
      <x v="68"/>
    </i>
    <i>
      <x v="169"/>
    </i>
    <i>
      <x v="143"/>
    </i>
    <i>
      <x v="185"/>
    </i>
    <i>
      <x v="268"/>
    </i>
    <i>
      <x v="83"/>
    </i>
    <i>
      <x v="17"/>
    </i>
    <i>
      <x v="167"/>
    </i>
    <i>
      <x v="38"/>
    </i>
    <i>
      <x v="210"/>
    </i>
    <i>
      <x v="107"/>
    </i>
    <i>
      <x v="84"/>
    </i>
    <i>
      <x v="109"/>
    </i>
    <i>
      <x v="97"/>
    </i>
    <i>
      <x v="114"/>
    </i>
    <i>
      <x v="5"/>
    </i>
    <i>
      <x v="1"/>
    </i>
    <i>
      <x v="101"/>
    </i>
    <i>
      <x v="41"/>
    </i>
    <i>
      <x v="81"/>
    </i>
    <i>
      <x v="119"/>
    </i>
    <i>
      <x v="231"/>
    </i>
    <i>
      <x v="121"/>
    </i>
    <i>
      <x v="260"/>
    </i>
    <i>
      <x v="44"/>
    </i>
    <i>
      <x v="96"/>
    </i>
    <i>
      <x v="46"/>
    </i>
    <i>
      <x v="61"/>
    </i>
    <i>
      <x v="128"/>
    </i>
    <i>
      <x v="168"/>
    </i>
    <i>
      <x v="52"/>
    </i>
    <i>
      <x v="173"/>
    </i>
    <i>
      <x v="144"/>
    </i>
    <i>
      <x v="11"/>
    </i>
    <i>
      <x v="147"/>
    </i>
    <i>
      <x v="76"/>
    </i>
    <i>
      <x v="149"/>
    </i>
    <i>
      <x v="212"/>
    </i>
    <i>
      <x v="150"/>
    </i>
    <i>
      <x v="224"/>
    </i>
    <i>
      <x v="56"/>
    </i>
    <i>
      <x v="230"/>
    </i>
    <i>
      <x v="152"/>
    </i>
    <i>
      <x v="232"/>
    </i>
    <i>
      <x v="57"/>
    </i>
    <i>
      <x v="234"/>
    </i>
    <i>
      <x v="155"/>
    </i>
    <i>
      <x v="34"/>
    </i>
    <i>
      <x v="58"/>
    </i>
    <i>
      <x v="273"/>
    </i>
    <i>
      <x v="59"/>
    </i>
    <i>
      <x v="279"/>
    </i>
    <i>
      <x v="164"/>
    </i>
    <i>
      <x v="60"/>
    </i>
    <i>
      <x v="282"/>
    </i>
    <i>
      <x v="93"/>
    </i>
    <i>
      <x v="247"/>
    </i>
    <i>
      <x v="71"/>
    </i>
    <i>
      <x v="142"/>
    </i>
    <i>
      <x v="262"/>
    </i>
    <i>
      <x v="158"/>
    </i>
    <i>
      <x v="276"/>
    </i>
    <i>
      <x v="203"/>
    </i>
    <i>
      <x v="244"/>
    </i>
    <i>
      <x v="159"/>
    </i>
    <i>
      <x v="89"/>
    </i>
    <i>
      <x v="211"/>
    </i>
    <i>
      <x v="265"/>
    </i>
    <i>
      <x v="37"/>
    </i>
    <i>
      <x v="271"/>
    </i>
    <i>
      <x v="146"/>
    </i>
    <i>
      <x v="12"/>
    </i>
    <i>
      <x v="220"/>
    </i>
    <i>
      <x v="243"/>
    </i>
    <i>
      <x v="19"/>
    </i>
    <i>
      <x v="246"/>
    </i>
    <i>
      <x v="227"/>
    </i>
    <i>
      <x v="248"/>
    </i>
    <i>
      <x v="108"/>
    </i>
    <i>
      <x v="98"/>
    </i>
    <i>
      <x v="49"/>
    </i>
    <i>
      <x v="100"/>
    </i>
    <i>
      <x v="131"/>
    </i>
    <i>
      <x v="16"/>
    </i>
    <i>
      <x v="43"/>
    </i>
    <i>
      <x v="154"/>
    </i>
    <i>
      <x v="63"/>
    </i>
    <i>
      <x v="67"/>
    </i>
    <i>
      <x v="24"/>
    </i>
    <i>
      <x v="140"/>
    </i>
    <i>
      <x v="236"/>
    </i>
    <i>
      <x v="189"/>
    </i>
    <i>
      <x v="240"/>
    </i>
    <i>
      <x v="241"/>
    </i>
    <i>
      <x v="174"/>
    </i>
    <i>
      <x v="176"/>
    </i>
    <i>
      <x v="193"/>
    </i>
    <i>
      <x v="87"/>
    </i>
    <i>
      <x v="145"/>
    </i>
    <i>
      <x v="269"/>
    </i>
    <i>
      <x v="196"/>
    </i>
    <i>
      <x v="64"/>
    </i>
    <i>
      <x v="197"/>
    </i>
    <i>
      <x v="66"/>
    </i>
    <i>
      <x v="201"/>
    </i>
    <i>
      <x v="129"/>
    </i>
    <i>
      <x v="23"/>
    </i>
    <i>
      <x v="245"/>
    </i>
    <i>
      <x v="77"/>
    </i>
    <i>
      <x v="253"/>
    </i>
    <i>
      <x v="134"/>
    </i>
    <i>
      <x v="65"/>
    </i>
    <i>
      <x v="213"/>
    </i>
    <i>
      <x v="264"/>
    </i>
    <i>
      <x v="215"/>
    </i>
    <i>
      <x v="95"/>
    </i>
    <i>
      <x v="2"/>
    </i>
    <i>
      <x v="39"/>
    </i>
    <i>
      <x v="217"/>
    </i>
    <i>
      <x v="104"/>
    </i>
    <i>
      <x v="80"/>
    </i>
    <i>
      <x v="175"/>
    </i>
    <i>
      <x v="113"/>
    </i>
    <i>
      <x v="251"/>
    </i>
    <i>
      <x v="82"/>
    </i>
    <i>
      <x v="254"/>
    </i>
    <i>
      <x v="222"/>
    </i>
    <i>
      <x v="90"/>
    </i>
    <i>
      <x v="226"/>
    </i>
    <i>
      <x v="261"/>
    </i>
    <i>
      <x v="228"/>
    </i>
    <i>
      <x v="181"/>
    </i>
    <i>
      <x v="138"/>
    </i>
    <i>
      <x v="184"/>
    </i>
    <i>
      <x/>
    </i>
    <i>
      <x v="8"/>
    </i>
    <i>
      <x v="170"/>
    </i>
    <i>
      <x v="275"/>
    </i>
    <i>
      <x v="238"/>
    </i>
    <i>
      <x v="277"/>
    </i>
    <i>
      <x v="239"/>
    </i>
    <i>
      <x v="4"/>
    </i>
    <i>
      <x v="13"/>
    </i>
    <i>
      <x v="237"/>
    </i>
    <i>
      <x v="156"/>
    </i>
    <i>
      <x v="29"/>
    </i>
    <i>
      <x v="54"/>
    </i>
    <i>
      <x v="162"/>
    </i>
    <i>
      <x v="214"/>
    </i>
    <i>
      <x v="32"/>
    </i>
    <i>
      <x v="223"/>
    </i>
    <i>
      <x v="225"/>
    </i>
    <i>
      <x v="250"/>
    </i>
    <i>
      <x v="200"/>
    </i>
    <i>
      <x v="235"/>
    </i>
    <i>
      <x v="183"/>
    </i>
    <i>
      <x v="286"/>
    </i>
    <i>
      <x v="14"/>
    </i>
    <i>
      <x v="73"/>
    </i>
    <i>
      <x v="198"/>
    </i>
    <i>
      <x v="94"/>
    </i>
    <i>
      <x v="20"/>
    </i>
    <i>
      <x v="283"/>
    </i>
    <i>
      <x v="110"/>
    </i>
    <i>
      <x v="86"/>
    </i>
    <i>
      <x v="115"/>
    </i>
    <i>
      <x v="208"/>
    </i>
    <i>
      <x v="206"/>
    </i>
    <i>
      <x v="172"/>
    </i>
    <i>
      <x v="47"/>
    </i>
    <i>
      <x v="255"/>
    </i>
    <i>
      <x v="112"/>
    </i>
    <i>
      <x v="70"/>
    </i>
    <i>
      <x v="55"/>
    </i>
    <i>
      <x v="33"/>
    </i>
    <i>
      <x v="204"/>
    </i>
    <i>
      <x v="178"/>
    </i>
    <i>
      <x v="272"/>
    </i>
    <i>
      <x v="139"/>
    </i>
    <i>
      <x v="117"/>
    </i>
    <i>
      <x v="163"/>
    </i>
    <i>
      <x v="136"/>
    </i>
    <i>
      <x v="161"/>
    </i>
    <i>
      <x v="182"/>
    </i>
    <i>
      <x v="72"/>
    </i>
    <i>
      <x v="249"/>
    </i>
    <i>
      <x v="99"/>
    </i>
    <i>
      <x v="205"/>
    </i>
    <i>
      <x v="106"/>
    </i>
    <i t="grand">
      <x/>
    </i>
  </rowItems>
  <colFields count="1">
    <field x="-2"/>
  </colFields>
  <colItems count="2">
    <i>
      <x/>
    </i>
    <i i="1">
      <x v="1"/>
    </i>
  </colItems>
  <dataFields count="2">
    <dataField name="Sum of Frequency" fld="3" baseField="0" baseItem="0"/>
    <dataField name="Sum of Recency"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27278C4-58D7-4DF5-9323-DAE3B915624E}" name="PT6_Total_Transaction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K15:K16" firstHeaderRow="1" firstDataRow="1" firstDataCol="0"/>
  <pivotFields count="9">
    <pivotField showAll="0"/>
    <pivotField showAll="0">
      <items count="9">
        <item x="5"/>
        <item x="0"/>
        <item x="2"/>
        <item x="4"/>
        <item x="7"/>
        <item x="1"/>
        <item x="3"/>
        <item x="6"/>
        <item t="default"/>
      </items>
    </pivotField>
    <pivotField showAll="0"/>
    <pivotField dataField="1" numFmtId="1" showAll="0"/>
    <pivotField showAll="0"/>
    <pivotField showAll="0"/>
    <pivotField showAll="0"/>
    <pivotField showAll="0"/>
    <pivotField showAll="0">
      <items count="8">
        <item x="0"/>
        <item x="3"/>
        <item x="2"/>
        <item x="6"/>
        <item x="1"/>
        <item x="4"/>
        <item x="5"/>
        <item t="default"/>
      </items>
    </pivotField>
  </pivotFields>
  <rowItems count="1">
    <i/>
  </rowItems>
  <colItems count="1">
    <i/>
  </colItems>
  <dataFields count="1">
    <dataField name="Total Transactions" fld="3" baseField="0" baseItem="0" numFmtId="1"/>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3E10213-80CC-41C1-9BB0-CF2FDAF6FDBD}" name="PT7_Customer_Count_by_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rowHeaderCaption="Customer Segment">
  <location ref="A19:B27" firstHeaderRow="1" firstDataRow="1" firstDataCol="1"/>
  <pivotFields count="9">
    <pivotField dataField="1" showAll="0"/>
    <pivotField showAll="0">
      <items count="9">
        <item x="5"/>
        <item x="0"/>
        <item x="2"/>
        <item x="4"/>
        <item x="7"/>
        <item x="1"/>
        <item x="3"/>
        <item x="6"/>
        <item t="default"/>
      </items>
    </pivotField>
    <pivotField showAll="0"/>
    <pivotField numFmtId="1" showAll="0"/>
    <pivotField showAll="0"/>
    <pivotField showAll="0"/>
    <pivotField showAll="0"/>
    <pivotField showAll="0"/>
    <pivotField axis="axisRow" showAll="0" sortType="descending">
      <items count="8">
        <item x="0"/>
        <item x="3"/>
        <item x="2"/>
        <item x="6"/>
        <item x="1"/>
        <item x="4"/>
        <item x="5"/>
        <item t="default"/>
      </items>
      <autoSortScope>
        <pivotArea dataOnly="0" outline="0" fieldPosition="0">
          <references count="1">
            <reference field="4294967294" count="1" selected="0">
              <x v="0"/>
            </reference>
          </references>
        </pivotArea>
      </autoSortScope>
    </pivotField>
  </pivotFields>
  <rowFields count="1">
    <field x="8"/>
  </rowFields>
  <rowItems count="8">
    <i>
      <x/>
    </i>
    <i>
      <x v="4"/>
    </i>
    <i>
      <x v="1"/>
    </i>
    <i>
      <x v="2"/>
    </i>
    <i>
      <x v="6"/>
    </i>
    <i>
      <x v="5"/>
    </i>
    <i>
      <x v="3"/>
    </i>
    <i t="grand">
      <x/>
    </i>
  </rowItems>
  <colItems count="1">
    <i/>
  </colItems>
  <dataFields count="1">
    <dataField name="Total Customers" fld="0" subtotal="count" baseField="8" baseItem="0"/>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B760495-EE2E-40FD-AF25-67F87C8B796F}" name="PT9_Frequency_vs_Moneta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Customers">
  <location ref="K19:M307" firstHeaderRow="0" firstDataRow="1" firstDataCol="1"/>
  <pivotFields count="9">
    <pivotField axis="axisRow" showAll="0" sortType="descending">
      <items count="288">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t="default"/>
      </items>
      <autoSortScope>
        <pivotArea dataOnly="0" outline="0" fieldPosition="0">
          <references count="1">
            <reference field="4294967294" count="1" selected="0">
              <x v="1"/>
            </reference>
          </references>
        </pivotArea>
      </autoSortScope>
    </pivotField>
    <pivotField showAll="0">
      <items count="9">
        <item x="5"/>
        <item x="0"/>
        <item x="2"/>
        <item x="4"/>
        <item x="7"/>
        <item x="1"/>
        <item x="3"/>
        <item x="6"/>
        <item t="default"/>
      </items>
    </pivotField>
    <pivotField showAll="0"/>
    <pivotField dataField="1" numFmtId="1" showAll="0"/>
    <pivotField dataField="1" showAll="0"/>
    <pivotField showAll="0"/>
    <pivotField showAll="0"/>
    <pivotField showAll="0"/>
    <pivotField showAll="0">
      <items count="8">
        <item x="0"/>
        <item x="3"/>
        <item x="2"/>
        <item x="6"/>
        <item x="1"/>
        <item x="4"/>
        <item x="5"/>
        <item t="default"/>
      </items>
    </pivotField>
  </pivotFields>
  <rowFields count="1">
    <field x="0"/>
  </rowFields>
  <rowItems count="288">
    <i>
      <x v="195"/>
    </i>
    <i>
      <x v="132"/>
    </i>
    <i>
      <x v="92"/>
    </i>
    <i>
      <x v="125"/>
    </i>
    <i>
      <x v="123"/>
    </i>
    <i>
      <x v="30"/>
    </i>
    <i>
      <x v="62"/>
    </i>
    <i>
      <x v="165"/>
    </i>
    <i>
      <x v="209"/>
    </i>
    <i>
      <x v="85"/>
    </i>
    <i>
      <x v="191"/>
    </i>
    <i>
      <x v="233"/>
    </i>
    <i>
      <x v="257"/>
    </i>
    <i>
      <x v="79"/>
    </i>
    <i>
      <x v="284"/>
    </i>
    <i>
      <x v="194"/>
    </i>
    <i>
      <x v="45"/>
    </i>
    <i>
      <x v="231"/>
    </i>
    <i>
      <x v="127"/>
    </i>
    <i>
      <x v="130"/>
    </i>
    <i>
      <x/>
    </i>
    <i>
      <x v="39"/>
    </i>
    <i>
      <x v="88"/>
    </i>
    <i>
      <x v="267"/>
    </i>
    <i>
      <x v="188"/>
    </i>
    <i>
      <x v="137"/>
    </i>
    <i>
      <x v="274"/>
    </i>
    <i>
      <x v="256"/>
    </i>
    <i>
      <x v="149"/>
    </i>
    <i>
      <x v="68"/>
    </i>
    <i>
      <x v="78"/>
    </i>
    <i>
      <x v="126"/>
    </i>
    <i>
      <x v="27"/>
    </i>
    <i>
      <x v="281"/>
    </i>
    <i>
      <x v="262"/>
    </i>
    <i>
      <x v="148"/>
    </i>
    <i>
      <x v="32"/>
    </i>
    <i>
      <x v="260"/>
    </i>
    <i>
      <x v="273"/>
    </i>
    <i>
      <x v="105"/>
    </i>
    <i>
      <x v="116"/>
    </i>
    <i>
      <x v="229"/>
    </i>
    <i>
      <x v="189"/>
    </i>
    <i>
      <x v="279"/>
    </i>
    <i>
      <x v="107"/>
    </i>
    <i>
      <x v="169"/>
    </i>
    <i>
      <x v="152"/>
    </i>
    <i>
      <x v="131"/>
    </i>
    <i>
      <x v="213"/>
    </i>
    <i>
      <x v="67"/>
    </i>
    <i>
      <x v="103"/>
    </i>
    <i>
      <x v="6"/>
    </i>
    <i>
      <x v="154"/>
    </i>
    <i>
      <x v="167"/>
    </i>
    <i>
      <x v="210"/>
    </i>
    <i>
      <x v="16"/>
    </i>
    <i>
      <x v="187"/>
    </i>
    <i>
      <x v="35"/>
    </i>
    <i>
      <x v="58"/>
    </i>
    <i>
      <x v="236"/>
    </i>
    <i>
      <x v="179"/>
    </i>
    <i>
      <x v="234"/>
    </i>
    <i>
      <x v="243"/>
    </i>
    <i>
      <x v="119"/>
    </i>
    <i>
      <x v="221"/>
    </i>
    <i>
      <x v="128"/>
    </i>
    <i>
      <x v="42"/>
    </i>
    <i>
      <x v="22"/>
    </i>
    <i>
      <x v="225"/>
    </i>
    <i>
      <x v="26"/>
    </i>
    <i>
      <x v="177"/>
    </i>
    <i>
      <x v="263"/>
    </i>
    <i>
      <x v="176"/>
    </i>
    <i>
      <x v="171"/>
    </i>
    <i>
      <x v="157"/>
    </i>
    <i>
      <x v="9"/>
    </i>
    <i>
      <x v="38"/>
    </i>
    <i>
      <x v="44"/>
    </i>
    <i>
      <x v="87"/>
    </i>
    <i>
      <x v="268"/>
    </i>
    <i>
      <x v="228"/>
    </i>
    <i>
      <x v="28"/>
    </i>
    <i>
      <x v="202"/>
    </i>
    <i>
      <x v="5"/>
    </i>
    <i>
      <x v="118"/>
    </i>
    <i>
      <x v="120"/>
    </i>
    <i>
      <x v="15"/>
    </i>
    <i>
      <x v="150"/>
    </i>
    <i>
      <x v="40"/>
    </i>
    <i>
      <x v="122"/>
    </i>
    <i>
      <x v="104"/>
    </i>
    <i>
      <x v="203"/>
    </i>
    <i>
      <x v="180"/>
    </i>
    <i>
      <x v="275"/>
    </i>
    <i>
      <x v="219"/>
    </i>
    <i>
      <x v="269"/>
    </i>
    <i>
      <x v="61"/>
    </i>
    <i>
      <x v="285"/>
    </i>
    <i>
      <x v="51"/>
    </i>
    <i>
      <x v="258"/>
    </i>
    <i>
      <x v="278"/>
    </i>
    <i>
      <x v="76"/>
    </i>
    <i>
      <x v="280"/>
    </i>
    <i>
      <x v="60"/>
    </i>
    <i>
      <x v="31"/>
    </i>
    <i>
      <x v="96"/>
    </i>
    <i>
      <x v="114"/>
    </i>
    <i>
      <x v="48"/>
    </i>
    <i>
      <x v="235"/>
    </i>
    <i>
      <x v="230"/>
    </i>
    <i>
      <x v="147"/>
    </i>
    <i>
      <x v="240"/>
    </i>
    <i>
      <x v="226"/>
    </i>
    <i>
      <x v="255"/>
    </i>
    <i>
      <x v="65"/>
    </i>
    <i>
      <x v="93"/>
    </i>
    <i>
      <x v="238"/>
    </i>
    <i>
      <x v="97"/>
    </i>
    <i>
      <x v="21"/>
    </i>
    <i>
      <x v="83"/>
    </i>
    <i>
      <x v="232"/>
    </i>
    <i>
      <x v="215"/>
    </i>
    <i>
      <x v="174"/>
    </i>
    <i>
      <x v="41"/>
    </i>
    <i>
      <x v="56"/>
    </i>
    <i>
      <x v="192"/>
    </i>
    <i>
      <x v="190"/>
    </i>
    <i>
      <x v="197"/>
    </i>
    <i>
      <x v="98"/>
    </i>
    <i>
      <x v="143"/>
    </i>
    <i>
      <x v="242"/>
    </i>
    <i>
      <x v="193"/>
    </i>
    <i>
      <x v="66"/>
    </i>
    <i>
      <x v="216"/>
    </i>
    <i>
      <x v="25"/>
    </i>
    <i>
      <x v="183"/>
    </i>
    <i>
      <x v="173"/>
    </i>
    <i>
      <x v="223"/>
    </i>
    <i>
      <x v="244"/>
    </i>
    <i>
      <x v="185"/>
    </i>
    <i>
      <x v="141"/>
    </i>
    <i>
      <x v="247"/>
    </i>
    <i>
      <x v="166"/>
    </i>
    <i>
      <x v="95"/>
    </i>
    <i>
      <x v="134"/>
    </i>
    <i>
      <x v="270"/>
    </i>
    <i>
      <x v="77"/>
    </i>
    <i>
      <x v="117"/>
    </i>
    <i>
      <x v="14"/>
    </i>
    <i>
      <x v="108"/>
    </i>
    <i>
      <x v="89"/>
    </i>
    <i>
      <x v="112"/>
    </i>
    <i>
      <x v="214"/>
    </i>
    <i>
      <x v="49"/>
    </i>
    <i>
      <x v="36"/>
    </i>
    <i>
      <x v="178"/>
    </i>
    <i>
      <x v="170"/>
    </i>
    <i>
      <x v="211"/>
    </i>
    <i>
      <x v="249"/>
    </i>
    <i>
      <x v="10"/>
    </i>
    <i>
      <x v="184"/>
    </i>
    <i>
      <x v="265"/>
    </i>
    <i>
      <x v="207"/>
    </i>
    <i>
      <x v="57"/>
    </i>
    <i>
      <x v="144"/>
    </i>
    <i>
      <x v="246"/>
    </i>
    <i>
      <x v="277"/>
    </i>
    <i>
      <x v="252"/>
    </i>
    <i>
      <x v="182"/>
    </i>
    <i>
      <x v="34"/>
    </i>
    <i>
      <x v="3"/>
    </i>
    <i>
      <x v="153"/>
    </i>
    <i>
      <x v="151"/>
    </i>
    <i>
      <x v="142"/>
    </i>
    <i>
      <x v="217"/>
    </i>
    <i>
      <x v="124"/>
    </i>
    <i>
      <x v="237"/>
    </i>
    <i>
      <x v="63"/>
    </i>
    <i>
      <x v="17"/>
    </i>
    <i>
      <x v="69"/>
    </i>
    <i>
      <x v="168"/>
    </i>
    <i>
      <x v="2"/>
    </i>
    <i>
      <x v="50"/>
    </i>
    <i>
      <x v="82"/>
    </i>
    <i>
      <x v="276"/>
    </i>
    <i>
      <x v="160"/>
    </i>
    <i>
      <x v="111"/>
    </i>
    <i>
      <x v="121"/>
    </i>
    <i>
      <x v="181"/>
    </i>
    <i>
      <x v="266"/>
    </i>
    <i>
      <x v="254"/>
    </i>
    <i>
      <x v="84"/>
    </i>
    <i>
      <x v="43"/>
    </i>
    <i>
      <x v="37"/>
    </i>
    <i>
      <x v="198"/>
    </i>
    <i>
      <x v="218"/>
    </i>
    <i>
      <x v="135"/>
    </i>
    <i>
      <x v="113"/>
    </i>
    <i>
      <x v="282"/>
    </i>
    <i>
      <x v="18"/>
    </i>
    <i>
      <x v="158"/>
    </i>
    <i>
      <x v="102"/>
    </i>
    <i>
      <x v="11"/>
    </i>
    <i>
      <x v="80"/>
    </i>
    <i>
      <x v="139"/>
    </i>
    <i>
      <x v="212"/>
    </i>
    <i>
      <x v="175"/>
    </i>
    <i>
      <x v="199"/>
    </i>
    <i>
      <x v="94"/>
    </i>
    <i>
      <x v="52"/>
    </i>
    <i>
      <x v="19"/>
    </i>
    <i>
      <x v="73"/>
    </i>
    <i>
      <x v="12"/>
    </i>
    <i>
      <x v="75"/>
    </i>
    <i>
      <x v="271"/>
    </i>
    <i>
      <x v="201"/>
    </i>
    <i>
      <x v="155"/>
    </i>
    <i>
      <x v="29"/>
    </i>
    <i>
      <x v="239"/>
    </i>
    <i>
      <x v="54"/>
    </i>
    <i>
      <x v="159"/>
    </i>
    <i>
      <x v="163"/>
    </i>
    <i>
      <x v="64"/>
    </i>
    <i>
      <x v="261"/>
    </i>
    <i>
      <x v="91"/>
    </i>
    <i>
      <x v="53"/>
    </i>
    <i>
      <x v="145"/>
    </i>
    <i>
      <x v="8"/>
    </i>
    <i>
      <x v="23"/>
    </i>
    <i>
      <x v="286"/>
    </i>
    <i>
      <x v="200"/>
    </i>
    <i>
      <x v="109"/>
    </i>
    <i>
      <x v="71"/>
    </i>
    <i>
      <x v="7"/>
    </i>
    <i>
      <x v="186"/>
    </i>
    <i>
      <x v="259"/>
    </i>
    <i>
      <x v="81"/>
    </i>
    <i>
      <x v="156"/>
    </i>
    <i>
      <x v="241"/>
    </i>
    <i>
      <x v="1"/>
    </i>
    <i>
      <x v="138"/>
    </i>
    <i>
      <x v="24"/>
    </i>
    <i>
      <x v="46"/>
    </i>
    <i>
      <x v="100"/>
    </i>
    <i>
      <x v="47"/>
    </i>
    <i>
      <x v="90"/>
    </i>
    <i>
      <x v="4"/>
    </i>
    <i>
      <x v="164"/>
    </i>
    <i>
      <x v="227"/>
    </i>
    <i>
      <x v="224"/>
    </i>
    <i>
      <x v="251"/>
    </i>
    <i>
      <x v="59"/>
    </i>
    <i>
      <x v="74"/>
    </i>
    <i>
      <x v="133"/>
    </i>
    <i>
      <x v="248"/>
    </i>
    <i>
      <x v="146"/>
    </i>
    <i>
      <x v="222"/>
    </i>
    <i>
      <x v="204"/>
    </i>
    <i>
      <x v="136"/>
    </i>
    <i>
      <x v="272"/>
    </i>
    <i>
      <x v="172"/>
    </i>
    <i>
      <x v="264"/>
    </i>
    <i>
      <x v="129"/>
    </i>
    <i>
      <x v="140"/>
    </i>
    <i>
      <x v="55"/>
    </i>
    <i>
      <x v="206"/>
    </i>
    <i>
      <x v="208"/>
    </i>
    <i>
      <x v="253"/>
    </i>
    <i>
      <x v="220"/>
    </i>
    <i>
      <x v="110"/>
    </i>
    <i>
      <x v="101"/>
    </i>
    <i>
      <x v="70"/>
    </i>
    <i>
      <x v="72"/>
    </i>
    <i>
      <x v="196"/>
    </i>
    <i>
      <x v="283"/>
    </i>
    <i>
      <x v="115"/>
    </i>
    <i>
      <x v="245"/>
    </i>
    <i>
      <x v="86"/>
    </i>
    <i>
      <x v="250"/>
    </i>
    <i>
      <x v="13"/>
    </i>
    <i>
      <x v="20"/>
    </i>
    <i>
      <x v="106"/>
    </i>
    <i>
      <x v="99"/>
    </i>
    <i>
      <x v="162"/>
    </i>
    <i>
      <x v="205"/>
    </i>
    <i>
      <x v="161"/>
    </i>
    <i>
      <x v="33"/>
    </i>
    <i t="grand">
      <x/>
    </i>
  </rowItems>
  <colFields count="1">
    <field x="-2"/>
  </colFields>
  <colItems count="2">
    <i>
      <x/>
    </i>
    <i i="1">
      <x v="1"/>
    </i>
  </colItems>
  <dataFields count="2">
    <dataField name="Sum of Frequency" fld="3" baseField="0" baseItem="0"/>
    <dataField name="Sum of Monetary" fld="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3BAF0B9-B8C1-41D4-ACB2-4D76FFAA77C9}" name="PT3_Average_Customer_Value"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5:E16" firstHeaderRow="1" firstDataRow="1" firstDataCol="0"/>
  <pivotFields count="9">
    <pivotField showAll="0"/>
    <pivotField showAll="0">
      <items count="9">
        <item x="5"/>
        <item x="0"/>
        <item x="2"/>
        <item x="4"/>
        <item x="7"/>
        <item x="1"/>
        <item x="3"/>
        <item x="6"/>
        <item t="default"/>
      </items>
    </pivotField>
    <pivotField showAll="0"/>
    <pivotField numFmtId="1" showAll="0"/>
    <pivotField dataField="1" showAll="0"/>
    <pivotField showAll="0"/>
    <pivotField showAll="0"/>
    <pivotField showAll="0"/>
    <pivotField showAll="0">
      <items count="8">
        <item x="0"/>
        <item x="3"/>
        <item x="2"/>
        <item x="6"/>
        <item x="1"/>
        <item x="4"/>
        <item x="5"/>
        <item t="default"/>
      </items>
    </pivotField>
  </pivotFields>
  <rowItems count="1">
    <i/>
  </rowItems>
  <colItems count="1">
    <i/>
  </colItems>
  <dataFields count="1">
    <dataField name="Average Customer Value" fld="4" subtotal="average"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78DC6DE9-E5DF-425E-8071-FC3F56E2D247}" name="PT4_Average_of_Frequenc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5:G16" firstHeaderRow="1" firstDataRow="1" firstDataCol="0"/>
  <pivotFields count="9">
    <pivotField showAll="0"/>
    <pivotField showAll="0">
      <items count="9">
        <item x="5"/>
        <item x="0"/>
        <item x="2"/>
        <item x="4"/>
        <item x="7"/>
        <item x="1"/>
        <item x="3"/>
        <item x="6"/>
        <item t="default"/>
      </items>
    </pivotField>
    <pivotField showAll="0"/>
    <pivotField dataField="1" numFmtId="1" showAll="0"/>
    <pivotField showAll="0"/>
    <pivotField showAll="0"/>
    <pivotField showAll="0"/>
    <pivotField showAll="0"/>
    <pivotField showAll="0">
      <items count="8">
        <item x="0"/>
        <item x="3"/>
        <item x="2"/>
        <item x="6"/>
        <item x="1"/>
        <item x="4"/>
        <item x="5"/>
        <item t="default"/>
      </items>
    </pivotField>
  </pivotFields>
  <rowItems count="1">
    <i/>
  </rowItems>
  <colItems count="1">
    <i/>
  </colItems>
  <dataFields count="1">
    <dataField name="Average of Frequency" fld="3"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B7A4682-4795-4B1B-854A-5EE759030878}" name="PT5_Average_of_Recenc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5:I16" firstHeaderRow="1" firstDataRow="1" firstDataCol="0"/>
  <pivotFields count="9">
    <pivotField showAll="0"/>
    <pivotField showAll="0">
      <items count="9">
        <item x="5"/>
        <item x="0"/>
        <item x="2"/>
        <item x="4"/>
        <item x="7"/>
        <item x="1"/>
        <item x="3"/>
        <item x="6"/>
        <item t="default"/>
      </items>
    </pivotField>
    <pivotField dataField="1" showAll="0"/>
    <pivotField numFmtId="1" showAll="0"/>
    <pivotField showAll="0"/>
    <pivotField showAll="0"/>
    <pivotField showAll="0"/>
    <pivotField showAll="0"/>
    <pivotField showAll="0">
      <items count="8">
        <item x="0"/>
        <item x="3"/>
        <item x="2"/>
        <item x="6"/>
        <item x="1"/>
        <item x="4"/>
        <item x="5"/>
        <item t="default"/>
      </items>
    </pivotField>
  </pivotFields>
  <rowItems count="1">
    <i/>
  </rowItems>
  <colItems count="1">
    <i/>
  </colItems>
  <dataFields count="1">
    <dataField name="Average of Recency" fld="2" subtotal="average"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81B7F60-B1B0-4099-AA54-D56D3DE75464}" name="PT10_Average_Spending_by_Segmen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rowHeaderCaption="Customer Segment">
  <location ref="C4:D12" firstHeaderRow="1" firstDataRow="1" firstDataCol="1"/>
  <pivotFields count="9">
    <pivotField showAll="0"/>
    <pivotField showAll="0">
      <items count="9">
        <item x="5"/>
        <item x="0"/>
        <item x="2"/>
        <item x="4"/>
        <item x="7"/>
        <item x="1"/>
        <item x="3"/>
        <item x="6"/>
        <item t="default"/>
      </items>
    </pivotField>
    <pivotField showAll="0"/>
    <pivotField numFmtId="1" showAll="0"/>
    <pivotField dataField="1" showAll="0"/>
    <pivotField showAll="0"/>
    <pivotField showAll="0"/>
    <pivotField showAll="0"/>
    <pivotField axis="axisRow" showAll="0" sortType="descending">
      <items count="8">
        <item x="0"/>
        <item x="3"/>
        <item x="2"/>
        <item x="6"/>
        <item x="1"/>
        <item x="4"/>
        <item x="5"/>
        <item t="default"/>
      </items>
      <autoSortScope>
        <pivotArea dataOnly="0" outline="0" fieldPosition="0">
          <references count="1">
            <reference field="4294967294" count="1" selected="0">
              <x v="0"/>
            </reference>
          </references>
        </pivotArea>
      </autoSortScope>
    </pivotField>
  </pivotFields>
  <rowFields count="1">
    <field x="8"/>
  </rowFields>
  <rowItems count="8">
    <i>
      <x v="1"/>
    </i>
    <i>
      <x/>
    </i>
    <i>
      <x v="4"/>
    </i>
    <i>
      <x v="6"/>
    </i>
    <i>
      <x v="5"/>
    </i>
    <i>
      <x v="2"/>
    </i>
    <i>
      <x v="3"/>
    </i>
    <i t="grand">
      <x/>
    </i>
  </rowItems>
  <colItems count="1">
    <i/>
  </colItems>
  <dataFields count="1">
    <dataField name="Average of Spending" fld="4" subtotal="average" baseField="8" baseItem="0" numFmtId="165"/>
  </dataFields>
  <chartFormats count="1">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E8621F2-D3D6-4F59-9241-5914A6DF8741}" name="PT01_Total_Revenue"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17:A18" firstHeaderRow="1" firstDataRow="1" firstDataCol="0"/>
  <pivotFields count="18">
    <pivotField showAll="0"/>
    <pivotField showAll="0"/>
    <pivotField showAll="0">
      <items count="4">
        <item x="1"/>
        <item x="0"/>
        <item x="2"/>
        <item t="default"/>
      </items>
    </pivotField>
    <pivotField showAll="0">
      <items count="9">
        <item x="6"/>
        <item x="1"/>
        <item x="0"/>
        <item x="5"/>
        <item x="3"/>
        <item x="2"/>
        <item x="4"/>
        <item x="7"/>
        <item t="default"/>
      </items>
    </pivotField>
    <pivotField showAll="0"/>
    <pivotField showAll="0">
      <items count="5">
        <item x="3"/>
        <item x="2"/>
        <item x="0"/>
        <item x="1"/>
        <item t="default"/>
      </items>
    </pivotField>
    <pivotField showAll="0">
      <items count="8">
        <item x="1"/>
        <item x="4"/>
        <item x="2"/>
        <item x="0"/>
        <item x="5"/>
        <item x="6"/>
        <item x="3"/>
        <item t="default"/>
      </items>
    </pivotField>
    <pivotField showAll="0">
      <items count="4">
        <item x="1"/>
        <item x="0"/>
        <item x="2"/>
        <item t="default"/>
      </items>
    </pivotField>
    <pivotField showAll="0"/>
    <pivotField showAll="0"/>
    <pivotField dataField="1"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Total Price" fld="10" baseField="0" baseItem="0" numFmtId="165"/>
  </dataFields>
  <pivotTableStyleInfo name="PivotStyleLight16" showRowHeaders="1" showColHeaders="1" showRowStripes="0" showColStripes="0" showLastColumn="1"/>
  <filters count="1">
    <filter fld="11" type="dateBetween" evalOrder="-1" id="967"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8CDB9B4-1D06-4A3D-8DD9-41C62FBB34B7}" name="PT03_Average_Revenue"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E17:E18" firstHeaderRow="1" firstDataRow="1" firstDataCol="0"/>
  <pivotFields count="18">
    <pivotField showAll="0"/>
    <pivotField showAll="0"/>
    <pivotField showAll="0">
      <items count="4">
        <item x="1"/>
        <item x="0"/>
        <item x="2"/>
        <item t="default"/>
      </items>
    </pivotField>
    <pivotField showAll="0">
      <items count="9">
        <item x="6"/>
        <item x="1"/>
        <item x="0"/>
        <item x="5"/>
        <item x="3"/>
        <item x="2"/>
        <item x="4"/>
        <item x="7"/>
        <item t="default"/>
      </items>
    </pivotField>
    <pivotField showAll="0"/>
    <pivotField showAll="0">
      <items count="5">
        <item x="3"/>
        <item x="2"/>
        <item x="0"/>
        <item x="1"/>
        <item t="default"/>
      </items>
    </pivotField>
    <pivotField showAll="0">
      <items count="8">
        <item x="1"/>
        <item x="4"/>
        <item x="2"/>
        <item x="0"/>
        <item x="5"/>
        <item x="6"/>
        <item x="3"/>
        <item t="default"/>
      </items>
    </pivotField>
    <pivotField showAll="0">
      <items count="4">
        <item x="1"/>
        <item x="0"/>
        <item x="2"/>
        <item t="default"/>
      </items>
    </pivotField>
    <pivotField showAll="0"/>
    <pivotField showAll="0"/>
    <pivotField dataField="1"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Average of Total Price" fld="10" subtotal="average" baseField="0" baseItem="0" numFmtId="165"/>
  </dataFields>
  <pivotTableStyleInfo name="PivotStyleLight16" showRowHeaders="1" showColHeaders="1" showRowStripes="0" showColStripes="0" showLastColumn="1"/>
  <filters count="1">
    <filter fld="11" type="dateBetween" evalOrder="-1" id="967"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9D03CB30-68B3-4552-AF26-01D4827D7E06}" name="PT04_Revenue_by_Month"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6" rowHeaderCaption="Month">
  <location ref="A23:B36" firstHeaderRow="1" firstDataRow="1" firstDataCol="1"/>
  <pivotFields count="18">
    <pivotField showAll="0"/>
    <pivotField showAll="0"/>
    <pivotField showAll="0">
      <items count="4">
        <item x="1"/>
        <item x="0"/>
        <item x="2"/>
        <item t="default"/>
      </items>
    </pivotField>
    <pivotField showAll="0">
      <items count="9">
        <item x="6"/>
        <item x="1"/>
        <item x="0"/>
        <item x="5"/>
        <item x="3"/>
        <item x="2"/>
        <item x="4"/>
        <item x="7"/>
        <item t="default"/>
      </items>
    </pivotField>
    <pivotField showAll="0"/>
    <pivotField showAll="0">
      <items count="5">
        <item x="3"/>
        <item x="2"/>
        <item x="0"/>
        <item x="1"/>
        <item t="default"/>
      </items>
    </pivotField>
    <pivotField showAll="0">
      <items count="8">
        <item x="1"/>
        <item x="4"/>
        <item x="2"/>
        <item x="0"/>
        <item x="5"/>
        <item x="6"/>
        <item x="3"/>
        <item t="default"/>
      </items>
    </pivotField>
    <pivotField showAll="0">
      <items count="4">
        <item x="1"/>
        <item x="0"/>
        <item x="2"/>
        <item t="default"/>
      </items>
    </pivotField>
    <pivotField showAll="0"/>
    <pivotField showAll="0"/>
    <pivotField dataField="1"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Total Price" fld="10" baseField="0" baseItem="0" numFmtId="165"/>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997"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91BD526-2CDB-4C0B-AF55-67E3A4E0C610}" name="PT02_Total_Order"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C17:C18" firstHeaderRow="1" firstDataRow="1" firstDataCol="0"/>
  <pivotFields count="18">
    <pivotField dataField="1" showAll="0"/>
    <pivotField showAll="0"/>
    <pivotField showAll="0">
      <items count="4">
        <item x="1"/>
        <item x="0"/>
        <item x="2"/>
        <item t="default"/>
      </items>
    </pivotField>
    <pivotField showAll="0">
      <items count="9">
        <item x="6"/>
        <item x="1"/>
        <item x="0"/>
        <item x="5"/>
        <item x="3"/>
        <item x="2"/>
        <item x="4"/>
        <item x="7"/>
        <item t="default"/>
      </items>
    </pivotField>
    <pivotField showAll="0"/>
    <pivotField showAll="0">
      <items count="5">
        <item x="3"/>
        <item x="2"/>
        <item x="0"/>
        <item x="1"/>
        <item t="default"/>
      </items>
    </pivotField>
    <pivotField showAll="0">
      <items count="8">
        <item x="1"/>
        <item x="4"/>
        <item x="2"/>
        <item x="0"/>
        <item x="5"/>
        <item x="6"/>
        <item x="3"/>
        <item t="default"/>
      </items>
    </pivotField>
    <pivotField showAll="0">
      <items count="4">
        <item x="1"/>
        <item x="0"/>
        <item x="2"/>
        <item t="default"/>
      </items>
    </pivotField>
    <pivotField showAll="0"/>
    <pivotField showAll="0"/>
    <pivotField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Count of Order ID" fld="0" subtotal="count" baseField="0" baseItem="0"/>
  </dataFields>
  <pivotTableStyleInfo name="PivotStyleLight16" showRowHeaders="1" showColHeaders="1" showRowStripes="0" showColStripes="0" showLastColumn="1"/>
  <filters count="1">
    <filter fld="11" type="dateBetween" evalOrder="-1" id="967"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2D0D200-C822-4396-AAC5-67CEA3EECF9A}" name="PT11_Total_Quantity_by_Division"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8" rowHeaderCaption="Division">
  <location ref="D39:E48" firstHeaderRow="1" firstDataRow="1" firstDataCol="1"/>
  <pivotFields count="18">
    <pivotField showAll="0"/>
    <pivotField showAll="0"/>
    <pivotField showAll="0">
      <items count="4">
        <item x="1"/>
        <item x="0"/>
        <item x="2"/>
        <item t="default"/>
      </items>
    </pivotField>
    <pivotField axis="axisRow" showAll="0" sortType="descending">
      <items count="9">
        <item x="6"/>
        <item x="1"/>
        <item x="0"/>
        <item x="5"/>
        <item x="3"/>
        <item x="2"/>
        <item x="4"/>
        <item x="7"/>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items count="8">
        <item x="1"/>
        <item x="4"/>
        <item x="2"/>
        <item x="0"/>
        <item x="5"/>
        <item x="6"/>
        <item x="3"/>
        <item t="default"/>
      </items>
    </pivotField>
    <pivotField showAll="0">
      <items count="4">
        <item x="1"/>
        <item x="0"/>
        <item x="2"/>
        <item t="default"/>
      </items>
    </pivotField>
    <pivotField showAll="0"/>
    <pivotField dataField="1" showAll="0"/>
    <pivotField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v="2"/>
    </i>
    <i>
      <x v="1"/>
    </i>
    <i>
      <x v="3"/>
    </i>
    <i>
      <x v="5"/>
    </i>
    <i>
      <x v="7"/>
    </i>
    <i>
      <x v="6"/>
    </i>
    <i>
      <x v="4"/>
    </i>
    <i>
      <x/>
    </i>
    <i t="grand">
      <x/>
    </i>
  </rowItems>
  <colItems count="1">
    <i/>
  </colItems>
  <dataFields count="1">
    <dataField name="Sum of Quantity" fld="9"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967"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1A743F50-253D-4C5E-9BBD-5F1CB6560334}" name="PT08_Total_Quantity"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G17:G18" firstHeaderRow="1" firstDataRow="1" firstDataCol="0"/>
  <pivotFields count="18">
    <pivotField showAll="0"/>
    <pivotField showAll="0"/>
    <pivotField showAll="0">
      <items count="4">
        <item x="1"/>
        <item x="0"/>
        <item x="2"/>
        <item t="default"/>
      </items>
    </pivotField>
    <pivotField showAll="0">
      <items count="9">
        <item x="6"/>
        <item x="1"/>
        <item x="0"/>
        <item x="5"/>
        <item x="3"/>
        <item x="2"/>
        <item x="4"/>
        <item x="7"/>
        <item t="default"/>
      </items>
    </pivotField>
    <pivotField showAll="0"/>
    <pivotField showAll="0">
      <items count="5">
        <item x="3"/>
        <item x="2"/>
        <item x="0"/>
        <item x="1"/>
        <item t="default"/>
      </items>
    </pivotField>
    <pivotField showAll="0">
      <items count="8">
        <item x="1"/>
        <item x="4"/>
        <item x="2"/>
        <item x="0"/>
        <item x="5"/>
        <item x="6"/>
        <item x="3"/>
        <item t="default"/>
      </items>
    </pivotField>
    <pivotField showAll="0">
      <items count="4">
        <item x="1"/>
        <item x="0"/>
        <item x="2"/>
        <item t="default"/>
      </items>
    </pivotField>
    <pivotField showAll="0"/>
    <pivotField dataField="1" showAll="0"/>
    <pivotField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Items count="1">
    <i/>
  </colItems>
  <dataFields count="1">
    <dataField name="Sum of Quantity" fld="9" baseField="0" baseItem="0"/>
  </dataFields>
  <pivotTableStyleInfo name="PivotStyleLight16" showRowHeaders="1" showColHeaders="1" showRowStripes="0" showColStripes="0" showLastColumn="1"/>
  <filters count="1">
    <filter fld="11" type="dateBetween" evalOrder="-1" id="967"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F4AC85A0-91ED-47A1-AF60-E76F984EBCA6}" name="PT09_Top_3_Products_by_Revenue"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7" rowHeaderCaption="Products">
  <location ref="M23:N31" firstHeaderRow="1" firstDataRow="1" firstDataCol="1"/>
  <pivotFields count="18">
    <pivotField showAll="0"/>
    <pivotField showAll="0"/>
    <pivotField showAll="0">
      <items count="4">
        <item x="1"/>
        <item x="0"/>
        <item x="2"/>
        <item t="default"/>
      </items>
    </pivotField>
    <pivotField showAll="0">
      <items count="9">
        <item x="6"/>
        <item x="1"/>
        <item x="0"/>
        <item x="5"/>
        <item x="3"/>
        <item x="2"/>
        <item x="4"/>
        <item x="7"/>
        <item t="default"/>
      </items>
    </pivotField>
    <pivotField showAll="0"/>
    <pivotField showAll="0">
      <items count="5">
        <item x="3"/>
        <item x="2"/>
        <item x="0"/>
        <item x="1"/>
        <item t="default"/>
      </items>
    </pivotField>
    <pivotField axis="axisRow" showAll="0" sortType="ascending">
      <items count="8">
        <item x="1"/>
        <item x="4"/>
        <item x="2"/>
        <item x="0"/>
        <item x="5"/>
        <item x="6"/>
        <item x="3"/>
        <item t="default"/>
      </items>
      <autoSortScope>
        <pivotArea dataOnly="0" outline="0" fieldPosition="0">
          <references count="1">
            <reference field="4294967294" count="1" selected="0">
              <x v="0"/>
            </reference>
          </references>
        </pivotArea>
      </autoSortScope>
    </pivotField>
    <pivotField showAll="0">
      <items count="4">
        <item x="1"/>
        <item x="0"/>
        <item x="2"/>
        <item t="default"/>
      </items>
    </pivotField>
    <pivotField showAll="0"/>
    <pivotField showAll="0"/>
    <pivotField dataField="1"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6"/>
  </rowFields>
  <rowItems count="8">
    <i>
      <x v="4"/>
    </i>
    <i>
      <x v="1"/>
    </i>
    <i>
      <x/>
    </i>
    <i>
      <x v="6"/>
    </i>
    <i>
      <x v="3"/>
    </i>
    <i>
      <x v="5"/>
    </i>
    <i>
      <x v="2"/>
    </i>
    <i t="grand">
      <x/>
    </i>
  </rowItems>
  <colItems count="1">
    <i/>
  </colItems>
  <dataFields count="1">
    <dataField name="Sum of Total Price" fld="10" baseField="0" baseItem="0" numFmtId="165"/>
  </dataField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968"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C17B4F6F-60A2-45D7-B4AC-83744C70AA0D}" name="PT10_Total_Quantity_by_Month"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rowHeaderCaption="Month">
  <location ref="A39:B52" firstHeaderRow="1" firstDataRow="1" firstDataCol="1"/>
  <pivotFields count="18">
    <pivotField showAll="0"/>
    <pivotField showAll="0"/>
    <pivotField showAll="0">
      <items count="4">
        <item x="1"/>
        <item x="0"/>
        <item x="2"/>
        <item t="default"/>
      </items>
    </pivotField>
    <pivotField showAll="0">
      <items count="9">
        <item x="6"/>
        <item x="1"/>
        <item x="0"/>
        <item x="5"/>
        <item x="3"/>
        <item x="2"/>
        <item x="4"/>
        <item x="7"/>
        <item t="default"/>
      </items>
    </pivotField>
    <pivotField showAll="0"/>
    <pivotField showAll="0">
      <items count="5">
        <item x="3"/>
        <item x="2"/>
        <item x="0"/>
        <item x="1"/>
        <item t="default"/>
      </items>
    </pivotField>
    <pivotField showAll="0">
      <items count="8">
        <item x="1"/>
        <item x="4"/>
        <item x="2"/>
        <item x="0"/>
        <item x="5"/>
        <item x="6"/>
        <item x="3"/>
        <item t="default"/>
      </items>
    </pivotField>
    <pivotField showAll="0">
      <items count="4">
        <item x="1"/>
        <item x="0"/>
        <item x="2"/>
        <item t="default"/>
      </items>
    </pivotField>
    <pivotField showAll="0"/>
    <pivotField dataField="1" showAll="0"/>
    <pivotField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5"/>
  </rowFields>
  <rowItems count="13">
    <i>
      <x v="1"/>
    </i>
    <i>
      <x v="2"/>
    </i>
    <i>
      <x v="3"/>
    </i>
    <i>
      <x v="4"/>
    </i>
    <i>
      <x v="5"/>
    </i>
    <i>
      <x v="6"/>
    </i>
    <i>
      <x v="7"/>
    </i>
    <i>
      <x v="8"/>
    </i>
    <i>
      <x v="9"/>
    </i>
    <i>
      <x v="10"/>
    </i>
    <i>
      <x v="11"/>
    </i>
    <i>
      <x v="12"/>
    </i>
    <i t="grand">
      <x/>
    </i>
  </rowItems>
  <colItems count="1">
    <i/>
  </colItems>
  <dataFields count="1">
    <dataField name="Sum of Quantity" fld="9" baseField="0" baseItem="0"/>
  </dataFields>
  <chartFormats count="1">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997"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3DDF708-95CC-455D-872D-E8E903D726F4}" name="PT06_Revenue_by_Categories"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Product Categories">
  <location ref="G23:H27" firstHeaderRow="1" firstDataRow="1" firstDataCol="1"/>
  <pivotFields count="18">
    <pivotField showAll="0"/>
    <pivotField showAll="0"/>
    <pivotField showAll="0">
      <items count="4">
        <item x="1"/>
        <item x="0"/>
        <item x="2"/>
        <item t="default"/>
      </items>
    </pivotField>
    <pivotField showAll="0">
      <items count="9">
        <item x="6"/>
        <item x="1"/>
        <item x="0"/>
        <item x="5"/>
        <item x="3"/>
        <item x="2"/>
        <item x="4"/>
        <item x="7"/>
        <item t="default"/>
      </items>
    </pivotField>
    <pivotField showAll="0"/>
    <pivotField showAll="0">
      <items count="5">
        <item x="3"/>
        <item x="2"/>
        <item x="0"/>
        <item x="1"/>
        <item t="default"/>
      </items>
    </pivotField>
    <pivotField showAll="0">
      <items count="8">
        <item x="1"/>
        <item x="4"/>
        <item x="2"/>
        <item x="0"/>
        <item x="5"/>
        <item x="6"/>
        <item x="3"/>
        <item t="default"/>
      </items>
    </pivotField>
    <pivotField axis="axisRow" showAll="0" sortType="descending">
      <items count="4">
        <item x="1"/>
        <item x="0"/>
        <item x="2"/>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4">
    <i>
      <x v="1"/>
    </i>
    <i>
      <x v="2"/>
    </i>
    <i>
      <x/>
    </i>
    <i t="grand">
      <x/>
    </i>
  </rowItems>
  <colItems count="1">
    <i/>
  </colItems>
  <dataFields count="1">
    <dataField name="Sum of Total Price" fld="10"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967"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C39B7BD-B2DC-4E0C-8938-8C8283428E04}" name="PT05_Revenue_by_Division"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4" rowHeaderCaption="Division">
  <location ref="D23:E32" firstHeaderRow="1" firstDataRow="1" firstDataCol="1"/>
  <pivotFields count="18">
    <pivotField showAll="0"/>
    <pivotField showAll="0"/>
    <pivotField showAll="0">
      <items count="4">
        <item x="1"/>
        <item x="0"/>
        <item x="2"/>
        <item t="default"/>
      </items>
    </pivotField>
    <pivotField axis="axisRow" showAll="0" sortType="descending">
      <items count="9">
        <item x="6"/>
        <item x="1"/>
        <item x="0"/>
        <item x="5"/>
        <item x="3"/>
        <item x="2"/>
        <item x="4"/>
        <item x="7"/>
        <item t="default"/>
      </items>
      <autoSortScope>
        <pivotArea dataOnly="0" outline="0" fieldPosition="0">
          <references count="1">
            <reference field="4294967294" count="1" selected="0">
              <x v="0"/>
            </reference>
          </references>
        </pivotArea>
      </autoSortScope>
    </pivotField>
    <pivotField showAll="0"/>
    <pivotField showAll="0">
      <items count="5">
        <item x="3"/>
        <item x="2"/>
        <item x="0"/>
        <item x="1"/>
        <item t="default"/>
      </items>
    </pivotField>
    <pivotField showAll="0">
      <items count="8">
        <item x="1"/>
        <item x="4"/>
        <item x="2"/>
        <item x="0"/>
        <item x="5"/>
        <item x="6"/>
        <item x="3"/>
        <item t="default"/>
      </items>
    </pivotField>
    <pivotField showAll="0">
      <items count="4">
        <item x="1"/>
        <item x="0"/>
        <item x="2"/>
        <item t="default"/>
      </items>
    </pivotField>
    <pivotField showAll="0"/>
    <pivotField showAll="0"/>
    <pivotField dataField="1"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9">
    <i>
      <x v="2"/>
    </i>
    <i>
      <x v="1"/>
    </i>
    <i>
      <x v="3"/>
    </i>
    <i>
      <x v="5"/>
    </i>
    <i>
      <x v="6"/>
    </i>
    <i>
      <x v="7"/>
    </i>
    <i>
      <x v="4"/>
    </i>
    <i>
      <x/>
    </i>
    <i t="grand">
      <x/>
    </i>
  </rowItems>
  <colItems count="1">
    <i/>
  </colItems>
  <dataFields count="1">
    <dataField name="Sum of Total Price" fld="10" baseField="0" baseItem="0" numFmtId="165"/>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1" type="dateBetween" evalOrder="-1" id="967"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C3EFC446-8E9B-4A29-A605-5FB683B35A38}" name="PT07_Revenue_by_Sales_Channel" cacheId="10"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71" rowHeaderCaption="Sales Channel">
  <location ref="J23:K28" firstHeaderRow="1" firstDataRow="1" firstDataCol="1"/>
  <pivotFields count="18">
    <pivotField showAll="0"/>
    <pivotField showAll="0"/>
    <pivotField showAll="0">
      <items count="4">
        <item x="1"/>
        <item x="0"/>
        <item x="2"/>
        <item t="default"/>
      </items>
    </pivotField>
    <pivotField showAll="0">
      <items count="9">
        <item x="6"/>
        <item x="1"/>
        <item x="0"/>
        <item x="5"/>
        <item x="3"/>
        <item x="2"/>
        <item x="4"/>
        <item x="7"/>
        <item t="default"/>
      </items>
    </pivotField>
    <pivotField showAll="0"/>
    <pivotField axis="axisRow" showAll="0">
      <items count="5">
        <item x="3"/>
        <item x="2"/>
        <item x="0"/>
        <item x="1"/>
        <item t="default"/>
      </items>
    </pivotField>
    <pivotField showAll="0">
      <items count="8">
        <item x="1"/>
        <item x="4"/>
        <item x="2"/>
        <item x="0"/>
        <item x="5"/>
        <item x="6"/>
        <item x="3"/>
        <item t="default"/>
      </items>
    </pivotField>
    <pivotField showAll="0">
      <items count="4">
        <item x="1"/>
        <item x="0"/>
        <item x="2"/>
        <item t="default"/>
      </items>
    </pivotField>
    <pivotField showAll="0"/>
    <pivotField showAll="0"/>
    <pivotField dataField="1" showAll="0"/>
    <pivotField showAll="0">
      <items count="673">
        <item x="231"/>
        <item x="255"/>
        <item x="96"/>
        <item x="286"/>
        <item x="126"/>
        <item x="341"/>
        <item x="267"/>
        <item x="170"/>
        <item x="295"/>
        <item x="194"/>
        <item x="5"/>
        <item x="321"/>
        <item x="113"/>
        <item x="35"/>
        <item x="186"/>
        <item x="61"/>
        <item x="193"/>
        <item x="3"/>
        <item x="4"/>
        <item x="248"/>
        <item x="326"/>
        <item x="280"/>
        <item x="150"/>
        <item x="90"/>
        <item x="31"/>
        <item x="53"/>
        <item x="201"/>
        <item x="153"/>
        <item x="196"/>
        <item x="344"/>
        <item x="308"/>
        <item x="26"/>
        <item x="87"/>
        <item x="250"/>
        <item x="63"/>
        <item x="111"/>
        <item x="64"/>
        <item x="75"/>
        <item x="263"/>
        <item x="221"/>
        <item x="102"/>
        <item x="37"/>
        <item x="235"/>
        <item x="42"/>
        <item x="173"/>
        <item x="157"/>
        <item x="12"/>
        <item x="80"/>
        <item x="184"/>
        <item x="313"/>
        <item x="59"/>
        <item x="105"/>
        <item x="306"/>
        <item x="156"/>
        <item x="8"/>
        <item x="339"/>
        <item x="43"/>
        <item x="163"/>
        <item x="265"/>
        <item x="214"/>
        <item x="129"/>
        <item x="324"/>
        <item x="315"/>
        <item x="254"/>
        <item x="84"/>
        <item x="266"/>
        <item x="332"/>
        <item x="278"/>
        <item x="146"/>
        <item x="162"/>
        <item x="55"/>
        <item x="205"/>
        <item x="72"/>
        <item x="188"/>
        <item x="122"/>
        <item x="68"/>
        <item x="293"/>
        <item x="198"/>
        <item x="103"/>
        <item x="86"/>
        <item x="195"/>
        <item x="353"/>
        <item x="50"/>
        <item x="349"/>
        <item x="224"/>
        <item x="316"/>
        <item x="357"/>
        <item x="303"/>
        <item x="65"/>
        <item x="159"/>
        <item x="246"/>
        <item x="141"/>
        <item x="260"/>
        <item x="169"/>
        <item x="1"/>
        <item x="253"/>
        <item x="70"/>
        <item x="58"/>
        <item x="314"/>
        <item x="137"/>
        <item x="283"/>
        <item x="48"/>
        <item x="152"/>
        <item x="83"/>
        <item x="297"/>
        <item x="114"/>
        <item x="9"/>
        <item x="131"/>
        <item x="256"/>
        <item x="252"/>
        <item x="337"/>
        <item x="211"/>
        <item x="233"/>
        <item x="132"/>
        <item x="243"/>
        <item x="118"/>
        <item x="309"/>
        <item x="296"/>
        <item x="95"/>
        <item x="125"/>
        <item x="154"/>
        <item x="45"/>
        <item x="109"/>
        <item x="187"/>
        <item x="336"/>
        <item x="16"/>
        <item x="347"/>
        <item x="120"/>
        <item x="121"/>
        <item x="182"/>
        <item x="38"/>
        <item x="79"/>
        <item x="222"/>
        <item x="288"/>
        <item x="88"/>
        <item x="261"/>
        <item x="210"/>
        <item x="99"/>
        <item x="145"/>
        <item x="319"/>
        <item x="107"/>
        <item x="328"/>
        <item x="10"/>
        <item x="307"/>
        <item x="241"/>
        <item x="115"/>
        <item x="271"/>
        <item x="22"/>
        <item x="155"/>
        <item x="207"/>
        <item x="17"/>
        <item x="301"/>
        <item x="257"/>
        <item x="178"/>
        <item x="329"/>
        <item x="52"/>
        <item x="7"/>
        <item x="352"/>
        <item x="223"/>
        <item x="147"/>
        <item x="101"/>
        <item x="18"/>
        <item x="151"/>
        <item x="236"/>
        <item x="128"/>
        <item x="180"/>
        <item x="98"/>
        <item x="333"/>
        <item x="29"/>
        <item x="14"/>
        <item x="191"/>
        <item x="342"/>
        <item x="165"/>
        <item x="299"/>
        <item x="85"/>
        <item x="247"/>
        <item x="100"/>
        <item x="340"/>
        <item x="192"/>
        <item x="176"/>
        <item x="355"/>
        <item x="272"/>
        <item x="325"/>
        <item x="15"/>
        <item x="287"/>
        <item x="285"/>
        <item x="190"/>
        <item x="335"/>
        <item x="130"/>
        <item x="168"/>
        <item x="134"/>
        <item x="179"/>
        <item x="208"/>
        <item x="234"/>
        <item x="66"/>
        <item x="164"/>
        <item x="237"/>
        <item x="175"/>
        <item x="318"/>
        <item x="338"/>
        <item x="36"/>
        <item x="82"/>
        <item x="213"/>
        <item x="149"/>
        <item x="230"/>
        <item x="158"/>
        <item x="57"/>
        <item x="245"/>
        <item x="216"/>
        <item x="89"/>
        <item x="44"/>
        <item x="27"/>
        <item x="171"/>
        <item x="136"/>
        <item x="322"/>
        <item x="259"/>
        <item x="327"/>
        <item x="78"/>
        <item x="161"/>
        <item x="108"/>
        <item x="229"/>
        <item x="346"/>
        <item x="356"/>
        <item x="119"/>
        <item x="2"/>
        <item x="40"/>
        <item x="139"/>
        <item x="47"/>
        <item x="140"/>
        <item x="302"/>
        <item x="202"/>
        <item x="32"/>
        <item x="304"/>
        <item x="204"/>
        <item x="282"/>
        <item x="104"/>
        <item x="71"/>
        <item x="269"/>
        <item x="11"/>
        <item x="91"/>
        <item x="41"/>
        <item x="197"/>
        <item x="33"/>
        <item x="172"/>
        <item x="123"/>
        <item x="227"/>
        <item x="273"/>
        <item x="183"/>
        <item x="203"/>
        <item x="124"/>
        <item x="116"/>
        <item x="331"/>
        <item x="160"/>
        <item x="54"/>
        <item x="258"/>
        <item x="67"/>
        <item x="232"/>
        <item x="39"/>
        <item x="69"/>
        <item x="242"/>
        <item x="225"/>
        <item x="209"/>
        <item x="144"/>
        <item x="106"/>
        <item x="135"/>
        <item x="97"/>
        <item x="300"/>
        <item x="189"/>
        <item x="166"/>
        <item x="167"/>
        <item x="262"/>
        <item x="218"/>
        <item x="143"/>
        <item x="220"/>
        <item x="6"/>
        <item x="77"/>
        <item x="177"/>
        <item x="284"/>
        <item x="334"/>
        <item x="23"/>
        <item x="238"/>
        <item x="215"/>
        <item x="212"/>
        <item x="226"/>
        <item x="60"/>
        <item x="291"/>
        <item x="185"/>
        <item x="110"/>
        <item x="127"/>
        <item x="20"/>
        <item x="305"/>
        <item x="239"/>
        <item x="276"/>
        <item x="92"/>
        <item x="292"/>
        <item x="310"/>
        <item x="274"/>
        <item x="51"/>
        <item x="30"/>
        <item x="112"/>
        <item x="351"/>
        <item x="244"/>
        <item x="73"/>
        <item x="251"/>
        <item x="117"/>
        <item x="148"/>
        <item x="217"/>
        <item x="19"/>
        <item x="219"/>
        <item x="174"/>
        <item x="181"/>
        <item x="348"/>
        <item x="200"/>
        <item x="323"/>
        <item x="74"/>
        <item x="25"/>
        <item x="138"/>
        <item x="28"/>
        <item x="0"/>
        <item x="317"/>
        <item x="13"/>
        <item x="279"/>
        <item x="49"/>
        <item x="56"/>
        <item x="268"/>
        <item x="289"/>
        <item x="294"/>
        <item x="298"/>
        <item x="270"/>
        <item x="76"/>
        <item x="46"/>
        <item x="350"/>
        <item x="34"/>
        <item x="275"/>
        <item x="21"/>
        <item x="330"/>
        <item x="142"/>
        <item x="24"/>
        <item x="281"/>
        <item x="525"/>
        <item x="643"/>
        <item x="564"/>
        <item x="424"/>
        <item x="596"/>
        <item x="399"/>
        <item x="649"/>
        <item x="472"/>
        <item x="507"/>
        <item x="479"/>
        <item x="395"/>
        <item x="410"/>
        <item x="393"/>
        <item x="497"/>
        <item x="381"/>
        <item x="530"/>
        <item x="377"/>
        <item x="541"/>
        <item x="522"/>
        <item x="619"/>
        <item x="466"/>
        <item x="376"/>
        <item x="398"/>
        <item x="93"/>
        <item x="465"/>
        <item x="553"/>
        <item x="389"/>
        <item x="390"/>
        <item x="598"/>
        <item x="629"/>
        <item x="590"/>
        <item x="577"/>
        <item x="626"/>
        <item x="638"/>
        <item x="394"/>
        <item x="515"/>
        <item x="597"/>
        <item x="608"/>
        <item x="585"/>
        <item x="475"/>
        <item x="670"/>
        <item x="249"/>
        <item x="635"/>
        <item x="413"/>
        <item x="485"/>
        <item x="651"/>
        <item x="645"/>
        <item x="572"/>
        <item x="447"/>
        <item x="392"/>
        <item x="290"/>
        <item x="632"/>
        <item x="488"/>
        <item x="396"/>
        <item x="453"/>
        <item x="397"/>
        <item x="364"/>
        <item x="445"/>
        <item x="560"/>
        <item x="474"/>
        <item x="621"/>
        <item x="430"/>
        <item x="434"/>
        <item x="544"/>
        <item x="489"/>
        <item x="62"/>
        <item x="620"/>
        <item x="365"/>
        <item x="563"/>
        <item x="529"/>
        <item x="528"/>
        <item x="367"/>
        <item x="549"/>
        <item x="371"/>
        <item x="664"/>
        <item x="425"/>
        <item x="402"/>
        <item x="618"/>
        <item x="512"/>
        <item x="527"/>
        <item x="606"/>
        <item x="575"/>
        <item x="469"/>
        <item x="411"/>
        <item x="601"/>
        <item x="646"/>
        <item x="380"/>
        <item x="490"/>
        <item x="637"/>
        <item x="358"/>
        <item x="526"/>
        <item x="444"/>
        <item x="345"/>
        <item x="462"/>
        <item x="516"/>
        <item x="648"/>
        <item x="419"/>
        <item x="476"/>
        <item x="499"/>
        <item x="455"/>
        <item x="386"/>
        <item x="653"/>
        <item x="586"/>
        <item x="559"/>
        <item x="391"/>
        <item x="554"/>
        <item x="600"/>
        <item x="442"/>
        <item x="427"/>
        <item x="509"/>
        <item x="599"/>
        <item x="421"/>
        <item x="496"/>
        <item x="206"/>
        <item x="81"/>
        <item x="558"/>
        <item x="662"/>
        <item x="542"/>
        <item x="667"/>
        <item x="495"/>
        <item x="519"/>
        <item x="594"/>
        <item x="654"/>
        <item x="579"/>
        <item x="582"/>
        <item x="622"/>
        <item x="568"/>
        <item x="610"/>
        <item x="669"/>
        <item x="557"/>
        <item x="641"/>
        <item x="584"/>
        <item x="470"/>
        <item x="382"/>
        <item x="650"/>
        <item x="556"/>
        <item x="457"/>
        <item x="441"/>
        <item x="467"/>
        <item x="571"/>
        <item x="521"/>
        <item x="446"/>
        <item x="504"/>
        <item x="644"/>
        <item x="503"/>
        <item x="615"/>
        <item x="405"/>
        <item x="480"/>
        <item x="409"/>
        <item x="501"/>
        <item x="605"/>
        <item x="477"/>
        <item x="378"/>
        <item x="548"/>
        <item x="565"/>
        <item x="412"/>
        <item x="363"/>
        <item x="520"/>
        <item x="631"/>
        <item x="407"/>
        <item x="580"/>
        <item x="583"/>
        <item x="655"/>
        <item x="423"/>
        <item x="482"/>
        <item x="524"/>
        <item x="661"/>
        <item x="578"/>
        <item x="536"/>
        <item x="540"/>
        <item x="491"/>
        <item x="471"/>
        <item x="506"/>
        <item x="439"/>
        <item x="486"/>
        <item x="228"/>
        <item x="498"/>
        <item x="320"/>
        <item x="666"/>
        <item x="514"/>
        <item x="362"/>
        <item x="573"/>
        <item x="375"/>
        <item x="517"/>
        <item x="587"/>
        <item x="555"/>
        <item x="511"/>
        <item x="663"/>
        <item x="668"/>
        <item x="359"/>
        <item x="403"/>
        <item x="639"/>
        <item x="502"/>
        <item x="240"/>
        <item x="484"/>
        <item x="535"/>
        <item x="401"/>
        <item x="607"/>
        <item x="388"/>
        <item x="438"/>
        <item x="429"/>
        <item x="518"/>
        <item x="546"/>
        <item x="448"/>
        <item x="406"/>
        <item x="538"/>
        <item x="625"/>
        <item x="422"/>
        <item x="588"/>
        <item x="343"/>
        <item x="636"/>
        <item x="552"/>
        <item x="366"/>
        <item x="473"/>
        <item x="372"/>
        <item x="589"/>
        <item x="550"/>
        <item x="383"/>
        <item x="385"/>
        <item x="591"/>
        <item x="404"/>
        <item x="569"/>
        <item x="450"/>
        <item x="454"/>
        <item x="551"/>
        <item x="539"/>
        <item x="408"/>
        <item x="624"/>
        <item x="360"/>
        <item x="567"/>
        <item x="354"/>
        <item x="510"/>
        <item x="657"/>
        <item x="437"/>
        <item x="418"/>
        <item x="543"/>
        <item x="561"/>
        <item x="630"/>
        <item x="416"/>
        <item x="483"/>
        <item x="627"/>
        <item x="400"/>
        <item x="633"/>
        <item x="361"/>
        <item x="433"/>
        <item x="277"/>
        <item x="660"/>
        <item x="500"/>
        <item x="531"/>
        <item x="534"/>
        <item x="609"/>
        <item x="642"/>
        <item x="652"/>
        <item x="658"/>
        <item x="311"/>
        <item x="94"/>
        <item x="199"/>
        <item x="566"/>
        <item x="613"/>
        <item x="460"/>
        <item x="468"/>
        <item x="576"/>
        <item x="461"/>
        <item x="574"/>
        <item x="494"/>
        <item x="435"/>
        <item x="133"/>
        <item x="647"/>
        <item x="570"/>
        <item x="458"/>
        <item x="431"/>
        <item x="617"/>
        <item x="428"/>
        <item x="370"/>
        <item x="426"/>
        <item x="593"/>
        <item x="387"/>
        <item x="533"/>
        <item x="432"/>
        <item x="665"/>
        <item x="451"/>
        <item x="604"/>
        <item x="513"/>
        <item x="616"/>
        <item x="374"/>
        <item x="463"/>
        <item x="481"/>
        <item x="264"/>
        <item x="547"/>
        <item x="464"/>
        <item x="492"/>
        <item x="537"/>
        <item x="443"/>
        <item x="384"/>
        <item x="532"/>
        <item x="379"/>
        <item x="634"/>
        <item x="614"/>
        <item x="523"/>
        <item x="581"/>
        <item x="369"/>
        <item x="545"/>
        <item x="659"/>
        <item x="449"/>
        <item x="420"/>
        <item x="611"/>
        <item x="505"/>
        <item x="612"/>
        <item x="562"/>
        <item x="452"/>
        <item x="603"/>
        <item x="415"/>
        <item x="493"/>
        <item x="417"/>
        <item x="628"/>
        <item x="456"/>
        <item x="478"/>
        <item x="312"/>
        <item x="595"/>
        <item x="487"/>
        <item x="373"/>
        <item x="440"/>
        <item x="368"/>
        <item x="602"/>
        <item x="592"/>
        <item x="623"/>
        <item x="436"/>
        <item x="508"/>
        <item x="640"/>
        <item x="656"/>
        <item x="671"/>
        <item x="459"/>
        <item x="414"/>
        <item t="default"/>
      </items>
    </pivotField>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5">
    <i>
      <x/>
    </i>
    <i>
      <x v="1"/>
    </i>
    <i>
      <x v="2"/>
    </i>
    <i>
      <x v="3"/>
    </i>
    <i t="grand">
      <x/>
    </i>
  </rowItems>
  <colItems count="1">
    <i/>
  </colItems>
  <dataFields count="1">
    <dataField name="Sum of Total Price" fld="10" baseField="0" baseItem="0" numFmtId="165"/>
  </dataFields>
  <chartFormats count="5">
    <chartFormat chart="70" format="10" series="1">
      <pivotArea type="data" outline="0" fieldPosition="0">
        <references count="1">
          <reference field="4294967294" count="1" selected="0">
            <x v="0"/>
          </reference>
        </references>
      </pivotArea>
    </chartFormat>
    <chartFormat chart="70" format="11">
      <pivotArea type="data" outline="0" fieldPosition="0">
        <references count="2">
          <reference field="4294967294" count="1" selected="0">
            <x v="0"/>
          </reference>
          <reference field="5" count="1" selected="0">
            <x v="0"/>
          </reference>
        </references>
      </pivotArea>
    </chartFormat>
    <chartFormat chart="70" format="12">
      <pivotArea type="data" outline="0" fieldPosition="0">
        <references count="2">
          <reference field="4294967294" count="1" selected="0">
            <x v="0"/>
          </reference>
          <reference field="5" count="1" selected="0">
            <x v="1"/>
          </reference>
        </references>
      </pivotArea>
    </chartFormat>
    <chartFormat chart="70" format="13">
      <pivotArea type="data" outline="0" fieldPosition="0">
        <references count="2">
          <reference field="4294967294" count="1" selected="0">
            <x v="0"/>
          </reference>
          <reference field="5" count="1" selected="0">
            <x v="2"/>
          </reference>
        </references>
      </pivotArea>
    </chartFormat>
    <chartFormat chart="70" format="14">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filters count="1">
    <filter fld="11" type="dateBetween" evalOrder="-1" id="967" name="Order Date">
      <autoFilter ref="A1">
        <filterColumn colId="0">
          <customFilters and="1">
            <customFilter operator="greaterThanOrEqual" val="44927"/>
            <customFilter operator="lessThanOrEqual" val="45657"/>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8C9852F-6653-4729-8EF9-C89F6ADC37A8}" sourceName="Gender">
  <pivotTables>
    <pivotTable tabId="16" name="PT01_Total_Revenue"/>
    <pivotTable tabId="16" name="PT02_Total_Order"/>
    <pivotTable tabId="16" name="PT03_Average_Revenue"/>
    <pivotTable tabId="16" name="PT04_Revenue_by_Month"/>
    <pivotTable tabId="16" name="PT05_Revenue_by_Division"/>
    <pivotTable tabId="16" name="PT06_Revenue_by_Categories"/>
    <pivotTable tabId="16" name="PT07_Revenue_by_Sales_Channel"/>
    <pivotTable tabId="16" name="PT09_Top_3_Products_by_Revenue"/>
    <pivotTable tabId="16" name="PT08_Total_Quantity"/>
    <pivotTable tabId="16" name="PT10_Total_Quantity_by_Month"/>
    <pivotTable tabId="16" name="PT11_Total_Quantity_by_Division"/>
  </pivotTables>
  <data>
    <tabular pivotCacheId="928478932">
      <items count="3">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 xr10:uid="{9D417B74-9089-4B05-99DB-79F1E680A552}" sourceName="Division">
  <pivotTables>
    <pivotTable tabId="16" name="PT01_Total_Revenue"/>
    <pivotTable tabId="16" name="PT02_Total_Order"/>
    <pivotTable tabId="16" name="PT03_Average_Revenue"/>
    <pivotTable tabId="16" name="PT04_Revenue_by_Month"/>
    <pivotTable tabId="16" name="PT05_Revenue_by_Division"/>
    <pivotTable tabId="16" name="PT06_Revenue_by_Categories"/>
    <pivotTable tabId="16" name="PT07_Revenue_by_Sales_Channel"/>
    <pivotTable tabId="16" name="PT09_Top_3_Products_by_Revenue"/>
    <pivotTable tabId="16" name="PT08_Total_Quantity"/>
    <pivotTable tabId="16" name="PT10_Total_Quantity_by_Month"/>
    <pivotTable tabId="16" name="PT11_Total_Quantity_by_Division"/>
  </pivotTables>
  <data>
    <tabular pivotCacheId="928478932">
      <items count="8">
        <i x="6" s="1"/>
        <i x="1" s="1"/>
        <i x="0" s="1"/>
        <i x="5" s="1"/>
        <i x="3" s="1"/>
        <i x="2" s="1"/>
        <i x="4" s="1"/>
        <i x="7"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9FE3DF26-B607-4FEB-B816-913868CCDA80}" sourceName="Sales Channel">
  <pivotTables>
    <pivotTable tabId="16" name="PT01_Total_Revenue"/>
    <pivotTable tabId="16" name="PT02_Total_Order"/>
    <pivotTable tabId="16" name="PT03_Average_Revenue"/>
    <pivotTable tabId="16" name="PT04_Revenue_by_Month"/>
    <pivotTable tabId="16" name="PT05_Revenue_by_Division"/>
    <pivotTable tabId="16" name="PT06_Revenue_by_Categories"/>
    <pivotTable tabId="16" name="PT07_Revenue_by_Sales_Channel"/>
    <pivotTable tabId="16" name="PT09_Top_3_Products_by_Revenue"/>
    <pivotTable tabId="16" name="PT08_Total_Quantity"/>
    <pivotTable tabId="16" name="PT10_Total_Quantity_by_Month"/>
    <pivotTable tabId="16" name="PT11_Total_Quantity_by_Division"/>
  </pivotTables>
  <data>
    <tabular pivotCacheId="928478932">
      <items count="4">
        <i x="3" s="1"/>
        <i x="2" s="1"/>
        <i x="0"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71956868-B85E-470D-AFAB-9FC763F4FD7F}" sourceName="Product Name">
  <pivotTables>
    <pivotTable tabId="16" name="PT01_Total_Revenue"/>
    <pivotTable tabId="16" name="PT02_Total_Order"/>
    <pivotTable tabId="16" name="PT03_Average_Revenue"/>
    <pivotTable tabId="16" name="PT04_Revenue_by_Month"/>
    <pivotTable tabId="16" name="PT05_Revenue_by_Division"/>
    <pivotTable tabId="16" name="PT06_Revenue_by_Categories"/>
    <pivotTable tabId="16" name="PT07_Revenue_by_Sales_Channel"/>
    <pivotTable tabId="16" name="PT09_Top_3_Products_by_Revenue"/>
    <pivotTable tabId="16" name="PT08_Total_Quantity"/>
    <pivotTable tabId="16" name="PT10_Total_Quantity_by_Month"/>
    <pivotTable tabId="16" name="PT11_Total_Quantity_by_Division"/>
  </pivotTables>
  <data>
    <tabular pivotCacheId="928478932">
      <items count="7">
        <i x="1" s="1"/>
        <i x="4" s="1"/>
        <i x="2" s="1"/>
        <i x="0" s="1"/>
        <i x="5" s="1"/>
        <i x="6"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524AF9E-B2F6-4A65-AAC8-D74B907E8829}" sourceName="Category">
  <pivotTables>
    <pivotTable tabId="16" name="PT01_Total_Revenue"/>
    <pivotTable tabId="16" name="PT02_Total_Order"/>
    <pivotTable tabId="16" name="PT03_Average_Revenue"/>
    <pivotTable tabId="16" name="PT04_Revenue_by_Month"/>
    <pivotTable tabId="16" name="PT05_Revenue_by_Division"/>
    <pivotTable tabId="16" name="PT06_Revenue_by_Categories"/>
    <pivotTable tabId="16" name="PT07_Revenue_by_Sales_Channel"/>
    <pivotTable tabId="16" name="PT09_Top_3_Products_by_Revenue"/>
    <pivotTable tabId="16" name="PT08_Total_Quantity"/>
    <pivotTable tabId="16" name="PT10_Total_Quantity_by_Month"/>
    <pivotTable tabId="16" name="PT11_Total_Quantity_by_Division"/>
  </pivotTables>
  <data>
    <tabular pivotCacheId="928478932">
      <items count="3">
        <i x="1" s="1"/>
        <i x="0"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vision1" xr10:uid="{EB62694C-304B-435C-BCF8-BBAD2B871265}" sourceName="Division">
  <pivotTables>
    <pivotTable tabId="20" name="PT1_Total_Revenue"/>
    <pivotTable tabId="20" name="PT10_Average_Spending_by_Segment"/>
    <pivotTable tabId="20" name="PT11_Average_Frequency_by_Segment"/>
    <pivotTable tabId="20" name="PT2_Total_Customers"/>
    <pivotTable tabId="20" name="PT3_Average_Customer_Value"/>
    <pivotTable tabId="20" name="PT4_Average_of_Frequency"/>
    <pivotTable tabId="20" name="PT5_Average_of_Recency"/>
    <pivotTable tabId="20" name="PT6_Total_Transactions"/>
    <pivotTable tabId="20" name="PT7_Customer_Count_by_Segment"/>
    <pivotTable tabId="20" name="PT8_Revenue_by_Segment"/>
    <pivotTable tabId="20" name="PT9_Average_Recency_by_Segment"/>
    <pivotTable tabId="20" name="PT9_Frequency_vs_Monetary"/>
    <pivotTable tabId="20" name="PT12_Frequency_vs_Recency"/>
  </pivotTables>
  <data>
    <tabular pivotCacheId="1638906466">
      <items count="8">
        <i x="5" s="1"/>
        <i x="0" s="1"/>
        <i x="2" s="1"/>
        <i x="4" s="1"/>
        <i x="7" s="1"/>
        <i x="1" s="1"/>
        <i x="3" s="1"/>
        <i x="6"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3ABD53A9-6D32-40EB-9A50-73A676EF8EFC}" sourceName="Customer Segment">
  <pivotTables>
    <pivotTable tabId="20" name="PT1_Total_Revenue"/>
    <pivotTable tabId="20" name="PT10_Average_Spending_by_Segment"/>
    <pivotTable tabId="20" name="PT11_Average_Frequency_by_Segment"/>
    <pivotTable tabId="20" name="PT2_Total_Customers"/>
    <pivotTable tabId="20" name="PT3_Average_Customer_Value"/>
    <pivotTable tabId="20" name="PT4_Average_of_Frequency"/>
    <pivotTable tabId="20" name="PT5_Average_of_Recency"/>
    <pivotTable tabId="20" name="PT6_Total_Transactions"/>
    <pivotTable tabId="20" name="PT7_Customer_Count_by_Segment"/>
    <pivotTable tabId="20" name="PT8_Revenue_by_Segment"/>
    <pivotTable tabId="20" name="PT9_Average_Recency_by_Segment"/>
    <pivotTable tabId="20" name="PT9_Frequency_vs_Monetary"/>
    <pivotTable tabId="20" name="PT12_Frequency_vs_Recency"/>
  </pivotTables>
  <data>
    <tabular pivotCacheId="1638906466">
      <items count="7">
        <i x="0" s="1"/>
        <i x="3" s="1"/>
        <i x="2" s="1"/>
        <i x="6" s="1"/>
        <i x="1" s="1"/>
        <i x="4"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vision 1" xr10:uid="{8AC2075E-A536-4557-B453-F47AD18DB791}" cache="Slicer_Division1" caption="Division" rowHeight="234950"/>
  <slicer name="Customer Segment" xr10:uid="{9BCB7B14-2B85-4FEE-837B-D8B6FA1B46EC}" cache="Slicer_Customer_Segment" caption="Customer Segmen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F908E249-A760-4255-81C3-5FACA975A078}" cache="Slicer_Gender" caption="Gender" rowHeight="234950"/>
  <slicer name="Division" xr10:uid="{21D9E5A9-175F-429D-AA94-B1418C642A14}" cache="Slicer_Division" caption="Division" startItem="3" rowHeight="234950"/>
  <slicer name="Sales Channel" xr10:uid="{C566D111-9C28-468C-AF3E-979F64B23D54}" cache="Slicer_Sales_Channel" caption="Sales Channel" rowHeight="234950"/>
  <slicer name="Product Name" xr10:uid="{A3075BE6-BA73-46CB-91FC-DA9DB8286DBD}" cache="Slicer_Product_Name" caption="Product Name" rowHeight="234950"/>
  <slicer name="Category" xr10:uid="{DC50702D-AF79-4D6E-9B8D-1BBE8362D960}" cache="Slicer_Category" caption="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3AF7602-7F80-4D79-B1BE-A05F89EB73B1}" name="Table2" displayName="Table2" ref="K1:N5" totalsRowShown="0">
  <autoFilter ref="K1:N5" xr:uid="{53AF7602-7F80-4D79-B1BE-A05F89EB73B1}"/>
  <tableColumns count="4">
    <tableColumn id="1" xr3:uid="{6D1F6E4E-4B28-49EB-8285-649C088065E3}" name="Column1"/>
    <tableColumn id="2" xr3:uid="{CB2FD451-3DF3-4061-BAC4-ABF066D893FC}" name="Recency Percentile" dataDxfId="33"/>
    <tableColumn id="3" xr3:uid="{897C7462-4DDE-462F-86EE-759D5F4AE87F}" name="Frequency Percentile" dataDxfId="32"/>
    <tableColumn id="4" xr3:uid="{62F870D3-5D0A-4EE7-9358-CC4E18BE945B}" name="Monetary Percentile" dataDxfId="31"/>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141CED3-8C68-4FBE-ABA2-35686451D18A}" name="Customer_Segmentation" displayName="Customer_Segmentation" ref="A1:I289" totalsRowCount="1" headerRowDxfId="30" headerRowBorderDxfId="29">
  <autoFilter ref="A1:I288" xr:uid="{A141CED3-8C68-4FBE-ABA2-35686451D18A}"/>
  <tableColumns count="9">
    <tableColumn id="1" xr3:uid="{F35747B0-A7BF-4D01-9D61-A057A185543A}" name="Customer ID"/>
    <tableColumn id="2" xr3:uid="{B0323183-D86C-44C1-8A3B-5877C878F9B8}" name="Division" dataDxfId="28" totalsRowDxfId="27">
      <calculatedColumnFormula>_xlfn.XLOOKUP(A2,Cleaned_Data!$B$1:$B$1957,Cleaned_Data!$D$1:$D$1957)</calculatedColumnFormula>
    </tableColumn>
    <tableColumn id="3" xr3:uid="{21B8949E-4D16-410E-9628-1188F7482C92}" name="Recency" dataDxfId="26" totalsRowDxfId="25"/>
    <tableColumn id="4" xr3:uid="{8F9732E2-F284-4412-9A19-952E89AA9951}" name="Frequency" dataDxfId="24" totalsRowDxfId="23"/>
    <tableColumn id="5" xr3:uid="{19BAD653-1B86-4C30-A68B-A24722C175C8}" name="Monetary" totalsRowFunction="custom" dataDxfId="22" totalsRowDxfId="21">
      <totalsRowFormula>SUM(E2:E288)</totalsRowFormula>
    </tableColumn>
    <tableColumn id="6" xr3:uid="{42AD375B-818B-45CB-8198-77666DE3F2AC}" name="R Score" dataDxfId="20" totalsRowDxfId="19">
      <calculatedColumnFormula>IF(C2&lt;=$L$2,5,
  IF(C2&lt;=$L$3,4,
    IF(C2&lt;=$L$4,3,
      IF(C2&lt;=$L$5,2,1))))</calculatedColumnFormula>
    </tableColumn>
    <tableColumn id="7" xr3:uid="{BB94C525-7AD2-4417-9261-95E95CD92F1D}" name="F Score" dataDxfId="18" totalsRowDxfId="17">
      <calculatedColumnFormula>IF(D2&gt;=$M$5,5,
  IF(D2&gt;=$M$4,4,
    IF(D2&gt;=$M$3,3,
      IF(D2&gt;=$M$2,2,1))))</calculatedColumnFormula>
    </tableColumn>
    <tableColumn id="8" xr3:uid="{4F4DAD68-EDA3-4CA1-8C04-FC6A1F4F6C30}" name="M Score" dataDxfId="16" totalsRowDxfId="15">
      <calculatedColumnFormula>IF(E2&gt;=$N$5,5,
  IF(E2&gt;=$N$4,4,
    IF(E2&gt;=$N$3,3,
      IF(E2&gt;=$N$2,2,1))))</calculatedColumnFormula>
    </tableColumn>
    <tableColumn id="9" xr3:uid="{0F3FC5FD-380B-4DCC-ACF4-9D87869A9F35}" name="Customer Segment" dataDxfId="14" totalsRowDxfId="13">
      <calculatedColumnFormula>IF(AND(F2&gt;=4,G2&gt;=4,H2&gt;=4),"Champions",
  IF(AND(F2&lt;=2,OR(G2&gt;=3,H2&gt;=3)),"At Risk",
    IF(G2&gt;=4,"Loyal Customers",
      IF(AND(F2&gt;=4,G2&lt;=2),"New Customers",
        IF(AND(F2&gt;=3,OR(G2&gt;=3,H2&gt;=3)),"Potential Loyal",
          IF(AND(F2&lt;=2,G2&lt;=2,H2&lt;=2),"Lost/Churned",
            IF(AND(F2=3,G2&lt;=2,H2&lt;=2),"Low Engagement",
              "Unclassified")))))))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7FABF5-2FAC-4BC5-B098-B301F0667133}" name="Sales_Data" displayName="Sales_Data" ref="A1:N1957" totalsRowShown="0" headerRowDxfId="12" dataDxfId="11">
  <autoFilter ref="A1:N1957" xr:uid="{6A7FABF5-2FAC-4BC5-B098-B301F0667133}"/>
  <tableColumns count="14">
    <tableColumn id="1" xr3:uid="{5BD7851D-A068-4DFD-B641-227DC4D6F84B}" name="Order ID"/>
    <tableColumn id="2" xr3:uid="{4A60DE81-DE4B-4A90-BF6E-E7E47FCAE205}" name="Customer ID" dataDxfId="10"/>
    <tableColumn id="3" xr3:uid="{6E77B537-A6EB-4F5E-84BD-B93DA91201E0}" name="Gender" dataDxfId="9"/>
    <tableColumn id="4" xr3:uid="{70164AF9-9BCC-4968-84F3-42A4BF3293DC}" name="Division" dataDxfId="8"/>
    <tableColumn id="5" xr3:uid="{34C5A91E-2D7F-4E9B-8FE0-548C3A65FDD0}" name="Age"/>
    <tableColumn id="6" xr3:uid="{29EA2CB4-A038-40D5-BACE-D39786B4FAFC}" name="Sales Channel"/>
    <tableColumn id="7" xr3:uid="{81B15BA1-77AF-47C4-8757-65704288C078}" name="Product Name" dataDxfId="7"/>
    <tableColumn id="8" xr3:uid="{FE96CCF3-16C1-4F9D-8C42-3771D07536E1}" name="Category" dataDxfId="6"/>
    <tableColumn id="9" xr3:uid="{5A95ED5A-07D1-40FF-92DE-F23AD5A544DA}" name="Unit Price" dataDxfId="5"/>
    <tableColumn id="10" xr3:uid="{74159CBF-5548-443E-91E9-0F5A04C7357E}" name="Quantity" dataDxfId="4"/>
    <tableColumn id="11" xr3:uid="{820B328B-D83A-4B97-905C-750FE7ECC812}" name="Total Price" dataDxfId="3"/>
    <tableColumn id="12" xr3:uid="{0ECB5DA8-24A9-45DB-A9AA-F4FBCCCD1728}" name="Order Date" dataDxfId="2"/>
    <tableColumn id="13" xr3:uid="{49E244E2-320E-44DC-999B-6AFBC46BF392}" name="Week Days" dataDxfId="1">
      <calculatedColumnFormula>TEXT(L2, "dddd")</calculatedColumnFormula>
    </tableColumn>
    <tableColumn id="14" xr3:uid="{CAEFDC41-D437-4778-88F8-447EF2B9812B}" name="Day Type" dataDxfId="0">
      <calculatedColumnFormula>IF(OR(WEEKDAY(L2, 2)=5, WEEKDAY(L2, 2)=6), "Weekend", "Weekday")</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F9D00AB3-8D58-404B-B0EB-FBF0D32C7F6D}" sourceName="Order Date">
  <pivotTables>
    <pivotTable tabId="16" name="PT04_Revenue_by_Month"/>
    <pivotTable tabId="16" name="PT01_Total_Revenue"/>
    <pivotTable tabId="16" name="PT02_Total_Order"/>
    <pivotTable tabId="16" name="PT03_Average_Revenue"/>
    <pivotTable tabId="16" name="PT05_Revenue_by_Division"/>
    <pivotTable tabId="16" name="PT06_Revenue_by_Categories"/>
    <pivotTable tabId="16" name="PT07_Revenue_by_Sales_Channel"/>
    <pivotTable tabId="16" name="PT09_Top_3_Products_by_Revenue"/>
    <pivotTable tabId="16" name="PT08_Total_Quantity"/>
    <pivotTable tabId="16" name="PT10_Total_Quantity_by_Month"/>
    <pivotTable tabId="16" name="PT11_Total_Quantity_by_Division"/>
  </pivotTables>
  <state minimalRefreshVersion="6" lastRefreshVersion="6" pivotCacheId="928478932" filterType="dateBetween">
    <selection startDate="2023-01-01T00:00:00" endDate="2024-12-31T00:00:00"/>
    <bounds startDate="2023-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1" xr10:uid="{DD24F06A-AFCB-413B-876C-B1BB5D2B9D67}" cache="NativeTimeline_Order_Date" caption="Year" level="0" selectionLevel="0" scrollPosition="2023-01-01T00:00:00"/>
  <timeline name="Order Date 2" xr10:uid="{9485B7AB-7619-4AED-8843-D3FCB20591A1}" cache="NativeTimeline_Order_Date" caption="Quarter" level="1" selectionLevel="0" scrollPosition="2023-01-01T00:00:00"/>
  <timeline name="Order Date 3" xr10:uid="{33C3B8E0-A15E-4691-9CE2-E62310F9CDC6}" cache="NativeTimeline_Order_Date" caption="Days" level="3" selectionLevel="0" scrollPosition="2024-05-12T00:00:00"/>
  <timeline name="Order Date" xr10:uid="{C34867B2-BD47-479A-8AD9-A4601611930F}" cache="NativeTimeline_Order_Date" caption="Month" level="2" selectionLevel="0" scrollPosition="2023-03-19T00:00:00"/>
</timeline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21.xml"/><Relationship Id="rId3" Type="http://schemas.openxmlformats.org/officeDocument/2006/relationships/pivotTable" Target="../pivotTables/pivotTable16.xml"/><Relationship Id="rId7" Type="http://schemas.openxmlformats.org/officeDocument/2006/relationships/pivotTable" Target="../pivotTables/pivotTable20.xml"/><Relationship Id="rId2" Type="http://schemas.openxmlformats.org/officeDocument/2006/relationships/pivotTable" Target="../pivotTables/pivotTable15.xml"/><Relationship Id="rId1" Type="http://schemas.openxmlformats.org/officeDocument/2006/relationships/pivotTable" Target="../pivotTables/pivotTable14.xml"/><Relationship Id="rId6" Type="http://schemas.openxmlformats.org/officeDocument/2006/relationships/pivotTable" Target="../pivotTables/pivotTable19.xml"/><Relationship Id="rId11" Type="http://schemas.openxmlformats.org/officeDocument/2006/relationships/pivotTable" Target="../pivotTables/pivotTable24.xml"/><Relationship Id="rId5" Type="http://schemas.openxmlformats.org/officeDocument/2006/relationships/pivotTable" Target="../pivotTables/pivotTable18.xml"/><Relationship Id="rId10" Type="http://schemas.openxmlformats.org/officeDocument/2006/relationships/pivotTable" Target="../pivotTables/pivotTable23.xml"/><Relationship Id="rId4" Type="http://schemas.openxmlformats.org/officeDocument/2006/relationships/pivotTable" Target="../pivotTables/pivotTable17.xml"/><Relationship Id="rId9" Type="http://schemas.openxmlformats.org/officeDocument/2006/relationships/pivotTable" Target="../pivotTables/pivotTable22.xml"/></Relationships>
</file>

<file path=xl/worksheets/_rels/sheet6.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01"/>
  <sheetViews>
    <sheetView zoomScaleNormal="100" workbookViewId="0">
      <selection activeCell="K1" sqref="K1:K1001"/>
    </sheetView>
  </sheetViews>
  <sheetFormatPr defaultColWidth="8.6640625" defaultRowHeight="14.4" x14ac:dyDescent="0.3"/>
  <cols>
    <col min="10" max="10" width="11.44140625" bestFit="1" customWidth="1"/>
    <col min="11" max="11" width="12.44140625" customWidth="1"/>
    <col min="12" max="12" width="14" style="1" customWidth="1"/>
  </cols>
  <sheetData>
    <row r="1" spans="1:11" x14ac:dyDescent="0.3">
      <c r="A1" t="s">
        <v>0</v>
      </c>
      <c r="B1" t="s">
        <v>1</v>
      </c>
      <c r="C1" t="s">
        <v>2</v>
      </c>
      <c r="D1" t="s">
        <v>3</v>
      </c>
      <c r="E1" t="s">
        <v>4</v>
      </c>
      <c r="F1" t="s">
        <v>5</v>
      </c>
      <c r="G1" t="s">
        <v>6</v>
      </c>
      <c r="H1" t="s">
        <v>7</v>
      </c>
      <c r="I1" t="s">
        <v>8</v>
      </c>
      <c r="J1" s="1" t="s">
        <v>9</v>
      </c>
      <c r="K1" t="s">
        <v>368</v>
      </c>
    </row>
    <row r="2" spans="1:11" x14ac:dyDescent="0.3">
      <c r="A2" t="s">
        <v>10</v>
      </c>
      <c r="B2" t="s">
        <v>11</v>
      </c>
      <c r="C2" t="s">
        <v>12</v>
      </c>
      <c r="E2" t="s">
        <v>13</v>
      </c>
      <c r="F2" t="s">
        <v>14</v>
      </c>
      <c r="G2">
        <v>300</v>
      </c>
      <c r="H2">
        <v>5</v>
      </c>
      <c r="I2">
        <v>1500</v>
      </c>
      <c r="J2" s="2">
        <v>45268</v>
      </c>
      <c r="K2" t="s">
        <v>370</v>
      </c>
    </row>
    <row r="3" spans="1:11" x14ac:dyDescent="0.3">
      <c r="A3" t="s">
        <v>15</v>
      </c>
      <c r="B3" t="s">
        <v>11</v>
      </c>
      <c r="C3" t="s">
        <v>16</v>
      </c>
      <c r="D3">
        <v>22</v>
      </c>
      <c r="E3" t="s">
        <v>17</v>
      </c>
      <c r="F3" t="s">
        <v>18</v>
      </c>
      <c r="G3">
        <v>100</v>
      </c>
      <c r="H3">
        <v>2</v>
      </c>
      <c r="I3">
        <v>200</v>
      </c>
      <c r="J3" s="2">
        <v>45025</v>
      </c>
      <c r="K3" t="s">
        <v>370</v>
      </c>
    </row>
    <row r="4" spans="1:11" x14ac:dyDescent="0.3">
      <c r="A4" t="s">
        <v>19</v>
      </c>
      <c r="B4" t="s">
        <v>20</v>
      </c>
      <c r="C4" t="s">
        <v>21</v>
      </c>
      <c r="D4">
        <v>54</v>
      </c>
      <c r="E4" t="s">
        <v>13</v>
      </c>
      <c r="F4" t="s">
        <v>14</v>
      </c>
      <c r="G4">
        <v>300</v>
      </c>
      <c r="H4">
        <v>1</v>
      </c>
      <c r="I4">
        <v>300</v>
      </c>
      <c r="J4" s="2">
        <v>45166</v>
      </c>
      <c r="K4" t="s">
        <v>373</v>
      </c>
    </row>
    <row r="5" spans="1:11" x14ac:dyDescent="0.3">
      <c r="A5" t="s">
        <v>22</v>
      </c>
      <c r="B5" t="s">
        <v>11</v>
      </c>
      <c r="C5" t="s">
        <v>12</v>
      </c>
      <c r="D5">
        <v>23</v>
      </c>
      <c r="E5" t="s">
        <v>17</v>
      </c>
      <c r="F5" t="s">
        <v>18</v>
      </c>
      <c r="G5">
        <v>100</v>
      </c>
      <c r="H5">
        <v>5</v>
      </c>
      <c r="I5">
        <v>500</v>
      </c>
      <c r="J5" s="2">
        <v>44944</v>
      </c>
      <c r="K5" t="s">
        <v>375</v>
      </c>
    </row>
    <row r="6" spans="1:11" x14ac:dyDescent="0.3">
      <c r="A6" t="s">
        <v>23</v>
      </c>
      <c r="B6" t="s">
        <v>20</v>
      </c>
      <c r="C6" t="s">
        <v>21</v>
      </c>
      <c r="E6" t="s">
        <v>24</v>
      </c>
      <c r="F6" t="s">
        <v>14</v>
      </c>
      <c r="G6">
        <v>1500</v>
      </c>
      <c r="H6">
        <v>3</v>
      </c>
      <c r="I6">
        <v>4500</v>
      </c>
      <c r="J6" s="2">
        <v>44945</v>
      </c>
      <c r="K6" t="s">
        <v>375</v>
      </c>
    </row>
    <row r="7" spans="1:11" x14ac:dyDescent="0.3">
      <c r="A7" t="s">
        <v>25</v>
      </c>
      <c r="B7" t="s">
        <v>11</v>
      </c>
      <c r="C7" t="s">
        <v>12</v>
      </c>
      <c r="D7">
        <v>64</v>
      </c>
      <c r="E7" t="s">
        <v>26</v>
      </c>
      <c r="F7" t="s">
        <v>27</v>
      </c>
      <c r="G7">
        <v>200</v>
      </c>
      <c r="H7">
        <v>2</v>
      </c>
      <c r="I7">
        <v>400</v>
      </c>
      <c r="J7" s="2">
        <v>44937</v>
      </c>
      <c r="K7" t="s">
        <v>375</v>
      </c>
    </row>
    <row r="8" spans="1:11" x14ac:dyDescent="0.3">
      <c r="A8" t="s">
        <v>28</v>
      </c>
      <c r="B8" t="s">
        <v>11</v>
      </c>
      <c r="C8" t="s">
        <v>29</v>
      </c>
      <c r="D8">
        <v>27</v>
      </c>
      <c r="E8" t="s">
        <v>26</v>
      </c>
      <c r="F8" t="s">
        <v>27</v>
      </c>
      <c r="G8">
        <v>200</v>
      </c>
      <c r="H8">
        <v>1</v>
      </c>
      <c r="I8">
        <v>200</v>
      </c>
      <c r="J8" s="2">
        <v>45222</v>
      </c>
      <c r="K8" t="s">
        <v>370</v>
      </c>
    </row>
    <row r="9" spans="1:11" x14ac:dyDescent="0.3">
      <c r="A9" t="s">
        <v>30</v>
      </c>
      <c r="B9" t="s">
        <v>20</v>
      </c>
      <c r="C9" t="s">
        <v>21</v>
      </c>
      <c r="D9">
        <v>18</v>
      </c>
      <c r="E9" t="s">
        <v>31</v>
      </c>
      <c r="F9" t="s">
        <v>18</v>
      </c>
      <c r="G9">
        <v>50</v>
      </c>
      <c r="H9">
        <v>2</v>
      </c>
      <c r="I9">
        <v>100</v>
      </c>
      <c r="J9" s="2">
        <v>45092</v>
      </c>
      <c r="K9" t="s">
        <v>370</v>
      </c>
    </row>
    <row r="10" spans="1:11" x14ac:dyDescent="0.3">
      <c r="A10" t="s">
        <v>15</v>
      </c>
      <c r="B10" t="s">
        <v>20</v>
      </c>
      <c r="C10" t="s">
        <v>29</v>
      </c>
      <c r="D10">
        <v>22</v>
      </c>
      <c r="E10" t="s">
        <v>32</v>
      </c>
      <c r="F10" t="s">
        <v>18</v>
      </c>
      <c r="G10">
        <v>30</v>
      </c>
      <c r="H10">
        <v>1</v>
      </c>
      <c r="I10">
        <v>30</v>
      </c>
      <c r="J10" s="2">
        <v>44982</v>
      </c>
      <c r="K10" t="s">
        <v>381</v>
      </c>
    </row>
    <row r="11" spans="1:11" x14ac:dyDescent="0.3">
      <c r="A11" t="s">
        <v>33</v>
      </c>
      <c r="B11" t="s">
        <v>11</v>
      </c>
      <c r="C11" t="s">
        <v>16</v>
      </c>
      <c r="D11">
        <v>29</v>
      </c>
      <c r="E11" t="s">
        <v>17</v>
      </c>
      <c r="F11" t="s">
        <v>18</v>
      </c>
      <c r="G11">
        <v>100</v>
      </c>
      <c r="H11">
        <v>3</v>
      </c>
      <c r="I11">
        <v>300</v>
      </c>
      <c r="J11" s="2">
        <v>45039</v>
      </c>
      <c r="K11" t="s">
        <v>370</v>
      </c>
    </row>
    <row r="12" spans="1:11" x14ac:dyDescent="0.3">
      <c r="A12" t="s">
        <v>34</v>
      </c>
      <c r="B12" t="s">
        <v>20</v>
      </c>
      <c r="C12" t="s">
        <v>29</v>
      </c>
      <c r="D12">
        <v>49</v>
      </c>
      <c r="E12" t="s">
        <v>17</v>
      </c>
      <c r="F12" t="s">
        <v>18</v>
      </c>
      <c r="G12">
        <v>100</v>
      </c>
      <c r="H12">
        <v>2</v>
      </c>
      <c r="I12">
        <v>200</v>
      </c>
      <c r="J12" s="2">
        <v>45078</v>
      </c>
      <c r="K12" t="s">
        <v>370</v>
      </c>
    </row>
    <row r="13" spans="1:11" x14ac:dyDescent="0.3">
      <c r="A13" t="s">
        <v>35</v>
      </c>
      <c r="B13" t="s">
        <v>20</v>
      </c>
      <c r="C13" t="s">
        <v>16</v>
      </c>
      <c r="D13">
        <v>67</v>
      </c>
      <c r="E13" t="s">
        <v>32</v>
      </c>
      <c r="F13" t="s">
        <v>18</v>
      </c>
      <c r="G13">
        <v>30</v>
      </c>
      <c r="H13">
        <v>3</v>
      </c>
      <c r="I13">
        <v>90</v>
      </c>
      <c r="J13" s="2">
        <v>45182</v>
      </c>
      <c r="K13" t="s">
        <v>370</v>
      </c>
    </row>
    <row r="14" spans="1:11" x14ac:dyDescent="0.3">
      <c r="A14" t="s">
        <v>36</v>
      </c>
      <c r="B14" t="s">
        <v>20</v>
      </c>
      <c r="C14" t="s">
        <v>16</v>
      </c>
      <c r="D14">
        <v>41</v>
      </c>
      <c r="E14" t="s">
        <v>31</v>
      </c>
      <c r="F14" t="s">
        <v>18</v>
      </c>
      <c r="G14">
        <v>50</v>
      </c>
      <c r="H14">
        <v>5</v>
      </c>
      <c r="I14">
        <v>250</v>
      </c>
      <c r="J14" s="2">
        <v>44974</v>
      </c>
      <c r="K14" t="s">
        <v>375</v>
      </c>
    </row>
    <row r="15" spans="1:11" x14ac:dyDescent="0.3">
      <c r="A15" t="s">
        <v>37</v>
      </c>
      <c r="B15" t="s">
        <v>11</v>
      </c>
      <c r="C15" t="s">
        <v>21</v>
      </c>
      <c r="D15">
        <v>60</v>
      </c>
      <c r="E15" t="s">
        <v>31</v>
      </c>
      <c r="F15" t="s">
        <v>18</v>
      </c>
      <c r="G15">
        <v>50</v>
      </c>
      <c r="H15">
        <v>4</v>
      </c>
      <c r="I15">
        <v>200</v>
      </c>
      <c r="J15" s="2">
        <v>45270</v>
      </c>
      <c r="K15" t="s">
        <v>375</v>
      </c>
    </row>
    <row r="16" spans="1:11" x14ac:dyDescent="0.3">
      <c r="A16" t="s">
        <v>38</v>
      </c>
      <c r="B16" t="s">
        <v>11</v>
      </c>
      <c r="C16" t="s">
        <v>16</v>
      </c>
      <c r="D16">
        <v>66</v>
      </c>
      <c r="E16" t="s">
        <v>32</v>
      </c>
      <c r="F16" t="s">
        <v>18</v>
      </c>
      <c r="G16">
        <v>30</v>
      </c>
      <c r="H16">
        <v>1</v>
      </c>
      <c r="I16">
        <v>30</v>
      </c>
      <c r="J16" s="2">
        <v>45106</v>
      </c>
      <c r="K16" t="s">
        <v>370</v>
      </c>
    </row>
    <row r="17" spans="1:11" x14ac:dyDescent="0.3">
      <c r="A17" t="s">
        <v>39</v>
      </c>
      <c r="B17" t="s">
        <v>20</v>
      </c>
      <c r="D17">
        <v>36</v>
      </c>
      <c r="E17" t="s">
        <v>26</v>
      </c>
      <c r="F17" t="s">
        <v>27</v>
      </c>
      <c r="G17">
        <v>200</v>
      </c>
      <c r="H17">
        <v>3</v>
      </c>
      <c r="I17">
        <v>600</v>
      </c>
      <c r="J17" s="2">
        <v>45121</v>
      </c>
      <c r="K17" t="s">
        <v>375</v>
      </c>
    </row>
    <row r="18" spans="1:11" x14ac:dyDescent="0.3">
      <c r="A18" t="s">
        <v>40</v>
      </c>
      <c r="B18" t="s">
        <v>11</v>
      </c>
      <c r="C18" t="s">
        <v>12</v>
      </c>
      <c r="D18">
        <v>57</v>
      </c>
      <c r="E18" t="s">
        <v>24</v>
      </c>
      <c r="F18" t="s">
        <v>14</v>
      </c>
      <c r="G18">
        <v>1500</v>
      </c>
      <c r="H18">
        <v>4</v>
      </c>
      <c r="I18">
        <v>6000</v>
      </c>
      <c r="J18" s="2">
        <v>45059</v>
      </c>
      <c r="K18" t="s">
        <v>381</v>
      </c>
    </row>
    <row r="19" spans="1:11" x14ac:dyDescent="0.3">
      <c r="A19" t="s">
        <v>41</v>
      </c>
      <c r="B19" t="s">
        <v>11</v>
      </c>
      <c r="C19" t="s">
        <v>21</v>
      </c>
      <c r="D19">
        <v>30</v>
      </c>
      <c r="E19" t="s">
        <v>42</v>
      </c>
      <c r="F19" t="s">
        <v>14</v>
      </c>
      <c r="G19">
        <v>800</v>
      </c>
      <c r="H19">
        <v>2</v>
      </c>
      <c r="I19">
        <v>1600</v>
      </c>
      <c r="J19" s="2">
        <v>45086</v>
      </c>
      <c r="K19" t="s">
        <v>375</v>
      </c>
    </row>
    <row r="20" spans="1:11" x14ac:dyDescent="0.3">
      <c r="A20" t="s">
        <v>43</v>
      </c>
      <c r="B20" t="s">
        <v>20</v>
      </c>
      <c r="C20" t="s">
        <v>29</v>
      </c>
      <c r="D20">
        <v>32</v>
      </c>
      <c r="E20" t="s">
        <v>26</v>
      </c>
      <c r="F20" t="s">
        <v>27</v>
      </c>
      <c r="G20">
        <v>200</v>
      </c>
      <c r="H20">
        <v>5</v>
      </c>
      <c r="I20">
        <v>1000</v>
      </c>
      <c r="J20" s="2">
        <v>45098</v>
      </c>
      <c r="K20" t="s">
        <v>381</v>
      </c>
    </row>
    <row r="21" spans="1:11" x14ac:dyDescent="0.3">
      <c r="A21" t="s">
        <v>44</v>
      </c>
      <c r="B21" t="s">
        <v>20</v>
      </c>
      <c r="C21" t="s">
        <v>16</v>
      </c>
      <c r="D21">
        <v>59</v>
      </c>
      <c r="E21" t="s">
        <v>13</v>
      </c>
      <c r="F21" t="s">
        <v>14</v>
      </c>
      <c r="G21">
        <v>300</v>
      </c>
      <c r="H21">
        <v>4</v>
      </c>
      <c r="I21">
        <v>1200</v>
      </c>
      <c r="J21" s="2">
        <v>45256</v>
      </c>
      <c r="K21" t="s">
        <v>373</v>
      </c>
    </row>
    <row r="22" spans="1:11" x14ac:dyDescent="0.3">
      <c r="A22" t="s">
        <v>35</v>
      </c>
      <c r="B22" t="s">
        <v>20</v>
      </c>
      <c r="C22" t="s">
        <v>29</v>
      </c>
      <c r="D22">
        <v>67</v>
      </c>
      <c r="E22" t="s">
        <v>42</v>
      </c>
      <c r="F22" t="s">
        <v>14</v>
      </c>
      <c r="G22">
        <v>800</v>
      </c>
      <c r="H22">
        <v>5</v>
      </c>
      <c r="I22">
        <v>4000</v>
      </c>
      <c r="J22" s="2">
        <v>45238</v>
      </c>
      <c r="K22" t="s">
        <v>370</v>
      </c>
    </row>
    <row r="23" spans="1:11" x14ac:dyDescent="0.3">
      <c r="A23" t="s">
        <v>45</v>
      </c>
      <c r="B23" t="s">
        <v>20</v>
      </c>
      <c r="C23" t="s">
        <v>21</v>
      </c>
      <c r="D23">
        <v>37</v>
      </c>
      <c r="E23" t="s">
        <v>32</v>
      </c>
      <c r="F23" t="s">
        <v>18</v>
      </c>
      <c r="G23">
        <v>30</v>
      </c>
      <c r="H23">
        <v>3</v>
      </c>
      <c r="I23">
        <v>90</v>
      </c>
      <c r="J23" s="2">
        <v>45287</v>
      </c>
      <c r="K23" t="s">
        <v>375</v>
      </c>
    </row>
    <row r="24" spans="1:11" x14ac:dyDescent="0.3">
      <c r="A24" t="s">
        <v>46</v>
      </c>
      <c r="B24" t="s">
        <v>11</v>
      </c>
      <c r="C24" t="s">
        <v>12</v>
      </c>
      <c r="E24" t="s">
        <v>32</v>
      </c>
      <c r="F24" t="s">
        <v>18</v>
      </c>
      <c r="G24">
        <v>30</v>
      </c>
      <c r="H24">
        <v>3</v>
      </c>
      <c r="I24">
        <v>90</v>
      </c>
      <c r="J24" s="2">
        <v>45083</v>
      </c>
      <c r="K24" t="s">
        <v>381</v>
      </c>
    </row>
    <row r="25" spans="1:11" x14ac:dyDescent="0.3">
      <c r="A25" t="s">
        <v>47</v>
      </c>
      <c r="B25" t="s">
        <v>20</v>
      </c>
      <c r="C25" t="s">
        <v>29</v>
      </c>
      <c r="D25">
        <v>52</v>
      </c>
      <c r="E25" t="s">
        <v>17</v>
      </c>
      <c r="F25" t="s">
        <v>18</v>
      </c>
      <c r="G25">
        <v>100</v>
      </c>
      <c r="H25">
        <v>2</v>
      </c>
      <c r="I25">
        <v>200</v>
      </c>
      <c r="J25" s="2">
        <v>45227</v>
      </c>
      <c r="K25" t="s">
        <v>373</v>
      </c>
    </row>
    <row r="26" spans="1:11" x14ac:dyDescent="0.3">
      <c r="A26" t="s">
        <v>48</v>
      </c>
      <c r="B26" t="s">
        <v>11</v>
      </c>
      <c r="C26" t="s">
        <v>12</v>
      </c>
      <c r="D26">
        <v>58</v>
      </c>
      <c r="E26" t="s">
        <v>42</v>
      </c>
      <c r="F26" t="s">
        <v>14</v>
      </c>
      <c r="G26">
        <v>800</v>
      </c>
      <c r="H26">
        <v>4</v>
      </c>
      <c r="I26">
        <v>3200</v>
      </c>
      <c r="J26" s="2">
        <v>45290</v>
      </c>
      <c r="K26" t="s">
        <v>373</v>
      </c>
    </row>
    <row r="27" spans="1:11" x14ac:dyDescent="0.3">
      <c r="A27" t="s">
        <v>49</v>
      </c>
      <c r="B27" t="s">
        <v>20</v>
      </c>
      <c r="C27" t="s">
        <v>21</v>
      </c>
      <c r="D27">
        <v>57</v>
      </c>
      <c r="E27" t="s">
        <v>31</v>
      </c>
      <c r="F27" t="s">
        <v>18</v>
      </c>
      <c r="G27">
        <v>50</v>
      </c>
      <c r="H27">
        <v>1</v>
      </c>
      <c r="I27">
        <v>50</v>
      </c>
      <c r="J27" s="2">
        <v>45264</v>
      </c>
      <c r="K27" t="s">
        <v>375</v>
      </c>
    </row>
    <row r="28" spans="1:11" x14ac:dyDescent="0.3">
      <c r="A28" t="s">
        <v>50</v>
      </c>
      <c r="B28" t="s">
        <v>11</v>
      </c>
      <c r="C28" t="s">
        <v>29</v>
      </c>
      <c r="D28">
        <v>59</v>
      </c>
      <c r="E28" t="s">
        <v>42</v>
      </c>
      <c r="F28" t="s">
        <v>14</v>
      </c>
      <c r="G28">
        <v>1658.43232665954</v>
      </c>
      <c r="H28">
        <v>2</v>
      </c>
      <c r="I28">
        <v>1600</v>
      </c>
      <c r="J28" s="2">
        <v>44958</v>
      </c>
      <c r="K28" t="s">
        <v>375</v>
      </c>
    </row>
    <row r="29" spans="1:11" x14ac:dyDescent="0.3">
      <c r="A29" t="s">
        <v>51</v>
      </c>
      <c r="B29" t="s">
        <v>20</v>
      </c>
      <c r="C29" t="s">
        <v>12</v>
      </c>
      <c r="D29">
        <v>25</v>
      </c>
      <c r="E29" t="s">
        <v>26</v>
      </c>
      <c r="F29" t="s">
        <v>27</v>
      </c>
      <c r="G29">
        <v>200</v>
      </c>
      <c r="H29">
        <v>1</v>
      </c>
      <c r="I29">
        <v>200</v>
      </c>
      <c r="J29" s="2">
        <v>45152</v>
      </c>
      <c r="K29" t="s">
        <v>373</v>
      </c>
    </row>
    <row r="30" spans="1:11" x14ac:dyDescent="0.3">
      <c r="A30" t="s">
        <v>52</v>
      </c>
      <c r="B30" t="s">
        <v>20</v>
      </c>
      <c r="C30" t="s">
        <v>29</v>
      </c>
      <c r="D30">
        <v>31</v>
      </c>
      <c r="E30" t="s">
        <v>42</v>
      </c>
      <c r="F30" t="s">
        <v>14</v>
      </c>
      <c r="G30">
        <v>800</v>
      </c>
      <c r="H30">
        <v>1</v>
      </c>
      <c r="I30">
        <v>800</v>
      </c>
      <c r="J30" s="2">
        <v>45267</v>
      </c>
      <c r="K30" t="s">
        <v>370</v>
      </c>
    </row>
    <row r="31" spans="1:11" x14ac:dyDescent="0.3">
      <c r="A31" t="s">
        <v>53</v>
      </c>
      <c r="B31" t="s">
        <v>11</v>
      </c>
      <c r="C31" t="s">
        <v>12</v>
      </c>
      <c r="D31">
        <v>28</v>
      </c>
      <c r="E31" t="s">
        <v>31</v>
      </c>
      <c r="F31" t="s">
        <v>18</v>
      </c>
      <c r="G31">
        <v>50</v>
      </c>
      <c r="H31">
        <v>4</v>
      </c>
      <c r="I31">
        <v>200</v>
      </c>
      <c r="J31" s="2">
        <v>45105</v>
      </c>
      <c r="K31" t="s">
        <v>370</v>
      </c>
    </row>
    <row r="32" spans="1:11" x14ac:dyDescent="0.3">
      <c r="A32" t="s">
        <v>54</v>
      </c>
      <c r="B32" t="s">
        <v>20</v>
      </c>
      <c r="C32" t="s">
        <v>29</v>
      </c>
      <c r="D32">
        <v>57</v>
      </c>
      <c r="E32" t="s">
        <v>13</v>
      </c>
      <c r="F32" t="s">
        <v>14</v>
      </c>
      <c r="G32">
        <v>300</v>
      </c>
      <c r="H32">
        <v>2</v>
      </c>
      <c r="I32">
        <v>600</v>
      </c>
      <c r="J32" s="2">
        <v>45247</v>
      </c>
      <c r="K32" t="s">
        <v>381</v>
      </c>
    </row>
    <row r="33" spans="1:11" x14ac:dyDescent="0.3">
      <c r="A33" t="s">
        <v>55</v>
      </c>
      <c r="B33" t="s">
        <v>20</v>
      </c>
      <c r="C33" t="s">
        <v>21</v>
      </c>
      <c r="E33" t="s">
        <v>24</v>
      </c>
      <c r="F33" t="s">
        <v>14</v>
      </c>
      <c r="G33">
        <v>1500</v>
      </c>
      <c r="H33">
        <v>4</v>
      </c>
      <c r="I33">
        <v>6000</v>
      </c>
      <c r="J33" s="2">
        <v>44951</v>
      </c>
      <c r="K33" t="s">
        <v>370</v>
      </c>
    </row>
    <row r="34" spans="1:11" x14ac:dyDescent="0.3">
      <c r="A34" t="s">
        <v>56</v>
      </c>
      <c r="B34" t="s">
        <v>20</v>
      </c>
      <c r="C34" t="s">
        <v>21</v>
      </c>
      <c r="D34">
        <v>53</v>
      </c>
      <c r="E34" t="s">
        <v>13</v>
      </c>
      <c r="F34" t="s">
        <v>14</v>
      </c>
      <c r="G34">
        <v>300</v>
      </c>
      <c r="H34">
        <v>2</v>
      </c>
      <c r="I34">
        <v>600</v>
      </c>
      <c r="J34" s="2">
        <v>45174</v>
      </c>
      <c r="K34" t="s">
        <v>373</v>
      </c>
    </row>
    <row r="35" spans="1:11" x14ac:dyDescent="0.3">
      <c r="A35" t="s">
        <v>57</v>
      </c>
      <c r="B35" t="s">
        <v>20</v>
      </c>
      <c r="C35" t="s">
        <v>21</v>
      </c>
      <c r="D35">
        <v>58</v>
      </c>
      <c r="E35" t="s">
        <v>17</v>
      </c>
      <c r="F35" t="s">
        <v>18</v>
      </c>
      <c r="G35">
        <v>100</v>
      </c>
      <c r="H35">
        <v>5</v>
      </c>
      <c r="I35">
        <v>500</v>
      </c>
      <c r="J35" s="2">
        <v>45186</v>
      </c>
      <c r="K35" t="s">
        <v>373</v>
      </c>
    </row>
    <row r="36" spans="1:11" x14ac:dyDescent="0.3">
      <c r="A36" t="s">
        <v>58</v>
      </c>
      <c r="B36" t="s">
        <v>20</v>
      </c>
      <c r="C36" t="s">
        <v>21</v>
      </c>
      <c r="D36">
        <v>35</v>
      </c>
      <c r="E36" t="s">
        <v>32</v>
      </c>
      <c r="F36" t="s">
        <v>18</v>
      </c>
      <c r="G36">
        <v>30</v>
      </c>
      <c r="H36">
        <v>3</v>
      </c>
      <c r="I36">
        <v>90</v>
      </c>
      <c r="J36" s="2">
        <v>45285</v>
      </c>
      <c r="K36" t="s">
        <v>373</v>
      </c>
    </row>
    <row r="37" spans="1:11" x14ac:dyDescent="0.3">
      <c r="A37" t="s">
        <v>59</v>
      </c>
      <c r="B37" t="s">
        <v>11</v>
      </c>
      <c r="C37" t="s">
        <v>12</v>
      </c>
      <c r="D37">
        <v>41</v>
      </c>
      <c r="E37" t="s">
        <v>24</v>
      </c>
      <c r="F37" t="s">
        <v>14</v>
      </c>
      <c r="G37">
        <v>1500</v>
      </c>
      <c r="H37">
        <v>4</v>
      </c>
      <c r="I37">
        <v>6000</v>
      </c>
      <c r="J37" s="2">
        <v>44940</v>
      </c>
      <c r="K37" t="s">
        <v>370</v>
      </c>
    </row>
    <row r="38" spans="1:11" x14ac:dyDescent="0.3">
      <c r="A38" t="s">
        <v>60</v>
      </c>
      <c r="B38" t="s">
        <v>20</v>
      </c>
      <c r="C38" t="s">
        <v>16</v>
      </c>
      <c r="D38">
        <v>64</v>
      </c>
      <c r="E38" t="s">
        <v>13</v>
      </c>
      <c r="F38" t="s">
        <v>14</v>
      </c>
      <c r="G38">
        <v>300</v>
      </c>
      <c r="H38">
        <v>1</v>
      </c>
      <c r="I38">
        <v>300</v>
      </c>
      <c r="J38" s="2">
        <v>45139</v>
      </c>
      <c r="K38" t="s">
        <v>381</v>
      </c>
    </row>
    <row r="39" spans="1:11" x14ac:dyDescent="0.3">
      <c r="A39" t="s">
        <v>61</v>
      </c>
      <c r="B39" t="s">
        <v>11</v>
      </c>
      <c r="C39" t="s">
        <v>12</v>
      </c>
      <c r="E39" t="s">
        <v>42</v>
      </c>
      <c r="F39" t="s">
        <v>14</v>
      </c>
      <c r="G39">
        <v>800</v>
      </c>
      <c r="H39">
        <v>2</v>
      </c>
      <c r="I39">
        <v>1600</v>
      </c>
      <c r="J39" s="2">
        <v>44969</v>
      </c>
      <c r="K39" t="s">
        <v>370</v>
      </c>
    </row>
    <row r="40" spans="1:11" x14ac:dyDescent="0.3">
      <c r="A40" t="s">
        <v>62</v>
      </c>
      <c r="B40" t="s">
        <v>20</v>
      </c>
      <c r="C40" t="s">
        <v>21</v>
      </c>
      <c r="D40">
        <v>43</v>
      </c>
      <c r="E40" t="s">
        <v>13</v>
      </c>
      <c r="F40" t="s">
        <v>14</v>
      </c>
      <c r="G40">
        <v>300</v>
      </c>
      <c r="H40">
        <v>2</v>
      </c>
      <c r="I40">
        <v>600</v>
      </c>
      <c r="J40" s="2">
        <v>45064</v>
      </c>
      <c r="K40" t="s">
        <v>381</v>
      </c>
    </row>
    <row r="41" spans="1:11" x14ac:dyDescent="0.3">
      <c r="A41" t="s">
        <v>63</v>
      </c>
      <c r="B41" t="s">
        <v>20</v>
      </c>
      <c r="D41">
        <v>61</v>
      </c>
      <c r="E41" t="s">
        <v>42</v>
      </c>
      <c r="F41" t="s">
        <v>14</v>
      </c>
      <c r="G41">
        <v>800</v>
      </c>
      <c r="H41">
        <v>2</v>
      </c>
      <c r="I41">
        <v>1600</v>
      </c>
      <c r="J41" s="2">
        <v>45202</v>
      </c>
      <c r="K41" t="s">
        <v>370</v>
      </c>
    </row>
    <row r="42" spans="1:11" x14ac:dyDescent="0.3">
      <c r="A42" t="s">
        <v>64</v>
      </c>
      <c r="B42" t="s">
        <v>11</v>
      </c>
      <c r="C42" t="s">
        <v>29</v>
      </c>
      <c r="D42">
        <v>58</v>
      </c>
      <c r="E42" t="s">
        <v>31</v>
      </c>
      <c r="F42" t="s">
        <v>18</v>
      </c>
      <c r="G42">
        <v>50</v>
      </c>
      <c r="H42">
        <v>2</v>
      </c>
      <c r="I42">
        <v>100</v>
      </c>
      <c r="J42" s="2">
        <v>45168</v>
      </c>
      <c r="K42" t="s">
        <v>373</v>
      </c>
    </row>
    <row r="43" spans="1:11" x14ac:dyDescent="0.3">
      <c r="A43" t="s">
        <v>65</v>
      </c>
      <c r="B43" t="s">
        <v>11</v>
      </c>
      <c r="C43" t="s">
        <v>16</v>
      </c>
      <c r="D43">
        <v>61</v>
      </c>
      <c r="E43" t="s">
        <v>13</v>
      </c>
      <c r="F43" t="s">
        <v>14</v>
      </c>
      <c r="G43">
        <v>300</v>
      </c>
      <c r="H43">
        <v>1</v>
      </c>
      <c r="I43">
        <v>300</v>
      </c>
      <c r="J43" s="2">
        <v>45184</v>
      </c>
      <c r="K43" t="s">
        <v>373</v>
      </c>
    </row>
    <row r="44" spans="1:11" x14ac:dyDescent="0.3">
      <c r="A44" t="s">
        <v>66</v>
      </c>
      <c r="B44" t="s">
        <v>11</v>
      </c>
      <c r="C44" t="s">
        <v>29</v>
      </c>
      <c r="D44">
        <v>19</v>
      </c>
      <c r="E44" t="s">
        <v>31</v>
      </c>
      <c r="F44" t="s">
        <v>18</v>
      </c>
      <c r="G44">
        <v>50</v>
      </c>
      <c r="H44">
        <v>4</v>
      </c>
      <c r="I44">
        <v>200</v>
      </c>
      <c r="J44" s="2">
        <v>44971</v>
      </c>
      <c r="K44" t="s">
        <v>375</v>
      </c>
    </row>
    <row r="45" spans="1:11" x14ac:dyDescent="0.3">
      <c r="A45" t="s">
        <v>52</v>
      </c>
      <c r="B45" t="s">
        <v>11</v>
      </c>
      <c r="C45" t="s">
        <v>12</v>
      </c>
      <c r="D45">
        <v>31</v>
      </c>
      <c r="E45" t="s">
        <v>31</v>
      </c>
      <c r="F45" t="s">
        <v>18</v>
      </c>
      <c r="G45">
        <v>50</v>
      </c>
      <c r="H45">
        <v>3</v>
      </c>
      <c r="I45">
        <v>150</v>
      </c>
      <c r="J45" s="2">
        <v>44984</v>
      </c>
      <c r="K45" t="s">
        <v>370</v>
      </c>
    </row>
    <row r="46" spans="1:11" x14ac:dyDescent="0.3">
      <c r="A46" t="s">
        <v>67</v>
      </c>
      <c r="B46" t="s">
        <v>11</v>
      </c>
      <c r="C46" t="s">
        <v>12</v>
      </c>
      <c r="D46">
        <v>38</v>
      </c>
      <c r="E46" t="s">
        <v>13</v>
      </c>
      <c r="F46" t="s">
        <v>14</v>
      </c>
      <c r="G46">
        <v>300</v>
      </c>
      <c r="H46">
        <v>1</v>
      </c>
      <c r="I46">
        <v>300</v>
      </c>
      <c r="J46" s="2">
        <v>45151</v>
      </c>
      <c r="K46" t="s">
        <v>370</v>
      </c>
    </row>
    <row r="47" spans="1:11" x14ac:dyDescent="0.3">
      <c r="A47" t="s">
        <v>68</v>
      </c>
      <c r="B47" t="s">
        <v>11</v>
      </c>
      <c r="C47" t="s">
        <v>29</v>
      </c>
      <c r="D47">
        <v>44</v>
      </c>
      <c r="E47" t="s">
        <v>17</v>
      </c>
      <c r="F47" t="s">
        <v>18</v>
      </c>
      <c r="G47">
        <v>100</v>
      </c>
      <c r="H47">
        <v>2</v>
      </c>
      <c r="I47">
        <v>200</v>
      </c>
      <c r="J47" s="2">
        <v>45055</v>
      </c>
      <c r="K47" t="s">
        <v>375</v>
      </c>
    </row>
    <row r="48" spans="1:11" x14ac:dyDescent="0.3">
      <c r="A48" t="s">
        <v>69</v>
      </c>
      <c r="B48" t="s">
        <v>11</v>
      </c>
      <c r="C48" t="s">
        <v>29</v>
      </c>
      <c r="D48">
        <v>68</v>
      </c>
      <c r="E48" t="s">
        <v>13</v>
      </c>
      <c r="F48" t="s">
        <v>14</v>
      </c>
      <c r="G48">
        <v>300</v>
      </c>
      <c r="H48">
        <v>2</v>
      </c>
      <c r="I48">
        <v>600</v>
      </c>
      <c r="J48" s="2">
        <v>45283</v>
      </c>
      <c r="K48" t="s">
        <v>373</v>
      </c>
    </row>
    <row r="49" spans="1:11" x14ac:dyDescent="0.3">
      <c r="A49" t="s">
        <v>70</v>
      </c>
      <c r="B49" t="s">
        <v>11</v>
      </c>
      <c r="C49" t="s">
        <v>16</v>
      </c>
      <c r="D49">
        <v>44</v>
      </c>
      <c r="E49" t="s">
        <v>26</v>
      </c>
      <c r="F49" t="s">
        <v>27</v>
      </c>
      <c r="G49">
        <v>200</v>
      </c>
      <c r="H49">
        <v>3</v>
      </c>
      <c r="I49">
        <v>600</v>
      </c>
      <c r="J49" s="2">
        <v>45227</v>
      </c>
      <c r="K49" t="s">
        <v>370</v>
      </c>
    </row>
    <row r="50" spans="1:11" x14ac:dyDescent="0.3">
      <c r="A50" t="s">
        <v>71</v>
      </c>
      <c r="B50" t="s">
        <v>20</v>
      </c>
      <c r="C50" t="s">
        <v>16</v>
      </c>
      <c r="D50">
        <v>67</v>
      </c>
      <c r="E50" t="s">
        <v>24</v>
      </c>
      <c r="F50" t="s">
        <v>14</v>
      </c>
      <c r="G50">
        <v>1500</v>
      </c>
      <c r="H50">
        <v>4</v>
      </c>
      <c r="I50">
        <v>6000</v>
      </c>
      <c r="J50" s="2">
        <v>45170</v>
      </c>
      <c r="K50" t="s">
        <v>375</v>
      </c>
    </row>
    <row r="51" spans="1:11" x14ac:dyDescent="0.3">
      <c r="A51" t="s">
        <v>72</v>
      </c>
      <c r="B51" t="s">
        <v>11</v>
      </c>
      <c r="C51" t="s">
        <v>16</v>
      </c>
      <c r="D51">
        <v>23</v>
      </c>
      <c r="E51" t="s">
        <v>13</v>
      </c>
      <c r="F51" t="s">
        <v>14</v>
      </c>
      <c r="G51">
        <v>300</v>
      </c>
      <c r="H51">
        <v>3</v>
      </c>
      <c r="I51">
        <v>900</v>
      </c>
      <c r="J51" s="2">
        <v>45032</v>
      </c>
      <c r="K51" t="s">
        <v>370</v>
      </c>
    </row>
    <row r="52" spans="1:11" x14ac:dyDescent="0.3">
      <c r="A52" t="s">
        <v>73</v>
      </c>
      <c r="B52" t="s">
        <v>11</v>
      </c>
      <c r="C52" t="s">
        <v>16</v>
      </c>
      <c r="D52">
        <v>68</v>
      </c>
      <c r="E52" t="s">
        <v>17</v>
      </c>
      <c r="F52" t="s">
        <v>18</v>
      </c>
      <c r="G52">
        <v>100</v>
      </c>
      <c r="H52">
        <v>2</v>
      </c>
      <c r="I52">
        <v>200</v>
      </c>
      <c r="J52" s="2">
        <v>45273</v>
      </c>
      <c r="K52" t="s">
        <v>381</v>
      </c>
    </row>
    <row r="53" spans="1:11" x14ac:dyDescent="0.3">
      <c r="A53" t="s">
        <v>74</v>
      </c>
      <c r="B53" t="s">
        <v>20</v>
      </c>
      <c r="C53" t="s">
        <v>29</v>
      </c>
      <c r="D53">
        <v>42</v>
      </c>
      <c r="E53" t="s">
        <v>13</v>
      </c>
      <c r="F53" t="s">
        <v>14</v>
      </c>
      <c r="G53">
        <v>300</v>
      </c>
      <c r="H53">
        <v>4</v>
      </c>
      <c r="I53">
        <v>1200</v>
      </c>
      <c r="J53" s="2">
        <v>45012</v>
      </c>
      <c r="K53" t="s">
        <v>373</v>
      </c>
    </row>
    <row r="54" spans="1:11" x14ac:dyDescent="0.3">
      <c r="A54" t="s">
        <v>75</v>
      </c>
      <c r="B54" t="s">
        <v>11</v>
      </c>
      <c r="C54" t="s">
        <v>21</v>
      </c>
      <c r="D54">
        <v>51</v>
      </c>
      <c r="E54" t="s">
        <v>24</v>
      </c>
      <c r="F54" t="s">
        <v>14</v>
      </c>
      <c r="G54">
        <v>1500</v>
      </c>
      <c r="H54">
        <v>2</v>
      </c>
      <c r="I54">
        <v>3000</v>
      </c>
      <c r="J54" s="2">
        <v>45246</v>
      </c>
      <c r="K54" t="s">
        <v>381</v>
      </c>
    </row>
    <row r="55" spans="1:11" x14ac:dyDescent="0.3">
      <c r="A55" t="s">
        <v>65</v>
      </c>
      <c r="B55" t="s">
        <v>20</v>
      </c>
      <c r="C55" t="s">
        <v>16</v>
      </c>
      <c r="D55">
        <v>61</v>
      </c>
      <c r="E55" t="s">
        <v>24</v>
      </c>
      <c r="F55" t="s">
        <v>14</v>
      </c>
      <c r="G55">
        <v>1500</v>
      </c>
      <c r="H55">
        <v>2</v>
      </c>
      <c r="I55">
        <v>3000</v>
      </c>
      <c r="J55" s="2">
        <v>45091</v>
      </c>
      <c r="K55" t="s">
        <v>373</v>
      </c>
    </row>
    <row r="56" spans="1:11" x14ac:dyDescent="0.3">
      <c r="A56" t="s">
        <v>76</v>
      </c>
      <c r="B56" t="s">
        <v>20</v>
      </c>
      <c r="C56" t="s">
        <v>21</v>
      </c>
      <c r="D56">
        <v>46</v>
      </c>
      <c r="E56" t="s">
        <v>42</v>
      </c>
      <c r="F56" t="s">
        <v>14</v>
      </c>
      <c r="G56">
        <v>800</v>
      </c>
      <c r="H56">
        <v>5</v>
      </c>
      <c r="I56">
        <v>4000</v>
      </c>
      <c r="J56" s="2">
        <v>44952</v>
      </c>
      <c r="K56" t="s">
        <v>375</v>
      </c>
    </row>
    <row r="57" spans="1:11" x14ac:dyDescent="0.3">
      <c r="A57" t="s">
        <v>77</v>
      </c>
      <c r="B57" t="s">
        <v>20</v>
      </c>
      <c r="C57" t="s">
        <v>16</v>
      </c>
      <c r="D57">
        <v>49</v>
      </c>
      <c r="E57" t="s">
        <v>31</v>
      </c>
      <c r="F57" t="s">
        <v>18</v>
      </c>
      <c r="G57">
        <v>50</v>
      </c>
      <c r="H57">
        <v>4</v>
      </c>
      <c r="I57">
        <v>200</v>
      </c>
      <c r="J57" s="2">
        <v>45285</v>
      </c>
      <c r="K57" t="s">
        <v>373</v>
      </c>
    </row>
    <row r="58" spans="1:11" x14ac:dyDescent="0.3">
      <c r="A58" t="s">
        <v>78</v>
      </c>
      <c r="B58" t="s">
        <v>11</v>
      </c>
      <c r="C58" t="s">
        <v>12</v>
      </c>
      <c r="D58">
        <v>62</v>
      </c>
      <c r="E58" t="s">
        <v>31</v>
      </c>
      <c r="F58" t="s">
        <v>18</v>
      </c>
      <c r="G58">
        <v>50</v>
      </c>
      <c r="H58">
        <v>4</v>
      </c>
      <c r="I58">
        <v>200</v>
      </c>
      <c r="J58" s="2">
        <v>45198</v>
      </c>
      <c r="K58" t="s">
        <v>373</v>
      </c>
    </row>
    <row r="59" spans="1:11" x14ac:dyDescent="0.3">
      <c r="A59" t="s">
        <v>79</v>
      </c>
      <c r="B59" t="s">
        <v>11</v>
      </c>
      <c r="C59" t="s">
        <v>21</v>
      </c>
      <c r="D59">
        <v>54</v>
      </c>
      <c r="E59" t="s">
        <v>24</v>
      </c>
      <c r="F59" t="s">
        <v>14</v>
      </c>
      <c r="G59">
        <v>1500</v>
      </c>
      <c r="H59">
        <v>1</v>
      </c>
      <c r="I59">
        <v>1500</v>
      </c>
      <c r="J59" s="2">
        <v>44999</v>
      </c>
      <c r="K59" t="s">
        <v>375</v>
      </c>
    </row>
    <row r="60" spans="1:11" x14ac:dyDescent="0.3">
      <c r="A60" t="s">
        <v>80</v>
      </c>
      <c r="B60" t="s">
        <v>20</v>
      </c>
      <c r="C60" t="s">
        <v>12</v>
      </c>
      <c r="D60">
        <v>67</v>
      </c>
      <c r="E60" t="s">
        <v>17</v>
      </c>
      <c r="F60" t="s">
        <v>18</v>
      </c>
      <c r="G60">
        <v>100</v>
      </c>
      <c r="H60">
        <v>2</v>
      </c>
      <c r="I60">
        <v>200</v>
      </c>
      <c r="J60" s="2">
        <v>45274</v>
      </c>
      <c r="K60" t="s">
        <v>373</v>
      </c>
    </row>
    <row r="61" spans="1:11" x14ac:dyDescent="0.3">
      <c r="A61" t="s">
        <v>81</v>
      </c>
      <c r="B61" t="s">
        <v>11</v>
      </c>
      <c r="C61" t="s">
        <v>21</v>
      </c>
      <c r="D61">
        <v>52</v>
      </c>
      <c r="E61" t="s">
        <v>24</v>
      </c>
      <c r="F61" t="s">
        <v>14</v>
      </c>
      <c r="G61">
        <v>1500</v>
      </c>
      <c r="H61">
        <v>5</v>
      </c>
      <c r="I61">
        <v>7500</v>
      </c>
      <c r="J61" s="2">
        <v>45186</v>
      </c>
      <c r="K61" t="s">
        <v>370</v>
      </c>
    </row>
    <row r="62" spans="1:11" x14ac:dyDescent="0.3">
      <c r="A62" t="s">
        <v>82</v>
      </c>
      <c r="B62" t="s">
        <v>11</v>
      </c>
      <c r="C62" t="s">
        <v>29</v>
      </c>
      <c r="D62">
        <v>64</v>
      </c>
      <c r="E62" t="s">
        <v>42</v>
      </c>
      <c r="F62" t="s">
        <v>14</v>
      </c>
      <c r="G62">
        <v>800</v>
      </c>
      <c r="H62">
        <v>4</v>
      </c>
      <c r="I62">
        <v>3200</v>
      </c>
      <c r="J62" s="2">
        <v>45146</v>
      </c>
      <c r="K62" t="s">
        <v>375</v>
      </c>
    </row>
    <row r="63" spans="1:11" x14ac:dyDescent="0.3">
      <c r="A63" t="s">
        <v>83</v>
      </c>
      <c r="B63" t="s">
        <v>11</v>
      </c>
      <c r="C63" t="s">
        <v>12</v>
      </c>
      <c r="D63">
        <v>33</v>
      </c>
      <c r="E63" t="s">
        <v>13</v>
      </c>
      <c r="F63" t="s">
        <v>14</v>
      </c>
      <c r="G63">
        <v>300</v>
      </c>
      <c r="H63">
        <v>4</v>
      </c>
      <c r="I63">
        <v>1200</v>
      </c>
      <c r="J63" s="2">
        <v>45028</v>
      </c>
      <c r="K63" t="s">
        <v>375</v>
      </c>
    </row>
    <row r="64" spans="1:11" x14ac:dyDescent="0.3">
      <c r="A64" t="s">
        <v>84</v>
      </c>
      <c r="B64" t="s">
        <v>20</v>
      </c>
      <c r="C64" t="s">
        <v>16</v>
      </c>
      <c r="D64">
        <v>24</v>
      </c>
      <c r="E64" t="s">
        <v>17</v>
      </c>
      <c r="F64" t="s">
        <v>18</v>
      </c>
      <c r="G64">
        <v>100</v>
      </c>
      <c r="H64">
        <v>3</v>
      </c>
      <c r="I64">
        <v>300</v>
      </c>
      <c r="J64" s="2">
        <v>44978</v>
      </c>
      <c r="K64" t="s">
        <v>375</v>
      </c>
    </row>
    <row r="65" spans="1:11" x14ac:dyDescent="0.3">
      <c r="A65" t="s">
        <v>85</v>
      </c>
      <c r="B65" t="s">
        <v>11</v>
      </c>
      <c r="C65" t="s">
        <v>29</v>
      </c>
      <c r="D65">
        <v>36</v>
      </c>
      <c r="E65" t="s">
        <v>17</v>
      </c>
      <c r="F65" t="s">
        <v>18</v>
      </c>
      <c r="G65">
        <v>100</v>
      </c>
      <c r="H65">
        <v>2</v>
      </c>
      <c r="I65">
        <v>200</v>
      </c>
      <c r="J65" s="2">
        <v>45233</v>
      </c>
      <c r="K65" t="s">
        <v>381</v>
      </c>
    </row>
    <row r="66" spans="1:11" x14ac:dyDescent="0.3">
      <c r="A66" t="s">
        <v>66</v>
      </c>
      <c r="B66" t="s">
        <v>11</v>
      </c>
      <c r="C66" t="s">
        <v>12</v>
      </c>
      <c r="D66">
        <v>19</v>
      </c>
      <c r="E66" t="s">
        <v>13</v>
      </c>
      <c r="F66" t="s">
        <v>14</v>
      </c>
      <c r="G66">
        <v>300</v>
      </c>
      <c r="H66">
        <v>5</v>
      </c>
      <c r="I66">
        <v>1500</v>
      </c>
      <c r="J66" s="2">
        <v>44942</v>
      </c>
      <c r="K66" t="s">
        <v>381</v>
      </c>
    </row>
    <row r="67" spans="1:11" x14ac:dyDescent="0.3">
      <c r="A67" t="s">
        <v>86</v>
      </c>
      <c r="B67" t="s">
        <v>11</v>
      </c>
      <c r="C67" t="s">
        <v>29</v>
      </c>
      <c r="D67">
        <v>28</v>
      </c>
      <c r="E67" t="s">
        <v>13</v>
      </c>
      <c r="F67" t="s">
        <v>14</v>
      </c>
      <c r="G67">
        <v>300</v>
      </c>
      <c r="H67">
        <v>1</v>
      </c>
      <c r="I67">
        <v>300</v>
      </c>
      <c r="J67" s="2">
        <v>45294</v>
      </c>
      <c r="K67" t="s">
        <v>373</v>
      </c>
    </row>
    <row r="68" spans="1:11" x14ac:dyDescent="0.3">
      <c r="A68" t="s">
        <v>87</v>
      </c>
      <c r="B68" t="s">
        <v>20</v>
      </c>
      <c r="C68" t="s">
        <v>29</v>
      </c>
      <c r="E68" t="s">
        <v>17</v>
      </c>
      <c r="F68" t="s">
        <v>18</v>
      </c>
      <c r="G68">
        <v>100</v>
      </c>
      <c r="H68">
        <v>2</v>
      </c>
      <c r="I68">
        <v>200</v>
      </c>
      <c r="J68" s="2">
        <v>44962</v>
      </c>
      <c r="K68" t="s">
        <v>375</v>
      </c>
    </row>
    <row r="69" spans="1:11" x14ac:dyDescent="0.3">
      <c r="A69" t="s">
        <v>88</v>
      </c>
      <c r="B69" t="s">
        <v>20</v>
      </c>
      <c r="D69">
        <v>61</v>
      </c>
      <c r="E69" t="s">
        <v>42</v>
      </c>
      <c r="F69" t="s">
        <v>14</v>
      </c>
      <c r="G69">
        <v>800</v>
      </c>
      <c r="H69">
        <v>4</v>
      </c>
      <c r="I69">
        <v>3200</v>
      </c>
      <c r="J69" s="2">
        <v>44964</v>
      </c>
      <c r="K69" t="s">
        <v>373</v>
      </c>
    </row>
    <row r="70" spans="1:11" x14ac:dyDescent="0.3">
      <c r="A70" t="s">
        <v>59</v>
      </c>
      <c r="B70" t="s">
        <v>11</v>
      </c>
      <c r="C70" t="s">
        <v>21</v>
      </c>
      <c r="D70">
        <v>41</v>
      </c>
      <c r="E70" t="s">
        <v>31</v>
      </c>
      <c r="F70" t="s">
        <v>18</v>
      </c>
      <c r="G70">
        <v>50</v>
      </c>
      <c r="H70">
        <v>4</v>
      </c>
      <c r="I70">
        <v>200</v>
      </c>
      <c r="J70" s="2">
        <v>45019</v>
      </c>
      <c r="K70" t="s">
        <v>370</v>
      </c>
    </row>
    <row r="71" spans="1:11" x14ac:dyDescent="0.3">
      <c r="A71" t="s">
        <v>89</v>
      </c>
      <c r="B71" t="s">
        <v>11</v>
      </c>
      <c r="C71" t="s">
        <v>29</v>
      </c>
      <c r="D71">
        <v>21</v>
      </c>
      <c r="E71" t="s">
        <v>32</v>
      </c>
      <c r="F71" t="s">
        <v>18</v>
      </c>
      <c r="G71">
        <v>30</v>
      </c>
      <c r="H71">
        <v>1</v>
      </c>
      <c r="I71">
        <v>30</v>
      </c>
      <c r="J71" s="2">
        <v>45222</v>
      </c>
      <c r="K71" t="s">
        <v>375</v>
      </c>
    </row>
    <row r="72" spans="1:11" x14ac:dyDescent="0.3">
      <c r="A72" t="s">
        <v>90</v>
      </c>
      <c r="B72" t="s">
        <v>20</v>
      </c>
      <c r="C72" t="s">
        <v>12</v>
      </c>
      <c r="D72">
        <v>50</v>
      </c>
      <c r="E72" t="s">
        <v>31</v>
      </c>
      <c r="F72" t="s">
        <v>18</v>
      </c>
      <c r="G72">
        <v>50</v>
      </c>
      <c r="H72">
        <v>2</v>
      </c>
      <c r="I72">
        <v>100</v>
      </c>
      <c r="J72" s="2">
        <v>45132</v>
      </c>
      <c r="K72" t="s">
        <v>370</v>
      </c>
    </row>
    <row r="73" spans="1:11" x14ac:dyDescent="0.3">
      <c r="A73" t="s">
        <v>91</v>
      </c>
      <c r="B73" t="s">
        <v>11</v>
      </c>
      <c r="C73" t="s">
        <v>16</v>
      </c>
      <c r="D73">
        <v>48</v>
      </c>
      <c r="E73" t="s">
        <v>24</v>
      </c>
      <c r="F73" t="s">
        <v>14</v>
      </c>
      <c r="G73">
        <v>1500</v>
      </c>
      <c r="H73">
        <v>5</v>
      </c>
      <c r="I73">
        <v>7500</v>
      </c>
      <c r="J73" s="2">
        <v>45200</v>
      </c>
      <c r="K73" t="s">
        <v>373</v>
      </c>
    </row>
    <row r="74" spans="1:11" x14ac:dyDescent="0.3">
      <c r="A74" t="s">
        <v>92</v>
      </c>
      <c r="B74" t="s">
        <v>11</v>
      </c>
      <c r="C74" t="s">
        <v>21</v>
      </c>
      <c r="D74">
        <v>50</v>
      </c>
      <c r="E74" t="s">
        <v>31</v>
      </c>
      <c r="F74" t="s">
        <v>18</v>
      </c>
      <c r="G74">
        <v>50</v>
      </c>
      <c r="H74">
        <v>5</v>
      </c>
      <c r="I74">
        <v>250</v>
      </c>
      <c r="J74" s="2">
        <v>45004</v>
      </c>
      <c r="K74" t="s">
        <v>381</v>
      </c>
    </row>
    <row r="75" spans="1:11" x14ac:dyDescent="0.3">
      <c r="A75" t="s">
        <v>93</v>
      </c>
      <c r="B75" t="s">
        <v>20</v>
      </c>
      <c r="C75" t="s">
        <v>16</v>
      </c>
      <c r="D75">
        <v>54</v>
      </c>
      <c r="E75" t="s">
        <v>31</v>
      </c>
      <c r="F75" t="s">
        <v>18</v>
      </c>
      <c r="G75">
        <v>50</v>
      </c>
      <c r="H75">
        <v>4</v>
      </c>
      <c r="I75">
        <v>200</v>
      </c>
      <c r="J75" s="2">
        <v>45204</v>
      </c>
      <c r="K75" t="s">
        <v>373</v>
      </c>
    </row>
    <row r="76" spans="1:11" x14ac:dyDescent="0.3">
      <c r="A76" t="s">
        <v>60</v>
      </c>
      <c r="B76" t="s">
        <v>20</v>
      </c>
      <c r="C76" t="s">
        <v>12</v>
      </c>
      <c r="D76">
        <v>64</v>
      </c>
      <c r="E76" t="s">
        <v>31</v>
      </c>
      <c r="F76" t="s">
        <v>18</v>
      </c>
      <c r="G76">
        <v>50</v>
      </c>
      <c r="H76">
        <v>3</v>
      </c>
      <c r="I76">
        <v>150</v>
      </c>
      <c r="J76" s="2">
        <v>45027</v>
      </c>
      <c r="K76" t="s">
        <v>370</v>
      </c>
    </row>
    <row r="77" spans="1:11" x14ac:dyDescent="0.3">
      <c r="A77" t="s">
        <v>94</v>
      </c>
      <c r="B77" t="s">
        <v>11</v>
      </c>
      <c r="C77" t="s">
        <v>12</v>
      </c>
      <c r="D77">
        <v>63</v>
      </c>
      <c r="E77" t="s">
        <v>32</v>
      </c>
      <c r="F77" t="s">
        <v>18</v>
      </c>
      <c r="G77">
        <v>30</v>
      </c>
      <c r="H77">
        <v>1</v>
      </c>
      <c r="I77">
        <v>30</v>
      </c>
      <c r="J77" s="2">
        <v>45180</v>
      </c>
      <c r="K77" t="s">
        <v>375</v>
      </c>
    </row>
    <row r="78" spans="1:11" x14ac:dyDescent="0.3">
      <c r="A78" t="s">
        <v>95</v>
      </c>
      <c r="B78" t="s">
        <v>20</v>
      </c>
      <c r="C78" t="s">
        <v>12</v>
      </c>
      <c r="D78">
        <v>47</v>
      </c>
      <c r="E78" t="s">
        <v>42</v>
      </c>
      <c r="F78" t="s">
        <v>14</v>
      </c>
      <c r="G78">
        <v>800</v>
      </c>
      <c r="H78">
        <v>1</v>
      </c>
      <c r="I78">
        <v>800</v>
      </c>
      <c r="J78" s="2">
        <v>45227</v>
      </c>
      <c r="K78" t="s">
        <v>373</v>
      </c>
    </row>
    <row r="79" spans="1:11" x14ac:dyDescent="0.3">
      <c r="A79" t="s">
        <v>96</v>
      </c>
      <c r="B79" t="s">
        <v>11</v>
      </c>
      <c r="C79" t="s">
        <v>12</v>
      </c>
      <c r="D79">
        <v>45</v>
      </c>
      <c r="E79" t="s">
        <v>31</v>
      </c>
      <c r="F79" t="s">
        <v>18</v>
      </c>
      <c r="G79">
        <v>50</v>
      </c>
      <c r="H79">
        <v>2</v>
      </c>
      <c r="I79">
        <v>100</v>
      </c>
      <c r="J79" s="2">
        <v>45001</v>
      </c>
      <c r="K79" t="s">
        <v>375</v>
      </c>
    </row>
    <row r="80" spans="1:11" x14ac:dyDescent="0.3">
      <c r="A80" t="s">
        <v>97</v>
      </c>
      <c r="B80" t="s">
        <v>20</v>
      </c>
      <c r="C80" t="s">
        <v>12</v>
      </c>
      <c r="D80">
        <v>33</v>
      </c>
      <c r="E80" t="s">
        <v>26</v>
      </c>
      <c r="F80" t="s">
        <v>27</v>
      </c>
      <c r="G80">
        <v>200</v>
      </c>
      <c r="H80">
        <v>2</v>
      </c>
      <c r="I80">
        <v>400</v>
      </c>
      <c r="J80" s="2">
        <v>45251</v>
      </c>
      <c r="K80" t="s">
        <v>381</v>
      </c>
    </row>
    <row r="81" spans="1:11" x14ac:dyDescent="0.3">
      <c r="A81" t="s">
        <v>98</v>
      </c>
      <c r="B81" t="s">
        <v>20</v>
      </c>
      <c r="C81" t="s">
        <v>29</v>
      </c>
      <c r="D81">
        <v>64</v>
      </c>
      <c r="E81" t="s">
        <v>24</v>
      </c>
      <c r="F81" t="s">
        <v>14</v>
      </c>
      <c r="G81">
        <v>1500</v>
      </c>
      <c r="H81">
        <v>5</v>
      </c>
      <c r="I81">
        <v>7500</v>
      </c>
      <c r="J81" s="2">
        <v>45263</v>
      </c>
      <c r="K81" t="s">
        <v>381</v>
      </c>
    </row>
    <row r="82" spans="1:11" x14ac:dyDescent="0.3">
      <c r="A82" t="s">
        <v>99</v>
      </c>
      <c r="B82" t="s">
        <v>11</v>
      </c>
      <c r="C82" t="s">
        <v>29</v>
      </c>
      <c r="D82">
        <v>59</v>
      </c>
      <c r="E82" t="s">
        <v>26</v>
      </c>
      <c r="F82" t="s">
        <v>27</v>
      </c>
      <c r="G82">
        <v>200</v>
      </c>
      <c r="H82">
        <v>3</v>
      </c>
      <c r="I82">
        <v>600</v>
      </c>
      <c r="J82" s="2">
        <v>44965</v>
      </c>
      <c r="K82" t="s">
        <v>381</v>
      </c>
    </row>
    <row r="83" spans="1:11" x14ac:dyDescent="0.3">
      <c r="A83" t="s">
        <v>100</v>
      </c>
      <c r="B83" t="s">
        <v>20</v>
      </c>
      <c r="C83" t="s">
        <v>21</v>
      </c>
      <c r="D83">
        <v>40</v>
      </c>
      <c r="E83" t="s">
        <v>32</v>
      </c>
      <c r="F83" t="s">
        <v>18</v>
      </c>
      <c r="G83">
        <v>30</v>
      </c>
      <c r="H83">
        <v>5</v>
      </c>
      <c r="I83">
        <v>150</v>
      </c>
      <c r="J83" s="2">
        <v>45282</v>
      </c>
      <c r="K83" t="s">
        <v>375</v>
      </c>
    </row>
    <row r="84" spans="1:11" x14ac:dyDescent="0.3">
      <c r="A84" t="s">
        <v>101</v>
      </c>
      <c r="B84" t="s">
        <v>11</v>
      </c>
      <c r="C84" t="s">
        <v>16</v>
      </c>
      <c r="E84" t="s">
        <v>13</v>
      </c>
      <c r="F84" t="s">
        <v>14</v>
      </c>
      <c r="G84">
        <v>300</v>
      </c>
      <c r="H84">
        <v>5</v>
      </c>
      <c r="I84">
        <v>1500</v>
      </c>
      <c r="J84" s="2">
        <v>45223</v>
      </c>
      <c r="K84" t="s">
        <v>373</v>
      </c>
    </row>
    <row r="85" spans="1:11" x14ac:dyDescent="0.3">
      <c r="A85" t="s">
        <v>102</v>
      </c>
      <c r="B85" t="s">
        <v>11</v>
      </c>
      <c r="D85">
        <v>48</v>
      </c>
      <c r="E85" t="s">
        <v>32</v>
      </c>
      <c r="F85" t="s">
        <v>18</v>
      </c>
      <c r="G85">
        <v>62.191212249732999</v>
      </c>
      <c r="H85">
        <v>2</v>
      </c>
      <c r="I85">
        <v>60</v>
      </c>
      <c r="J85" s="2">
        <v>45158</v>
      </c>
      <c r="K85" t="s">
        <v>375</v>
      </c>
    </row>
    <row r="86" spans="1:11" x14ac:dyDescent="0.3">
      <c r="A86" t="s">
        <v>103</v>
      </c>
      <c r="B86" t="s">
        <v>11</v>
      </c>
      <c r="C86" t="s">
        <v>16</v>
      </c>
      <c r="D86">
        <v>51</v>
      </c>
      <c r="E86" t="s">
        <v>31</v>
      </c>
      <c r="F86" t="s">
        <v>18</v>
      </c>
      <c r="G86">
        <v>103.65202041622101</v>
      </c>
      <c r="H86">
        <v>4</v>
      </c>
      <c r="I86">
        <v>200</v>
      </c>
      <c r="J86" s="2">
        <v>45066</v>
      </c>
      <c r="K86" t="s">
        <v>375</v>
      </c>
    </row>
    <row r="87" spans="1:11" x14ac:dyDescent="0.3">
      <c r="A87" t="s">
        <v>81</v>
      </c>
      <c r="B87" t="s">
        <v>20</v>
      </c>
      <c r="C87" t="s">
        <v>16</v>
      </c>
      <c r="D87">
        <v>52</v>
      </c>
      <c r="E87" t="s">
        <v>13</v>
      </c>
      <c r="F87" t="s">
        <v>14</v>
      </c>
      <c r="G87">
        <v>300</v>
      </c>
      <c r="H87">
        <v>3</v>
      </c>
      <c r="I87">
        <v>900</v>
      </c>
      <c r="J87" s="2">
        <v>44975</v>
      </c>
      <c r="K87" t="s">
        <v>373</v>
      </c>
    </row>
    <row r="88" spans="1:11" x14ac:dyDescent="0.3">
      <c r="A88" t="s">
        <v>76</v>
      </c>
      <c r="B88" t="s">
        <v>20</v>
      </c>
      <c r="C88" t="s">
        <v>16</v>
      </c>
      <c r="D88">
        <v>46</v>
      </c>
      <c r="E88" t="s">
        <v>32</v>
      </c>
      <c r="F88" t="s">
        <v>18</v>
      </c>
      <c r="G88">
        <v>30</v>
      </c>
      <c r="H88">
        <v>4</v>
      </c>
      <c r="I88">
        <v>120</v>
      </c>
      <c r="J88" s="2">
        <v>45294</v>
      </c>
      <c r="K88" t="s">
        <v>381</v>
      </c>
    </row>
    <row r="89" spans="1:11" x14ac:dyDescent="0.3">
      <c r="A89" t="s">
        <v>81</v>
      </c>
      <c r="B89" t="s">
        <v>11</v>
      </c>
      <c r="C89" t="s">
        <v>12</v>
      </c>
      <c r="D89">
        <v>52</v>
      </c>
      <c r="E89" t="s">
        <v>26</v>
      </c>
      <c r="F89" t="s">
        <v>27</v>
      </c>
      <c r="G89">
        <v>200</v>
      </c>
      <c r="H89">
        <v>1</v>
      </c>
      <c r="I89">
        <v>200</v>
      </c>
      <c r="J89" s="2">
        <v>45140</v>
      </c>
      <c r="K89" t="s">
        <v>381</v>
      </c>
    </row>
    <row r="90" spans="1:11" x14ac:dyDescent="0.3">
      <c r="A90" t="s">
        <v>104</v>
      </c>
      <c r="B90" t="s">
        <v>20</v>
      </c>
      <c r="C90" t="s">
        <v>21</v>
      </c>
      <c r="D90">
        <v>30</v>
      </c>
      <c r="E90" t="s">
        <v>32</v>
      </c>
      <c r="F90" t="s">
        <v>18</v>
      </c>
      <c r="G90">
        <v>30</v>
      </c>
      <c r="H90">
        <v>1</v>
      </c>
      <c r="I90">
        <v>30</v>
      </c>
      <c r="J90" s="2">
        <v>45035</v>
      </c>
      <c r="K90" t="s">
        <v>373</v>
      </c>
    </row>
    <row r="91" spans="1:11" x14ac:dyDescent="0.3">
      <c r="A91" t="s">
        <v>65</v>
      </c>
      <c r="B91" t="s">
        <v>11</v>
      </c>
      <c r="C91" t="s">
        <v>12</v>
      </c>
      <c r="D91">
        <v>61</v>
      </c>
      <c r="E91" t="s">
        <v>42</v>
      </c>
      <c r="F91" t="s">
        <v>14</v>
      </c>
      <c r="G91">
        <v>800</v>
      </c>
      <c r="H91">
        <v>5</v>
      </c>
      <c r="I91">
        <v>4000</v>
      </c>
      <c r="J91" s="2">
        <v>45106</v>
      </c>
      <c r="K91" t="s">
        <v>375</v>
      </c>
    </row>
    <row r="92" spans="1:11" x14ac:dyDescent="0.3">
      <c r="A92" t="s">
        <v>105</v>
      </c>
      <c r="B92" t="s">
        <v>20</v>
      </c>
      <c r="C92" t="s">
        <v>12</v>
      </c>
      <c r="D92">
        <v>63</v>
      </c>
      <c r="E92" t="s">
        <v>24</v>
      </c>
      <c r="F92" t="s">
        <v>14</v>
      </c>
      <c r="G92">
        <v>1500</v>
      </c>
      <c r="H92">
        <v>1</v>
      </c>
      <c r="I92">
        <v>1500</v>
      </c>
      <c r="J92" s="2">
        <v>44993</v>
      </c>
      <c r="K92" t="s">
        <v>375</v>
      </c>
    </row>
    <row r="93" spans="1:11" x14ac:dyDescent="0.3">
      <c r="A93" t="s">
        <v>55</v>
      </c>
      <c r="B93" t="s">
        <v>11</v>
      </c>
      <c r="C93" t="s">
        <v>16</v>
      </c>
      <c r="D93">
        <v>55</v>
      </c>
      <c r="E93" t="s">
        <v>17</v>
      </c>
      <c r="F93" t="s">
        <v>18</v>
      </c>
      <c r="G93">
        <v>100</v>
      </c>
      <c r="H93">
        <v>2</v>
      </c>
      <c r="I93">
        <v>200</v>
      </c>
      <c r="J93" s="2">
        <v>45111</v>
      </c>
      <c r="K93" t="s">
        <v>381</v>
      </c>
    </row>
    <row r="94" spans="1:11" x14ac:dyDescent="0.3">
      <c r="A94" t="s">
        <v>106</v>
      </c>
      <c r="B94" t="s">
        <v>20</v>
      </c>
      <c r="C94" t="s">
        <v>29</v>
      </c>
      <c r="D94">
        <v>69</v>
      </c>
      <c r="E94" t="s">
        <v>31</v>
      </c>
      <c r="F94" t="s">
        <v>18</v>
      </c>
      <c r="G94">
        <v>50</v>
      </c>
      <c r="H94">
        <v>1</v>
      </c>
      <c r="I94">
        <v>50</v>
      </c>
      <c r="J94" s="2">
        <v>45039</v>
      </c>
      <c r="K94" t="s">
        <v>370</v>
      </c>
    </row>
    <row r="95" spans="1:11" x14ac:dyDescent="0.3">
      <c r="A95" t="s">
        <v>107</v>
      </c>
      <c r="B95" t="s">
        <v>11</v>
      </c>
      <c r="C95" t="s">
        <v>29</v>
      </c>
      <c r="D95">
        <v>18</v>
      </c>
      <c r="E95" t="s">
        <v>31</v>
      </c>
      <c r="F95" t="s">
        <v>18</v>
      </c>
      <c r="G95">
        <v>50</v>
      </c>
      <c r="H95">
        <v>2</v>
      </c>
      <c r="I95">
        <v>100</v>
      </c>
      <c r="J95" s="2">
        <v>45009</v>
      </c>
      <c r="K95" t="s">
        <v>370</v>
      </c>
    </row>
    <row r="96" spans="1:11" x14ac:dyDescent="0.3">
      <c r="A96" t="s">
        <v>30</v>
      </c>
      <c r="B96" t="s">
        <v>11</v>
      </c>
      <c r="C96" t="s">
        <v>16</v>
      </c>
      <c r="D96">
        <v>18</v>
      </c>
      <c r="E96" t="s">
        <v>31</v>
      </c>
      <c r="F96" t="s">
        <v>18</v>
      </c>
      <c r="G96">
        <v>50</v>
      </c>
      <c r="H96">
        <v>5</v>
      </c>
      <c r="I96">
        <v>250</v>
      </c>
      <c r="J96" s="2">
        <v>45180</v>
      </c>
      <c r="K96" t="s">
        <v>370</v>
      </c>
    </row>
    <row r="97" spans="1:11" x14ac:dyDescent="0.3">
      <c r="A97" t="s">
        <v>108</v>
      </c>
      <c r="B97" t="s">
        <v>11</v>
      </c>
      <c r="C97" t="s">
        <v>12</v>
      </c>
      <c r="D97">
        <v>42</v>
      </c>
      <c r="E97" t="s">
        <v>32</v>
      </c>
      <c r="F97" t="s">
        <v>18</v>
      </c>
      <c r="G97">
        <v>30</v>
      </c>
      <c r="H97">
        <v>2</v>
      </c>
      <c r="I97">
        <v>60</v>
      </c>
      <c r="J97" s="2">
        <v>44959</v>
      </c>
      <c r="K97" t="s">
        <v>375</v>
      </c>
    </row>
    <row r="98" spans="1:11" x14ac:dyDescent="0.3">
      <c r="A98" t="s">
        <v>30</v>
      </c>
      <c r="B98" t="s">
        <v>11</v>
      </c>
      <c r="C98" t="s">
        <v>12</v>
      </c>
      <c r="D98">
        <v>18</v>
      </c>
      <c r="E98" t="s">
        <v>17</v>
      </c>
      <c r="F98" t="s">
        <v>18</v>
      </c>
      <c r="G98">
        <v>100</v>
      </c>
      <c r="H98">
        <v>1</v>
      </c>
      <c r="I98">
        <v>100</v>
      </c>
      <c r="J98" s="2">
        <v>45151</v>
      </c>
      <c r="K98" t="s">
        <v>375</v>
      </c>
    </row>
    <row r="99" spans="1:11" x14ac:dyDescent="0.3">
      <c r="A99" t="s">
        <v>65</v>
      </c>
      <c r="B99" t="s">
        <v>11</v>
      </c>
      <c r="C99" t="s">
        <v>16</v>
      </c>
      <c r="D99">
        <v>61</v>
      </c>
      <c r="E99" t="s">
        <v>13</v>
      </c>
      <c r="F99" t="s">
        <v>14</v>
      </c>
      <c r="G99">
        <v>300</v>
      </c>
      <c r="H99">
        <v>4</v>
      </c>
      <c r="I99">
        <v>1200</v>
      </c>
      <c r="J99" s="2">
        <v>45069</v>
      </c>
      <c r="K99" t="s">
        <v>381</v>
      </c>
    </row>
    <row r="100" spans="1:11" x14ac:dyDescent="0.3">
      <c r="A100" t="s">
        <v>109</v>
      </c>
      <c r="B100" t="s">
        <v>20</v>
      </c>
      <c r="C100" t="s">
        <v>21</v>
      </c>
      <c r="D100">
        <v>26</v>
      </c>
      <c r="E100" t="s">
        <v>24</v>
      </c>
      <c r="F100" t="s">
        <v>14</v>
      </c>
      <c r="G100">
        <v>1500</v>
      </c>
      <c r="H100">
        <v>4</v>
      </c>
      <c r="I100">
        <v>6000</v>
      </c>
      <c r="J100" s="2">
        <v>45150</v>
      </c>
      <c r="K100" t="s">
        <v>370</v>
      </c>
    </row>
    <row r="101" spans="1:11" x14ac:dyDescent="0.3">
      <c r="A101" t="s">
        <v>110</v>
      </c>
      <c r="B101" t="s">
        <v>11</v>
      </c>
      <c r="C101" t="s">
        <v>12</v>
      </c>
      <c r="D101">
        <v>25</v>
      </c>
      <c r="E101" t="s">
        <v>42</v>
      </c>
      <c r="F101" t="s">
        <v>14</v>
      </c>
      <c r="G101">
        <v>800</v>
      </c>
      <c r="H101">
        <v>4</v>
      </c>
      <c r="I101">
        <v>3200</v>
      </c>
      <c r="J101" s="2">
        <v>44950</v>
      </c>
      <c r="K101" t="s">
        <v>381</v>
      </c>
    </row>
    <row r="102" spans="1:11" x14ac:dyDescent="0.3">
      <c r="A102" t="s">
        <v>111</v>
      </c>
      <c r="B102" t="s">
        <v>20</v>
      </c>
      <c r="C102" t="s">
        <v>29</v>
      </c>
      <c r="D102">
        <v>57</v>
      </c>
      <c r="E102" t="s">
        <v>26</v>
      </c>
      <c r="F102" t="s">
        <v>27</v>
      </c>
      <c r="G102">
        <v>200</v>
      </c>
      <c r="H102">
        <v>2</v>
      </c>
      <c r="I102">
        <v>400</v>
      </c>
      <c r="J102" s="2">
        <v>45268</v>
      </c>
      <c r="K102" t="s">
        <v>381</v>
      </c>
    </row>
    <row r="103" spans="1:11" x14ac:dyDescent="0.3">
      <c r="A103" t="s">
        <v>112</v>
      </c>
      <c r="B103" t="s">
        <v>11</v>
      </c>
      <c r="C103" t="s">
        <v>21</v>
      </c>
      <c r="D103">
        <v>38</v>
      </c>
      <c r="E103" t="s">
        <v>42</v>
      </c>
      <c r="F103" t="s">
        <v>14</v>
      </c>
      <c r="G103">
        <v>800</v>
      </c>
      <c r="H103">
        <v>2</v>
      </c>
      <c r="I103">
        <v>1600</v>
      </c>
      <c r="J103" s="2">
        <v>45183</v>
      </c>
      <c r="K103" t="s">
        <v>381</v>
      </c>
    </row>
    <row r="104" spans="1:11" x14ac:dyDescent="0.3">
      <c r="A104" t="s">
        <v>113</v>
      </c>
      <c r="B104" t="s">
        <v>20</v>
      </c>
      <c r="C104" t="s">
        <v>12</v>
      </c>
      <c r="D104">
        <v>58</v>
      </c>
      <c r="E104" t="s">
        <v>26</v>
      </c>
      <c r="F104" t="s">
        <v>27</v>
      </c>
      <c r="G104">
        <v>200</v>
      </c>
      <c r="H104">
        <v>4</v>
      </c>
      <c r="I104">
        <v>800</v>
      </c>
      <c r="J104" s="2">
        <v>45242</v>
      </c>
      <c r="K104" t="s">
        <v>373</v>
      </c>
    </row>
    <row r="105" spans="1:11" x14ac:dyDescent="0.3">
      <c r="A105" t="s">
        <v>114</v>
      </c>
      <c r="B105" t="s">
        <v>20</v>
      </c>
      <c r="C105" t="s">
        <v>29</v>
      </c>
      <c r="D105">
        <v>40</v>
      </c>
      <c r="E105" t="s">
        <v>13</v>
      </c>
      <c r="F105" t="s">
        <v>14</v>
      </c>
      <c r="G105">
        <v>300</v>
      </c>
      <c r="H105">
        <v>1</v>
      </c>
      <c r="I105">
        <v>300</v>
      </c>
      <c r="J105" s="2">
        <v>45098</v>
      </c>
      <c r="K105" t="s">
        <v>370</v>
      </c>
    </row>
    <row r="106" spans="1:11" x14ac:dyDescent="0.3">
      <c r="A106" t="s">
        <v>78</v>
      </c>
      <c r="B106" t="s">
        <v>20</v>
      </c>
      <c r="C106" t="s">
        <v>29</v>
      </c>
      <c r="D106">
        <v>62</v>
      </c>
      <c r="E106" t="s">
        <v>31</v>
      </c>
      <c r="F106" t="s">
        <v>18</v>
      </c>
      <c r="G106">
        <v>50</v>
      </c>
      <c r="H106">
        <v>5</v>
      </c>
      <c r="I106">
        <v>250</v>
      </c>
      <c r="J106" s="2">
        <v>45294</v>
      </c>
      <c r="K106" t="s">
        <v>370</v>
      </c>
    </row>
    <row r="107" spans="1:11" x14ac:dyDescent="0.3">
      <c r="A107" t="s">
        <v>113</v>
      </c>
      <c r="B107" t="s">
        <v>11</v>
      </c>
      <c r="D107">
        <v>58</v>
      </c>
      <c r="E107" t="s">
        <v>31</v>
      </c>
      <c r="F107" t="s">
        <v>18</v>
      </c>
      <c r="G107">
        <v>50</v>
      </c>
      <c r="H107">
        <v>3</v>
      </c>
      <c r="I107">
        <v>150</v>
      </c>
      <c r="J107" s="2">
        <v>45294</v>
      </c>
      <c r="K107" t="s">
        <v>373</v>
      </c>
    </row>
    <row r="108" spans="1:11" x14ac:dyDescent="0.3">
      <c r="A108" t="s">
        <v>115</v>
      </c>
      <c r="B108" t="s">
        <v>20</v>
      </c>
      <c r="C108" t="s">
        <v>12</v>
      </c>
      <c r="D108">
        <v>63</v>
      </c>
      <c r="E108" t="s">
        <v>24</v>
      </c>
      <c r="F108" t="s">
        <v>14</v>
      </c>
      <c r="G108">
        <v>1500</v>
      </c>
      <c r="H108">
        <v>3</v>
      </c>
      <c r="I108">
        <v>4500</v>
      </c>
      <c r="J108" s="2">
        <v>45052</v>
      </c>
      <c r="K108" t="s">
        <v>373</v>
      </c>
    </row>
    <row r="109" spans="1:11" x14ac:dyDescent="0.3">
      <c r="A109" t="s">
        <v>116</v>
      </c>
      <c r="B109" t="s">
        <v>11</v>
      </c>
      <c r="C109" t="s">
        <v>21</v>
      </c>
      <c r="D109">
        <v>33</v>
      </c>
      <c r="E109" t="s">
        <v>32</v>
      </c>
      <c r="F109" t="s">
        <v>18</v>
      </c>
      <c r="G109">
        <v>30</v>
      </c>
      <c r="H109">
        <v>1</v>
      </c>
      <c r="I109">
        <v>30</v>
      </c>
      <c r="J109" s="2">
        <v>44929</v>
      </c>
      <c r="K109" t="s">
        <v>370</v>
      </c>
    </row>
    <row r="110" spans="1:11" x14ac:dyDescent="0.3">
      <c r="A110" t="s">
        <v>117</v>
      </c>
      <c r="B110" t="s">
        <v>20</v>
      </c>
      <c r="C110" t="s">
        <v>12</v>
      </c>
      <c r="D110">
        <v>22</v>
      </c>
      <c r="E110" t="s">
        <v>17</v>
      </c>
      <c r="F110" t="s">
        <v>18</v>
      </c>
      <c r="G110">
        <v>100</v>
      </c>
      <c r="H110">
        <v>3</v>
      </c>
      <c r="I110">
        <v>300</v>
      </c>
      <c r="J110" s="2">
        <v>45211</v>
      </c>
      <c r="K110" t="s">
        <v>373</v>
      </c>
    </row>
    <row r="111" spans="1:11" x14ac:dyDescent="0.3">
      <c r="A111" t="s">
        <v>116</v>
      </c>
      <c r="B111" t="s">
        <v>20</v>
      </c>
      <c r="C111" t="s">
        <v>29</v>
      </c>
      <c r="D111">
        <v>33</v>
      </c>
      <c r="E111" t="s">
        <v>24</v>
      </c>
      <c r="F111" t="s">
        <v>14</v>
      </c>
      <c r="G111">
        <v>1500</v>
      </c>
      <c r="H111">
        <v>3</v>
      </c>
      <c r="I111">
        <v>4500</v>
      </c>
      <c r="J111" s="2">
        <v>45103</v>
      </c>
      <c r="K111" t="s">
        <v>381</v>
      </c>
    </row>
    <row r="112" spans="1:11" x14ac:dyDescent="0.3">
      <c r="A112" t="s">
        <v>118</v>
      </c>
      <c r="B112" t="s">
        <v>20</v>
      </c>
      <c r="D112">
        <v>20</v>
      </c>
      <c r="E112" t="s">
        <v>32</v>
      </c>
      <c r="F112" t="s">
        <v>18</v>
      </c>
      <c r="G112">
        <v>62.191212249732999</v>
      </c>
      <c r="H112">
        <v>2</v>
      </c>
      <c r="I112">
        <v>60</v>
      </c>
      <c r="J112" s="2">
        <v>45072</v>
      </c>
      <c r="K112" t="s">
        <v>375</v>
      </c>
    </row>
    <row r="113" spans="1:11" x14ac:dyDescent="0.3">
      <c r="A113" t="s">
        <v>119</v>
      </c>
      <c r="B113" t="s">
        <v>11</v>
      </c>
      <c r="C113" t="s">
        <v>12</v>
      </c>
      <c r="E113" t="s">
        <v>32</v>
      </c>
      <c r="F113" t="s">
        <v>18</v>
      </c>
      <c r="G113">
        <v>30</v>
      </c>
      <c r="H113">
        <v>5</v>
      </c>
      <c r="I113">
        <v>150</v>
      </c>
      <c r="J113" s="2">
        <v>45238</v>
      </c>
      <c r="K113" t="s">
        <v>381</v>
      </c>
    </row>
    <row r="114" spans="1:11" x14ac:dyDescent="0.3">
      <c r="A114" t="s">
        <v>93</v>
      </c>
      <c r="B114" t="s">
        <v>11</v>
      </c>
      <c r="C114" t="s">
        <v>16</v>
      </c>
      <c r="D114">
        <v>54</v>
      </c>
      <c r="E114" t="s">
        <v>42</v>
      </c>
      <c r="F114" t="s">
        <v>14</v>
      </c>
      <c r="G114">
        <v>800</v>
      </c>
      <c r="H114">
        <v>3</v>
      </c>
      <c r="I114">
        <v>2400</v>
      </c>
      <c r="J114" s="2">
        <v>45267</v>
      </c>
      <c r="K114" t="s">
        <v>370</v>
      </c>
    </row>
    <row r="115" spans="1:11" x14ac:dyDescent="0.3">
      <c r="A115" t="s">
        <v>120</v>
      </c>
      <c r="B115" t="s">
        <v>11</v>
      </c>
      <c r="C115" t="s">
        <v>16</v>
      </c>
      <c r="D115">
        <v>37</v>
      </c>
      <c r="E115" t="s">
        <v>24</v>
      </c>
      <c r="F115" t="s">
        <v>14</v>
      </c>
      <c r="G115">
        <v>1500</v>
      </c>
      <c r="H115">
        <v>5</v>
      </c>
      <c r="I115">
        <v>7500</v>
      </c>
      <c r="J115" s="2">
        <v>45113</v>
      </c>
      <c r="K115" t="s">
        <v>373</v>
      </c>
    </row>
    <row r="116" spans="1:11" x14ac:dyDescent="0.3">
      <c r="A116" t="s">
        <v>15</v>
      </c>
      <c r="B116" t="s">
        <v>20</v>
      </c>
      <c r="C116" t="s">
        <v>21</v>
      </c>
      <c r="D116">
        <v>22</v>
      </c>
      <c r="E116" t="s">
        <v>24</v>
      </c>
      <c r="F116" t="s">
        <v>14</v>
      </c>
      <c r="G116">
        <v>1500</v>
      </c>
      <c r="H116">
        <v>3</v>
      </c>
      <c r="I116">
        <v>4500</v>
      </c>
      <c r="J116" s="2">
        <v>45097</v>
      </c>
      <c r="K116" t="s">
        <v>375</v>
      </c>
    </row>
    <row r="117" spans="1:11" x14ac:dyDescent="0.3">
      <c r="A117" t="s">
        <v>23</v>
      </c>
      <c r="B117" t="s">
        <v>11</v>
      </c>
      <c r="D117">
        <v>65</v>
      </c>
      <c r="E117" t="s">
        <v>17</v>
      </c>
      <c r="F117" t="s">
        <v>18</v>
      </c>
      <c r="G117">
        <v>100</v>
      </c>
      <c r="H117">
        <v>1</v>
      </c>
      <c r="I117">
        <v>100</v>
      </c>
      <c r="J117" s="2">
        <v>44968</v>
      </c>
      <c r="K117" t="s">
        <v>370</v>
      </c>
    </row>
    <row r="118" spans="1:11" x14ac:dyDescent="0.3">
      <c r="A118" t="s">
        <v>121</v>
      </c>
      <c r="B118" t="s">
        <v>20</v>
      </c>
      <c r="C118" t="s">
        <v>12</v>
      </c>
      <c r="E118" t="s">
        <v>17</v>
      </c>
      <c r="F118" t="s">
        <v>18</v>
      </c>
      <c r="G118">
        <v>100</v>
      </c>
      <c r="H118">
        <v>5</v>
      </c>
      <c r="I118">
        <v>500</v>
      </c>
      <c r="J118" s="2">
        <v>44959</v>
      </c>
      <c r="K118" t="s">
        <v>373</v>
      </c>
    </row>
    <row r="119" spans="1:11" x14ac:dyDescent="0.3">
      <c r="A119" t="s">
        <v>122</v>
      </c>
      <c r="B119" t="s">
        <v>11</v>
      </c>
      <c r="C119" t="s">
        <v>16</v>
      </c>
      <c r="D119">
        <v>58</v>
      </c>
      <c r="E119" t="s">
        <v>17</v>
      </c>
      <c r="F119" t="s">
        <v>18</v>
      </c>
      <c r="G119">
        <v>100</v>
      </c>
      <c r="H119">
        <v>3</v>
      </c>
      <c r="I119">
        <v>300</v>
      </c>
      <c r="J119" s="2">
        <v>45007</v>
      </c>
      <c r="K119" t="s">
        <v>375</v>
      </c>
    </row>
    <row r="120" spans="1:11" x14ac:dyDescent="0.3">
      <c r="A120" t="s">
        <v>22</v>
      </c>
      <c r="B120" t="s">
        <v>11</v>
      </c>
      <c r="C120" t="s">
        <v>29</v>
      </c>
      <c r="D120">
        <v>23</v>
      </c>
      <c r="E120" t="s">
        <v>42</v>
      </c>
      <c r="F120" t="s">
        <v>14</v>
      </c>
      <c r="G120">
        <v>800</v>
      </c>
      <c r="H120">
        <v>1</v>
      </c>
      <c r="I120">
        <v>800</v>
      </c>
      <c r="J120" s="2">
        <v>45179</v>
      </c>
      <c r="K120" t="s">
        <v>375</v>
      </c>
    </row>
    <row r="121" spans="1:11" x14ac:dyDescent="0.3">
      <c r="A121" t="s">
        <v>123</v>
      </c>
      <c r="B121" t="s">
        <v>20</v>
      </c>
      <c r="C121" t="s">
        <v>21</v>
      </c>
      <c r="D121">
        <v>38</v>
      </c>
      <c r="E121" t="s">
        <v>32</v>
      </c>
      <c r="F121" t="s">
        <v>18</v>
      </c>
      <c r="G121">
        <v>30</v>
      </c>
      <c r="H121">
        <v>1</v>
      </c>
      <c r="I121">
        <v>30</v>
      </c>
      <c r="J121" s="2">
        <v>44979</v>
      </c>
      <c r="K121" t="s">
        <v>373</v>
      </c>
    </row>
    <row r="122" spans="1:11" x14ac:dyDescent="0.3">
      <c r="A122" t="s">
        <v>124</v>
      </c>
      <c r="B122" t="s">
        <v>11</v>
      </c>
      <c r="C122" t="s">
        <v>12</v>
      </c>
      <c r="D122">
        <v>19</v>
      </c>
      <c r="E122" t="s">
        <v>42</v>
      </c>
      <c r="F122" t="s">
        <v>14</v>
      </c>
      <c r="G122">
        <v>800</v>
      </c>
      <c r="H122">
        <v>3</v>
      </c>
      <c r="I122">
        <v>2400</v>
      </c>
      <c r="J122" s="2">
        <v>45066</v>
      </c>
      <c r="K122" t="s">
        <v>375</v>
      </c>
    </row>
    <row r="123" spans="1:11" x14ac:dyDescent="0.3">
      <c r="A123" t="s">
        <v>40</v>
      </c>
      <c r="B123" t="s">
        <v>11</v>
      </c>
      <c r="C123" t="s">
        <v>21</v>
      </c>
      <c r="E123" t="s">
        <v>26</v>
      </c>
      <c r="F123" t="s">
        <v>27</v>
      </c>
      <c r="G123">
        <v>200</v>
      </c>
      <c r="H123">
        <v>2</v>
      </c>
      <c r="I123">
        <v>400</v>
      </c>
      <c r="J123" s="2">
        <v>45103</v>
      </c>
      <c r="K123" t="s">
        <v>370</v>
      </c>
    </row>
    <row r="124" spans="1:11" x14ac:dyDescent="0.3">
      <c r="A124" t="s">
        <v>125</v>
      </c>
      <c r="B124" t="s">
        <v>20</v>
      </c>
      <c r="C124" t="s">
        <v>21</v>
      </c>
      <c r="E124" t="s">
        <v>13</v>
      </c>
      <c r="F124" t="s">
        <v>14</v>
      </c>
      <c r="G124">
        <v>300</v>
      </c>
      <c r="H124">
        <v>2</v>
      </c>
      <c r="I124">
        <v>600</v>
      </c>
      <c r="J124" s="2">
        <v>45028</v>
      </c>
      <c r="K124" t="s">
        <v>373</v>
      </c>
    </row>
    <row r="125" spans="1:11" x14ac:dyDescent="0.3">
      <c r="A125" t="s">
        <v>126</v>
      </c>
      <c r="B125" t="s">
        <v>11</v>
      </c>
      <c r="C125" t="s">
        <v>12</v>
      </c>
      <c r="D125">
        <v>61</v>
      </c>
      <c r="E125" t="s">
        <v>13</v>
      </c>
      <c r="F125" t="s">
        <v>14</v>
      </c>
      <c r="G125">
        <v>300</v>
      </c>
      <c r="H125">
        <v>2</v>
      </c>
      <c r="I125">
        <v>600</v>
      </c>
      <c r="J125" s="2">
        <v>45209</v>
      </c>
      <c r="K125" t="s">
        <v>381</v>
      </c>
    </row>
    <row r="126" spans="1:11" x14ac:dyDescent="0.3">
      <c r="A126" t="s">
        <v>121</v>
      </c>
      <c r="B126" t="s">
        <v>20</v>
      </c>
      <c r="C126" t="s">
        <v>12</v>
      </c>
      <c r="D126">
        <v>18</v>
      </c>
      <c r="E126" t="s">
        <v>31</v>
      </c>
      <c r="F126" t="s">
        <v>18</v>
      </c>
      <c r="G126">
        <v>50</v>
      </c>
      <c r="H126">
        <v>3</v>
      </c>
      <c r="I126">
        <v>150</v>
      </c>
      <c r="J126" s="2">
        <v>45075</v>
      </c>
      <c r="K126" t="s">
        <v>370</v>
      </c>
    </row>
    <row r="127" spans="1:11" x14ac:dyDescent="0.3">
      <c r="A127" t="s">
        <v>127</v>
      </c>
      <c r="B127" t="s">
        <v>11</v>
      </c>
      <c r="C127" t="s">
        <v>12</v>
      </c>
      <c r="D127">
        <v>29</v>
      </c>
      <c r="E127" t="s">
        <v>24</v>
      </c>
      <c r="F127" t="s">
        <v>14</v>
      </c>
      <c r="G127">
        <v>1500</v>
      </c>
      <c r="H127">
        <v>3</v>
      </c>
      <c r="I127">
        <v>4500</v>
      </c>
      <c r="J127" s="2">
        <v>45078</v>
      </c>
      <c r="K127" t="s">
        <v>370</v>
      </c>
    </row>
    <row r="128" spans="1:11" x14ac:dyDescent="0.3">
      <c r="A128" t="s">
        <v>128</v>
      </c>
      <c r="B128" t="s">
        <v>11</v>
      </c>
      <c r="D128">
        <v>50</v>
      </c>
      <c r="E128" t="s">
        <v>26</v>
      </c>
      <c r="F128" t="s">
        <v>27</v>
      </c>
      <c r="G128">
        <v>200</v>
      </c>
      <c r="H128">
        <v>5</v>
      </c>
      <c r="I128">
        <v>1000</v>
      </c>
      <c r="J128" s="2">
        <v>45160</v>
      </c>
      <c r="K128" t="s">
        <v>373</v>
      </c>
    </row>
    <row r="129" spans="1:11" x14ac:dyDescent="0.3">
      <c r="A129" t="s">
        <v>129</v>
      </c>
      <c r="B129" t="s">
        <v>20</v>
      </c>
      <c r="C129" t="s">
        <v>12</v>
      </c>
      <c r="D129">
        <v>38</v>
      </c>
      <c r="E129" t="s">
        <v>24</v>
      </c>
      <c r="F129" t="s">
        <v>14</v>
      </c>
      <c r="G129">
        <v>1500</v>
      </c>
      <c r="H129">
        <v>3</v>
      </c>
      <c r="I129">
        <v>4500</v>
      </c>
      <c r="J129" s="2">
        <v>45056</v>
      </c>
      <c r="K129" t="s">
        <v>373</v>
      </c>
    </row>
    <row r="130" spans="1:11" x14ac:dyDescent="0.3">
      <c r="A130" t="s">
        <v>130</v>
      </c>
      <c r="B130" t="s">
        <v>11</v>
      </c>
      <c r="C130" t="s">
        <v>12</v>
      </c>
      <c r="D130">
        <v>63</v>
      </c>
      <c r="E130" t="s">
        <v>42</v>
      </c>
      <c r="F130" t="s">
        <v>14</v>
      </c>
      <c r="G130">
        <v>800</v>
      </c>
      <c r="H130">
        <v>5</v>
      </c>
      <c r="I130">
        <v>4000</v>
      </c>
      <c r="J130" s="2">
        <v>45236</v>
      </c>
      <c r="K130" t="s">
        <v>375</v>
      </c>
    </row>
    <row r="131" spans="1:11" x14ac:dyDescent="0.3">
      <c r="A131" t="s">
        <v>44</v>
      </c>
      <c r="B131" t="s">
        <v>20</v>
      </c>
      <c r="C131" t="s">
        <v>12</v>
      </c>
      <c r="D131">
        <v>59</v>
      </c>
      <c r="E131" t="s">
        <v>24</v>
      </c>
      <c r="F131" t="s">
        <v>14</v>
      </c>
      <c r="G131">
        <v>1500</v>
      </c>
      <c r="H131">
        <v>1</v>
      </c>
      <c r="I131">
        <v>1500</v>
      </c>
      <c r="J131" s="2">
        <v>44963</v>
      </c>
      <c r="K131" t="s">
        <v>370</v>
      </c>
    </row>
    <row r="132" spans="1:11" x14ac:dyDescent="0.3">
      <c r="A132" t="s">
        <v>131</v>
      </c>
      <c r="B132" t="s">
        <v>20</v>
      </c>
      <c r="C132" t="s">
        <v>12</v>
      </c>
      <c r="E132" t="s">
        <v>24</v>
      </c>
      <c r="F132" t="s">
        <v>14</v>
      </c>
      <c r="G132">
        <v>1500</v>
      </c>
      <c r="H132">
        <v>5</v>
      </c>
      <c r="I132">
        <v>7500</v>
      </c>
      <c r="J132" s="2">
        <v>45248</v>
      </c>
      <c r="K132" t="s">
        <v>375</v>
      </c>
    </row>
    <row r="133" spans="1:11" x14ac:dyDescent="0.3">
      <c r="A133" t="s">
        <v>132</v>
      </c>
      <c r="B133" t="s">
        <v>11</v>
      </c>
      <c r="C133" t="s">
        <v>12</v>
      </c>
      <c r="D133">
        <v>47</v>
      </c>
      <c r="E133" t="s">
        <v>42</v>
      </c>
      <c r="F133" t="s">
        <v>14</v>
      </c>
      <c r="G133">
        <v>800</v>
      </c>
      <c r="H133">
        <v>1</v>
      </c>
      <c r="I133">
        <v>800</v>
      </c>
      <c r="J133" s="2">
        <v>44939</v>
      </c>
      <c r="K133" t="s">
        <v>370</v>
      </c>
    </row>
    <row r="134" spans="1:11" x14ac:dyDescent="0.3">
      <c r="A134" t="s">
        <v>133</v>
      </c>
      <c r="B134" t="s">
        <v>20</v>
      </c>
      <c r="E134" t="s">
        <v>26</v>
      </c>
      <c r="F134" t="s">
        <v>27</v>
      </c>
      <c r="G134">
        <v>200</v>
      </c>
      <c r="H134">
        <v>1</v>
      </c>
      <c r="I134">
        <v>200</v>
      </c>
      <c r="J134" s="2">
        <v>45037</v>
      </c>
      <c r="K134" t="s">
        <v>370</v>
      </c>
    </row>
    <row r="135" spans="1:11" x14ac:dyDescent="0.3">
      <c r="A135" t="s">
        <v>134</v>
      </c>
      <c r="B135" t="s">
        <v>20</v>
      </c>
      <c r="C135" t="s">
        <v>12</v>
      </c>
      <c r="D135">
        <v>33</v>
      </c>
      <c r="E135" t="s">
        <v>31</v>
      </c>
      <c r="F135" t="s">
        <v>18</v>
      </c>
      <c r="G135">
        <v>50</v>
      </c>
      <c r="H135">
        <v>1</v>
      </c>
      <c r="I135">
        <v>50</v>
      </c>
      <c r="J135" s="2">
        <v>45140</v>
      </c>
      <c r="K135" t="s">
        <v>381</v>
      </c>
    </row>
    <row r="136" spans="1:11" x14ac:dyDescent="0.3">
      <c r="A136" t="s">
        <v>135</v>
      </c>
      <c r="B136" t="s">
        <v>20</v>
      </c>
      <c r="C136" t="s">
        <v>12</v>
      </c>
      <c r="D136">
        <v>41</v>
      </c>
      <c r="E136" t="s">
        <v>24</v>
      </c>
      <c r="F136" t="s">
        <v>14</v>
      </c>
      <c r="G136">
        <v>1500</v>
      </c>
      <c r="H136">
        <v>2</v>
      </c>
      <c r="I136">
        <v>3000</v>
      </c>
      <c r="J136" s="2">
        <v>44959</v>
      </c>
      <c r="K136" t="s">
        <v>370</v>
      </c>
    </row>
    <row r="137" spans="1:11" x14ac:dyDescent="0.3">
      <c r="A137" t="s">
        <v>136</v>
      </c>
      <c r="B137" t="s">
        <v>11</v>
      </c>
      <c r="C137" t="s">
        <v>12</v>
      </c>
      <c r="D137">
        <v>46</v>
      </c>
      <c r="E137" t="s">
        <v>31</v>
      </c>
      <c r="F137" t="s">
        <v>18</v>
      </c>
      <c r="G137">
        <v>50</v>
      </c>
      <c r="H137">
        <v>3</v>
      </c>
      <c r="I137">
        <v>150</v>
      </c>
      <c r="J137" s="2">
        <v>45001</v>
      </c>
      <c r="K137" t="s">
        <v>375</v>
      </c>
    </row>
    <row r="138" spans="1:11" x14ac:dyDescent="0.3">
      <c r="A138" t="s">
        <v>34</v>
      </c>
      <c r="B138" t="s">
        <v>20</v>
      </c>
      <c r="C138" t="s">
        <v>12</v>
      </c>
      <c r="D138">
        <v>49</v>
      </c>
      <c r="E138" t="s">
        <v>32</v>
      </c>
      <c r="F138" t="s">
        <v>18</v>
      </c>
      <c r="G138">
        <v>30</v>
      </c>
      <c r="H138">
        <v>2</v>
      </c>
      <c r="I138">
        <v>60</v>
      </c>
      <c r="J138" s="2">
        <v>45233</v>
      </c>
      <c r="K138" t="s">
        <v>375</v>
      </c>
    </row>
    <row r="139" spans="1:11" x14ac:dyDescent="0.3">
      <c r="A139" t="s">
        <v>137</v>
      </c>
      <c r="B139" t="s">
        <v>20</v>
      </c>
      <c r="C139" t="s">
        <v>16</v>
      </c>
      <c r="D139">
        <v>54</v>
      </c>
      <c r="E139" t="s">
        <v>32</v>
      </c>
      <c r="F139" t="s">
        <v>18</v>
      </c>
      <c r="G139">
        <v>30</v>
      </c>
      <c r="H139">
        <v>2</v>
      </c>
      <c r="I139">
        <v>60</v>
      </c>
      <c r="J139" s="2">
        <v>45081</v>
      </c>
      <c r="K139" t="s">
        <v>381</v>
      </c>
    </row>
    <row r="140" spans="1:11" x14ac:dyDescent="0.3">
      <c r="A140" t="s">
        <v>133</v>
      </c>
      <c r="B140" t="s">
        <v>11</v>
      </c>
      <c r="C140" t="s">
        <v>16</v>
      </c>
      <c r="D140">
        <v>30</v>
      </c>
      <c r="E140" t="s">
        <v>24</v>
      </c>
      <c r="F140" t="s">
        <v>14</v>
      </c>
      <c r="G140">
        <v>1500</v>
      </c>
      <c r="H140">
        <v>1</v>
      </c>
      <c r="I140">
        <v>1500</v>
      </c>
      <c r="J140" s="2">
        <v>45264</v>
      </c>
      <c r="K140" t="s">
        <v>375</v>
      </c>
    </row>
    <row r="141" spans="1:11" x14ac:dyDescent="0.3">
      <c r="A141" t="s">
        <v>104</v>
      </c>
      <c r="B141" t="s">
        <v>11</v>
      </c>
      <c r="C141" t="s">
        <v>29</v>
      </c>
      <c r="D141">
        <v>30</v>
      </c>
      <c r="E141" t="s">
        <v>24</v>
      </c>
      <c r="F141" t="s">
        <v>14</v>
      </c>
      <c r="G141">
        <v>1500</v>
      </c>
      <c r="H141">
        <v>5</v>
      </c>
      <c r="I141">
        <v>7500</v>
      </c>
      <c r="J141" s="2">
        <v>45195</v>
      </c>
      <c r="K141" t="s">
        <v>373</v>
      </c>
    </row>
    <row r="142" spans="1:11" x14ac:dyDescent="0.3">
      <c r="A142" t="s">
        <v>138</v>
      </c>
      <c r="B142" t="s">
        <v>11</v>
      </c>
      <c r="C142" t="s">
        <v>16</v>
      </c>
      <c r="D142">
        <v>37</v>
      </c>
      <c r="E142" t="s">
        <v>24</v>
      </c>
      <c r="F142" t="s">
        <v>14</v>
      </c>
      <c r="G142">
        <v>1500</v>
      </c>
      <c r="H142">
        <v>2</v>
      </c>
      <c r="I142">
        <v>3000</v>
      </c>
      <c r="J142" s="2">
        <v>44944</v>
      </c>
      <c r="K142" t="s">
        <v>381</v>
      </c>
    </row>
    <row r="143" spans="1:11" x14ac:dyDescent="0.3">
      <c r="A143" t="s">
        <v>139</v>
      </c>
      <c r="B143" t="s">
        <v>20</v>
      </c>
      <c r="C143" t="s">
        <v>29</v>
      </c>
      <c r="D143">
        <v>27</v>
      </c>
      <c r="E143" t="s">
        <v>13</v>
      </c>
      <c r="F143" t="s">
        <v>14</v>
      </c>
      <c r="G143">
        <v>300</v>
      </c>
      <c r="H143">
        <v>1</v>
      </c>
      <c r="I143">
        <v>300</v>
      </c>
      <c r="J143" s="2">
        <v>45253</v>
      </c>
      <c r="K143" t="s">
        <v>375</v>
      </c>
    </row>
    <row r="144" spans="1:11" x14ac:dyDescent="0.3">
      <c r="A144" t="s">
        <v>129</v>
      </c>
      <c r="B144" t="s">
        <v>20</v>
      </c>
      <c r="C144" t="s">
        <v>16</v>
      </c>
      <c r="D144">
        <v>38</v>
      </c>
      <c r="E144" t="s">
        <v>26</v>
      </c>
      <c r="F144" t="s">
        <v>27</v>
      </c>
      <c r="G144">
        <v>200</v>
      </c>
      <c r="H144">
        <v>4</v>
      </c>
      <c r="I144">
        <v>800</v>
      </c>
      <c r="J144" s="2">
        <v>45049</v>
      </c>
      <c r="K144" t="s">
        <v>375</v>
      </c>
    </row>
    <row r="145" spans="1:11" x14ac:dyDescent="0.3">
      <c r="A145" t="s">
        <v>140</v>
      </c>
      <c r="B145" t="s">
        <v>11</v>
      </c>
      <c r="C145" t="s">
        <v>16</v>
      </c>
      <c r="D145">
        <v>44</v>
      </c>
      <c r="E145" t="s">
        <v>31</v>
      </c>
      <c r="F145" t="s">
        <v>18</v>
      </c>
      <c r="G145">
        <v>50</v>
      </c>
      <c r="H145">
        <v>4</v>
      </c>
      <c r="I145">
        <v>200</v>
      </c>
      <c r="J145" s="2">
        <v>45165</v>
      </c>
      <c r="K145" t="s">
        <v>373</v>
      </c>
    </row>
    <row r="146" spans="1:11" x14ac:dyDescent="0.3">
      <c r="A146" t="s">
        <v>64</v>
      </c>
      <c r="B146" t="s">
        <v>11</v>
      </c>
      <c r="C146" t="s">
        <v>16</v>
      </c>
      <c r="D146">
        <v>58</v>
      </c>
      <c r="E146" t="s">
        <v>17</v>
      </c>
      <c r="F146" t="s">
        <v>18</v>
      </c>
      <c r="G146">
        <v>100</v>
      </c>
      <c r="H146">
        <v>5</v>
      </c>
      <c r="I146">
        <v>500</v>
      </c>
      <c r="J146" s="2">
        <v>44942</v>
      </c>
      <c r="K146" t="s">
        <v>381</v>
      </c>
    </row>
    <row r="147" spans="1:11" x14ac:dyDescent="0.3">
      <c r="A147" t="s">
        <v>51</v>
      </c>
      <c r="B147" t="s">
        <v>20</v>
      </c>
      <c r="C147" t="s">
        <v>29</v>
      </c>
      <c r="D147">
        <v>25</v>
      </c>
      <c r="E147" t="s">
        <v>26</v>
      </c>
      <c r="F147" t="s">
        <v>27</v>
      </c>
      <c r="G147">
        <v>200</v>
      </c>
      <c r="H147">
        <v>5</v>
      </c>
      <c r="I147">
        <v>1000</v>
      </c>
      <c r="J147" s="2">
        <v>45132</v>
      </c>
      <c r="K147" t="s">
        <v>373</v>
      </c>
    </row>
    <row r="148" spans="1:11" x14ac:dyDescent="0.3">
      <c r="A148" t="s">
        <v>141</v>
      </c>
      <c r="B148" t="s">
        <v>11</v>
      </c>
      <c r="C148" t="s">
        <v>12</v>
      </c>
      <c r="D148">
        <v>35</v>
      </c>
      <c r="E148" t="s">
        <v>26</v>
      </c>
      <c r="F148" t="s">
        <v>27</v>
      </c>
      <c r="G148">
        <v>200</v>
      </c>
      <c r="H148">
        <v>1</v>
      </c>
      <c r="I148">
        <v>200</v>
      </c>
      <c r="J148" s="2">
        <v>45248</v>
      </c>
      <c r="K148" t="s">
        <v>381</v>
      </c>
    </row>
    <row r="149" spans="1:11" x14ac:dyDescent="0.3">
      <c r="A149" t="s">
        <v>142</v>
      </c>
      <c r="B149" t="s">
        <v>11</v>
      </c>
      <c r="C149" t="s">
        <v>29</v>
      </c>
      <c r="E149" t="s">
        <v>17</v>
      </c>
      <c r="F149" t="s">
        <v>18</v>
      </c>
      <c r="G149">
        <v>100</v>
      </c>
      <c r="H149">
        <v>3</v>
      </c>
      <c r="I149">
        <v>300</v>
      </c>
      <c r="J149" s="2">
        <v>45267</v>
      </c>
      <c r="K149" t="s">
        <v>381</v>
      </c>
    </row>
    <row r="150" spans="1:11" x14ac:dyDescent="0.3">
      <c r="A150" t="s">
        <v>94</v>
      </c>
      <c r="B150" t="s">
        <v>11</v>
      </c>
      <c r="C150" t="s">
        <v>16</v>
      </c>
      <c r="D150">
        <v>63</v>
      </c>
      <c r="E150" t="s">
        <v>32</v>
      </c>
      <c r="F150" t="s">
        <v>18</v>
      </c>
      <c r="G150">
        <v>30</v>
      </c>
      <c r="H150">
        <v>3</v>
      </c>
      <c r="I150">
        <v>90</v>
      </c>
      <c r="J150" s="2">
        <v>45061</v>
      </c>
      <c r="K150" t="s">
        <v>370</v>
      </c>
    </row>
    <row r="151" spans="1:11" x14ac:dyDescent="0.3">
      <c r="A151" t="s">
        <v>143</v>
      </c>
      <c r="B151" t="s">
        <v>20</v>
      </c>
      <c r="C151" t="s">
        <v>21</v>
      </c>
      <c r="D151">
        <v>39</v>
      </c>
      <c r="E151" t="s">
        <v>13</v>
      </c>
      <c r="F151" t="s">
        <v>14</v>
      </c>
      <c r="G151">
        <v>300</v>
      </c>
      <c r="H151">
        <v>4</v>
      </c>
      <c r="I151">
        <v>1200</v>
      </c>
      <c r="J151" s="2">
        <v>45062</v>
      </c>
      <c r="K151" t="s">
        <v>375</v>
      </c>
    </row>
    <row r="152" spans="1:11" x14ac:dyDescent="0.3">
      <c r="A152" t="s">
        <v>144</v>
      </c>
      <c r="B152" t="s">
        <v>11</v>
      </c>
      <c r="C152" t="s">
        <v>21</v>
      </c>
      <c r="D152">
        <v>29</v>
      </c>
      <c r="E152" t="s">
        <v>26</v>
      </c>
      <c r="F152" t="s">
        <v>27</v>
      </c>
      <c r="G152">
        <v>200</v>
      </c>
      <c r="H152">
        <v>3</v>
      </c>
      <c r="I152">
        <v>600</v>
      </c>
      <c r="J152" s="2">
        <v>45003</v>
      </c>
      <c r="K152" t="s">
        <v>375</v>
      </c>
    </row>
    <row r="153" spans="1:11" x14ac:dyDescent="0.3">
      <c r="A153" t="s">
        <v>145</v>
      </c>
      <c r="B153" t="s">
        <v>11</v>
      </c>
      <c r="C153" t="s">
        <v>29</v>
      </c>
      <c r="E153" t="s">
        <v>17</v>
      </c>
      <c r="F153" t="s">
        <v>18</v>
      </c>
      <c r="G153">
        <v>100</v>
      </c>
      <c r="H153">
        <v>2</v>
      </c>
      <c r="I153">
        <v>200</v>
      </c>
      <c r="J153" s="2">
        <v>44993</v>
      </c>
      <c r="K153" t="s">
        <v>370</v>
      </c>
    </row>
    <row r="154" spans="1:11" x14ac:dyDescent="0.3">
      <c r="A154" t="s">
        <v>146</v>
      </c>
      <c r="B154" t="s">
        <v>20</v>
      </c>
      <c r="C154" t="s">
        <v>12</v>
      </c>
      <c r="D154">
        <v>27</v>
      </c>
      <c r="E154" t="s">
        <v>32</v>
      </c>
      <c r="F154" t="s">
        <v>18</v>
      </c>
      <c r="G154">
        <v>30</v>
      </c>
      <c r="H154">
        <v>3</v>
      </c>
      <c r="I154">
        <v>90</v>
      </c>
      <c r="J154" s="2">
        <v>45188</v>
      </c>
      <c r="K154" t="s">
        <v>373</v>
      </c>
    </row>
    <row r="155" spans="1:11" x14ac:dyDescent="0.3">
      <c r="A155" t="s">
        <v>74</v>
      </c>
      <c r="B155" t="s">
        <v>20</v>
      </c>
      <c r="C155" t="s">
        <v>16</v>
      </c>
      <c r="D155">
        <v>42</v>
      </c>
      <c r="E155" t="s">
        <v>42</v>
      </c>
      <c r="F155" t="s">
        <v>14</v>
      </c>
      <c r="G155">
        <v>800</v>
      </c>
      <c r="H155">
        <v>2</v>
      </c>
      <c r="I155">
        <v>1600</v>
      </c>
      <c r="J155" s="2">
        <v>45194</v>
      </c>
      <c r="K155" t="s">
        <v>370</v>
      </c>
    </row>
    <row r="156" spans="1:11" x14ac:dyDescent="0.3">
      <c r="A156" t="s">
        <v>75</v>
      </c>
      <c r="B156" t="s">
        <v>11</v>
      </c>
      <c r="C156" t="s">
        <v>29</v>
      </c>
      <c r="D156">
        <v>51</v>
      </c>
      <c r="E156" t="s">
        <v>24</v>
      </c>
      <c r="F156" t="s">
        <v>14</v>
      </c>
      <c r="G156">
        <v>1500</v>
      </c>
      <c r="H156">
        <v>3</v>
      </c>
      <c r="I156">
        <v>4500</v>
      </c>
      <c r="J156" s="2">
        <v>45227</v>
      </c>
      <c r="K156" t="s">
        <v>375</v>
      </c>
    </row>
    <row r="157" spans="1:11" x14ac:dyDescent="0.3">
      <c r="A157" t="s">
        <v>146</v>
      </c>
      <c r="B157" t="s">
        <v>20</v>
      </c>
      <c r="C157" t="s">
        <v>21</v>
      </c>
      <c r="D157">
        <v>27</v>
      </c>
      <c r="E157" t="s">
        <v>13</v>
      </c>
      <c r="F157" t="s">
        <v>14</v>
      </c>
      <c r="G157">
        <v>300</v>
      </c>
      <c r="H157">
        <v>3</v>
      </c>
      <c r="I157">
        <v>900</v>
      </c>
      <c r="J157" s="2">
        <v>44978</v>
      </c>
      <c r="K157" t="s">
        <v>375</v>
      </c>
    </row>
    <row r="158" spans="1:11" x14ac:dyDescent="0.3">
      <c r="A158" t="s">
        <v>140</v>
      </c>
      <c r="B158" t="s">
        <v>20</v>
      </c>
      <c r="C158" t="s">
        <v>16</v>
      </c>
      <c r="D158">
        <v>44</v>
      </c>
      <c r="E158" t="s">
        <v>31</v>
      </c>
      <c r="F158" t="s">
        <v>18</v>
      </c>
      <c r="G158">
        <v>50</v>
      </c>
      <c r="H158">
        <v>2</v>
      </c>
      <c r="I158">
        <v>100</v>
      </c>
      <c r="J158" s="2">
        <v>45166</v>
      </c>
      <c r="K158" t="s">
        <v>370</v>
      </c>
    </row>
    <row r="159" spans="1:11" x14ac:dyDescent="0.3">
      <c r="A159" t="s">
        <v>147</v>
      </c>
      <c r="B159" t="s">
        <v>11</v>
      </c>
      <c r="C159" t="s">
        <v>29</v>
      </c>
      <c r="D159">
        <v>30</v>
      </c>
      <c r="E159" t="s">
        <v>32</v>
      </c>
      <c r="F159" t="s">
        <v>18</v>
      </c>
      <c r="G159">
        <v>30</v>
      </c>
      <c r="H159">
        <v>5</v>
      </c>
      <c r="I159">
        <v>150</v>
      </c>
      <c r="J159" s="2">
        <v>45227</v>
      </c>
      <c r="K159" t="s">
        <v>370</v>
      </c>
    </row>
    <row r="160" spans="1:11" x14ac:dyDescent="0.3">
      <c r="A160" t="s">
        <v>124</v>
      </c>
      <c r="B160" t="s">
        <v>20</v>
      </c>
      <c r="C160" t="s">
        <v>21</v>
      </c>
      <c r="E160" t="s">
        <v>13</v>
      </c>
      <c r="F160" t="s">
        <v>14</v>
      </c>
      <c r="G160">
        <v>300</v>
      </c>
      <c r="H160">
        <v>5</v>
      </c>
      <c r="I160">
        <v>1500</v>
      </c>
      <c r="J160" s="2">
        <v>45238</v>
      </c>
      <c r="K160" t="s">
        <v>370</v>
      </c>
    </row>
    <row r="161" spans="1:11" x14ac:dyDescent="0.3">
      <c r="A161" t="s">
        <v>148</v>
      </c>
      <c r="B161" t="s">
        <v>20</v>
      </c>
      <c r="C161" t="s">
        <v>29</v>
      </c>
      <c r="D161">
        <v>68</v>
      </c>
      <c r="E161" t="s">
        <v>24</v>
      </c>
      <c r="F161" t="s">
        <v>14</v>
      </c>
      <c r="G161">
        <v>1500</v>
      </c>
      <c r="H161">
        <v>1</v>
      </c>
      <c r="I161">
        <v>1500</v>
      </c>
      <c r="J161" s="2">
        <v>45053</v>
      </c>
      <c r="K161" t="s">
        <v>375</v>
      </c>
    </row>
    <row r="162" spans="1:11" x14ac:dyDescent="0.3">
      <c r="A162" t="s">
        <v>149</v>
      </c>
      <c r="B162" t="s">
        <v>20</v>
      </c>
      <c r="C162" t="s">
        <v>29</v>
      </c>
      <c r="D162">
        <v>58</v>
      </c>
      <c r="E162" t="s">
        <v>32</v>
      </c>
      <c r="F162" t="s">
        <v>18</v>
      </c>
      <c r="G162">
        <v>30</v>
      </c>
      <c r="H162">
        <v>1</v>
      </c>
      <c r="I162">
        <v>30</v>
      </c>
      <c r="J162" s="2">
        <v>45202</v>
      </c>
      <c r="K162" t="s">
        <v>370</v>
      </c>
    </row>
    <row r="163" spans="1:11" x14ac:dyDescent="0.3">
      <c r="A163" t="s">
        <v>150</v>
      </c>
      <c r="B163" t="s">
        <v>11</v>
      </c>
      <c r="C163" t="s">
        <v>21</v>
      </c>
      <c r="D163">
        <v>56</v>
      </c>
      <c r="E163" t="s">
        <v>32</v>
      </c>
      <c r="F163" t="s">
        <v>18</v>
      </c>
      <c r="G163">
        <v>30</v>
      </c>
      <c r="H163">
        <v>3</v>
      </c>
      <c r="I163">
        <v>90</v>
      </c>
      <c r="J163" s="2">
        <v>44931</v>
      </c>
      <c r="K163" t="s">
        <v>370</v>
      </c>
    </row>
    <row r="164" spans="1:11" x14ac:dyDescent="0.3">
      <c r="A164" t="s">
        <v>151</v>
      </c>
      <c r="B164" t="s">
        <v>11</v>
      </c>
      <c r="C164" t="s">
        <v>16</v>
      </c>
      <c r="D164">
        <v>59</v>
      </c>
      <c r="E164" t="s">
        <v>24</v>
      </c>
      <c r="F164" t="s">
        <v>14</v>
      </c>
      <c r="G164">
        <v>1500</v>
      </c>
      <c r="H164">
        <v>2</v>
      </c>
      <c r="I164">
        <v>3000</v>
      </c>
      <c r="J164" s="2">
        <v>45160</v>
      </c>
      <c r="K164" t="s">
        <v>373</v>
      </c>
    </row>
    <row r="165" spans="1:11" x14ac:dyDescent="0.3">
      <c r="A165" t="s">
        <v>89</v>
      </c>
      <c r="B165" t="s">
        <v>20</v>
      </c>
      <c r="C165" t="s">
        <v>29</v>
      </c>
      <c r="D165">
        <v>21</v>
      </c>
      <c r="E165" t="s">
        <v>42</v>
      </c>
      <c r="F165" t="s">
        <v>14</v>
      </c>
      <c r="G165">
        <v>800</v>
      </c>
      <c r="H165">
        <v>3</v>
      </c>
      <c r="I165">
        <v>2400</v>
      </c>
      <c r="J165" s="2">
        <v>45237</v>
      </c>
      <c r="K165" t="s">
        <v>370</v>
      </c>
    </row>
    <row r="166" spans="1:11" x14ac:dyDescent="0.3">
      <c r="A166" t="s">
        <v>74</v>
      </c>
      <c r="B166" t="s">
        <v>20</v>
      </c>
      <c r="C166" t="s">
        <v>16</v>
      </c>
      <c r="D166">
        <v>42</v>
      </c>
      <c r="E166" t="s">
        <v>31</v>
      </c>
      <c r="F166" t="s">
        <v>18</v>
      </c>
      <c r="G166">
        <v>50</v>
      </c>
      <c r="H166">
        <v>1</v>
      </c>
      <c r="I166">
        <v>50</v>
      </c>
      <c r="J166" s="2">
        <v>45101</v>
      </c>
      <c r="K166" t="s">
        <v>375</v>
      </c>
    </row>
    <row r="167" spans="1:11" x14ac:dyDescent="0.3">
      <c r="A167" t="s">
        <v>152</v>
      </c>
      <c r="B167" t="s">
        <v>20</v>
      </c>
      <c r="D167">
        <v>36</v>
      </c>
      <c r="E167" t="s">
        <v>31</v>
      </c>
      <c r="F167" t="s">
        <v>18</v>
      </c>
      <c r="G167">
        <v>50</v>
      </c>
      <c r="H167">
        <v>5</v>
      </c>
      <c r="I167">
        <v>250</v>
      </c>
      <c r="J167" s="2">
        <v>45083</v>
      </c>
      <c r="K167" t="s">
        <v>373</v>
      </c>
    </row>
    <row r="168" spans="1:11" x14ac:dyDescent="0.3">
      <c r="A168" t="s">
        <v>110</v>
      </c>
      <c r="B168" t="s">
        <v>11</v>
      </c>
      <c r="C168" t="s">
        <v>21</v>
      </c>
      <c r="D168">
        <v>25</v>
      </c>
      <c r="E168" t="s">
        <v>32</v>
      </c>
      <c r="F168" t="s">
        <v>18</v>
      </c>
      <c r="G168">
        <v>30</v>
      </c>
      <c r="H168">
        <v>4</v>
      </c>
      <c r="I168">
        <v>120</v>
      </c>
      <c r="J168" s="2">
        <v>45106</v>
      </c>
      <c r="K168" t="s">
        <v>381</v>
      </c>
    </row>
    <row r="169" spans="1:11" x14ac:dyDescent="0.3">
      <c r="A169" t="s">
        <v>36</v>
      </c>
      <c r="B169" t="s">
        <v>20</v>
      </c>
      <c r="C169" t="s">
        <v>21</v>
      </c>
      <c r="D169">
        <v>41</v>
      </c>
      <c r="E169" t="s">
        <v>42</v>
      </c>
      <c r="F169" t="s">
        <v>14</v>
      </c>
      <c r="G169">
        <v>800</v>
      </c>
      <c r="H169">
        <v>4</v>
      </c>
      <c r="I169">
        <v>3200</v>
      </c>
      <c r="J169" s="2">
        <v>44944</v>
      </c>
      <c r="K169" t="s">
        <v>375</v>
      </c>
    </row>
    <row r="170" spans="1:11" x14ac:dyDescent="0.3">
      <c r="A170" t="s">
        <v>87</v>
      </c>
      <c r="B170" t="s">
        <v>11</v>
      </c>
      <c r="C170" t="s">
        <v>12</v>
      </c>
      <c r="D170">
        <v>41</v>
      </c>
      <c r="E170" t="s">
        <v>17</v>
      </c>
      <c r="F170" t="s">
        <v>18</v>
      </c>
      <c r="G170">
        <v>100</v>
      </c>
      <c r="H170">
        <v>5</v>
      </c>
      <c r="I170">
        <v>500</v>
      </c>
      <c r="J170" s="2">
        <v>44989</v>
      </c>
      <c r="K170" t="s">
        <v>375</v>
      </c>
    </row>
    <row r="171" spans="1:11" x14ac:dyDescent="0.3">
      <c r="A171" t="s">
        <v>132</v>
      </c>
      <c r="B171" t="s">
        <v>20</v>
      </c>
      <c r="C171" t="s">
        <v>29</v>
      </c>
      <c r="D171">
        <v>47</v>
      </c>
      <c r="E171" t="s">
        <v>24</v>
      </c>
      <c r="F171" t="s">
        <v>14</v>
      </c>
      <c r="G171">
        <v>1500</v>
      </c>
      <c r="H171">
        <v>3</v>
      </c>
      <c r="I171">
        <v>4500</v>
      </c>
      <c r="J171" s="2">
        <v>45180</v>
      </c>
      <c r="K171" t="s">
        <v>381</v>
      </c>
    </row>
    <row r="172" spans="1:11" x14ac:dyDescent="0.3">
      <c r="A172" t="s">
        <v>153</v>
      </c>
      <c r="B172" t="s">
        <v>11</v>
      </c>
      <c r="C172" t="s">
        <v>12</v>
      </c>
      <c r="D172">
        <v>66</v>
      </c>
      <c r="E172" t="s">
        <v>13</v>
      </c>
      <c r="F172" t="s">
        <v>14</v>
      </c>
      <c r="G172">
        <v>300</v>
      </c>
      <c r="H172">
        <v>1</v>
      </c>
      <c r="I172">
        <v>300</v>
      </c>
      <c r="J172" s="2">
        <v>44984</v>
      </c>
      <c r="K172" t="s">
        <v>375</v>
      </c>
    </row>
    <row r="173" spans="1:11" x14ac:dyDescent="0.3">
      <c r="A173" t="s">
        <v>74</v>
      </c>
      <c r="B173" t="s">
        <v>20</v>
      </c>
      <c r="C173" t="s">
        <v>21</v>
      </c>
      <c r="D173">
        <v>42</v>
      </c>
      <c r="E173" t="s">
        <v>13</v>
      </c>
      <c r="F173" t="s">
        <v>14</v>
      </c>
      <c r="G173">
        <v>300</v>
      </c>
      <c r="H173">
        <v>1</v>
      </c>
      <c r="I173">
        <v>300</v>
      </c>
      <c r="J173" s="2">
        <v>45246</v>
      </c>
      <c r="K173" t="s">
        <v>381</v>
      </c>
    </row>
    <row r="174" spans="1:11" x14ac:dyDescent="0.3">
      <c r="A174" t="s">
        <v>154</v>
      </c>
      <c r="B174" t="s">
        <v>11</v>
      </c>
      <c r="C174" t="s">
        <v>21</v>
      </c>
      <c r="D174">
        <v>53</v>
      </c>
      <c r="E174" t="s">
        <v>42</v>
      </c>
      <c r="F174" t="s">
        <v>14</v>
      </c>
      <c r="G174">
        <v>800</v>
      </c>
      <c r="H174">
        <v>2</v>
      </c>
      <c r="I174">
        <v>1600</v>
      </c>
      <c r="J174" s="2">
        <v>45126</v>
      </c>
      <c r="K174" t="s">
        <v>381</v>
      </c>
    </row>
    <row r="175" spans="1:11" x14ac:dyDescent="0.3">
      <c r="A175" t="s">
        <v>155</v>
      </c>
      <c r="B175" t="s">
        <v>11</v>
      </c>
      <c r="C175" t="s">
        <v>16</v>
      </c>
      <c r="D175">
        <v>43</v>
      </c>
      <c r="E175" t="s">
        <v>17</v>
      </c>
      <c r="F175" t="s">
        <v>18</v>
      </c>
      <c r="G175">
        <v>100</v>
      </c>
      <c r="H175">
        <v>4</v>
      </c>
      <c r="I175">
        <v>400</v>
      </c>
      <c r="J175" s="2">
        <v>45040</v>
      </c>
      <c r="K175" t="s">
        <v>375</v>
      </c>
    </row>
    <row r="176" spans="1:11" x14ac:dyDescent="0.3">
      <c r="A176" t="s">
        <v>76</v>
      </c>
      <c r="B176" t="s">
        <v>11</v>
      </c>
      <c r="C176" t="s">
        <v>16</v>
      </c>
      <c r="D176">
        <v>46</v>
      </c>
      <c r="E176" t="s">
        <v>42</v>
      </c>
      <c r="F176" t="s">
        <v>14</v>
      </c>
      <c r="G176">
        <v>800</v>
      </c>
      <c r="H176">
        <v>5</v>
      </c>
      <c r="I176">
        <v>4000</v>
      </c>
      <c r="J176" s="2">
        <v>45047</v>
      </c>
      <c r="K176" t="s">
        <v>370</v>
      </c>
    </row>
    <row r="177" spans="1:11" x14ac:dyDescent="0.3">
      <c r="A177" t="s">
        <v>59</v>
      </c>
      <c r="B177" t="s">
        <v>11</v>
      </c>
      <c r="D177">
        <v>41</v>
      </c>
      <c r="E177" t="s">
        <v>31</v>
      </c>
      <c r="F177" t="s">
        <v>18</v>
      </c>
      <c r="G177">
        <v>50</v>
      </c>
      <c r="H177">
        <v>1</v>
      </c>
      <c r="I177">
        <v>50</v>
      </c>
      <c r="J177" s="2">
        <v>45103</v>
      </c>
      <c r="K177" t="s">
        <v>370</v>
      </c>
    </row>
    <row r="178" spans="1:11" x14ac:dyDescent="0.3">
      <c r="A178" t="s">
        <v>156</v>
      </c>
      <c r="B178" t="s">
        <v>20</v>
      </c>
      <c r="C178" t="s">
        <v>21</v>
      </c>
      <c r="D178">
        <v>23</v>
      </c>
      <c r="E178" t="s">
        <v>26</v>
      </c>
      <c r="F178" t="s">
        <v>27</v>
      </c>
      <c r="G178">
        <v>200</v>
      </c>
      <c r="H178">
        <v>2</v>
      </c>
      <c r="I178">
        <v>400</v>
      </c>
      <c r="J178" s="2">
        <v>45294</v>
      </c>
      <c r="K178" t="s">
        <v>381</v>
      </c>
    </row>
    <row r="179" spans="1:11" x14ac:dyDescent="0.3">
      <c r="A179" t="s">
        <v>68</v>
      </c>
      <c r="B179" t="s">
        <v>11</v>
      </c>
      <c r="C179" t="s">
        <v>21</v>
      </c>
      <c r="D179">
        <v>44</v>
      </c>
      <c r="E179" t="s">
        <v>42</v>
      </c>
      <c r="F179" t="s">
        <v>14</v>
      </c>
      <c r="G179">
        <v>800</v>
      </c>
      <c r="H179">
        <v>1</v>
      </c>
      <c r="I179">
        <v>800</v>
      </c>
      <c r="J179" s="2">
        <v>44945</v>
      </c>
      <c r="K179" t="s">
        <v>373</v>
      </c>
    </row>
    <row r="180" spans="1:11" x14ac:dyDescent="0.3">
      <c r="A180" t="s">
        <v>71</v>
      </c>
      <c r="B180" t="s">
        <v>20</v>
      </c>
      <c r="C180" t="s">
        <v>29</v>
      </c>
      <c r="D180">
        <v>67</v>
      </c>
      <c r="E180" t="s">
        <v>13</v>
      </c>
      <c r="F180" t="s">
        <v>14</v>
      </c>
      <c r="G180">
        <v>300</v>
      </c>
      <c r="H180">
        <v>1</v>
      </c>
      <c r="I180">
        <v>300</v>
      </c>
      <c r="J180" s="2">
        <v>45049</v>
      </c>
      <c r="K180" t="s">
        <v>381</v>
      </c>
    </row>
    <row r="181" spans="1:11" x14ac:dyDescent="0.3">
      <c r="A181" t="s">
        <v>157</v>
      </c>
      <c r="B181" t="s">
        <v>20</v>
      </c>
      <c r="C181" t="s">
        <v>16</v>
      </c>
      <c r="D181">
        <v>60</v>
      </c>
      <c r="E181" t="s">
        <v>13</v>
      </c>
      <c r="F181" t="s">
        <v>14</v>
      </c>
      <c r="G181">
        <v>300</v>
      </c>
      <c r="H181">
        <v>3</v>
      </c>
      <c r="I181">
        <v>900</v>
      </c>
      <c r="J181" s="2">
        <v>45128</v>
      </c>
      <c r="K181" t="s">
        <v>381</v>
      </c>
    </row>
    <row r="182" spans="1:11" x14ac:dyDescent="0.3">
      <c r="A182" t="s">
        <v>133</v>
      </c>
      <c r="B182" t="s">
        <v>20</v>
      </c>
      <c r="E182" t="s">
        <v>42</v>
      </c>
      <c r="F182" t="s">
        <v>14</v>
      </c>
      <c r="G182">
        <v>800</v>
      </c>
      <c r="H182">
        <v>4</v>
      </c>
      <c r="I182">
        <v>3200</v>
      </c>
      <c r="J182" s="2">
        <v>45210</v>
      </c>
      <c r="K182" t="s">
        <v>381</v>
      </c>
    </row>
    <row r="183" spans="1:11" x14ac:dyDescent="0.3">
      <c r="A183" t="s">
        <v>158</v>
      </c>
      <c r="B183" t="s">
        <v>20</v>
      </c>
      <c r="C183" t="s">
        <v>16</v>
      </c>
      <c r="D183">
        <v>54</v>
      </c>
      <c r="E183" t="s">
        <v>32</v>
      </c>
      <c r="F183" t="s">
        <v>18</v>
      </c>
      <c r="G183">
        <v>30</v>
      </c>
      <c r="H183">
        <v>3</v>
      </c>
      <c r="I183">
        <v>90</v>
      </c>
      <c r="J183" s="2">
        <v>45092</v>
      </c>
      <c r="K183" t="s">
        <v>370</v>
      </c>
    </row>
    <row r="184" spans="1:11" x14ac:dyDescent="0.3">
      <c r="A184" t="s">
        <v>159</v>
      </c>
      <c r="B184" t="s">
        <v>20</v>
      </c>
      <c r="C184" t="s">
        <v>21</v>
      </c>
      <c r="D184">
        <v>56</v>
      </c>
      <c r="E184" t="s">
        <v>13</v>
      </c>
      <c r="F184" t="s">
        <v>14</v>
      </c>
      <c r="G184">
        <v>300</v>
      </c>
      <c r="H184">
        <v>2</v>
      </c>
      <c r="I184">
        <v>600</v>
      </c>
      <c r="J184" s="2">
        <v>45154</v>
      </c>
      <c r="K184" t="s">
        <v>370</v>
      </c>
    </row>
    <row r="185" spans="1:11" x14ac:dyDescent="0.3">
      <c r="A185" t="s">
        <v>160</v>
      </c>
      <c r="B185" t="s">
        <v>11</v>
      </c>
      <c r="C185" t="s">
        <v>29</v>
      </c>
      <c r="D185">
        <v>32</v>
      </c>
      <c r="E185" t="s">
        <v>13</v>
      </c>
      <c r="F185" t="s">
        <v>14</v>
      </c>
      <c r="G185">
        <v>300</v>
      </c>
      <c r="H185">
        <v>1</v>
      </c>
      <c r="I185">
        <v>300</v>
      </c>
      <c r="J185" s="2">
        <v>45030</v>
      </c>
      <c r="K185" t="s">
        <v>370</v>
      </c>
    </row>
    <row r="186" spans="1:11" x14ac:dyDescent="0.3">
      <c r="A186" t="s">
        <v>161</v>
      </c>
      <c r="B186" t="s">
        <v>11</v>
      </c>
      <c r="C186" t="s">
        <v>29</v>
      </c>
      <c r="D186">
        <v>26</v>
      </c>
      <c r="E186" t="s">
        <v>17</v>
      </c>
      <c r="F186" t="s">
        <v>18</v>
      </c>
      <c r="G186">
        <v>100</v>
      </c>
      <c r="H186">
        <v>5</v>
      </c>
      <c r="I186">
        <v>500</v>
      </c>
      <c r="J186" s="2">
        <v>45223</v>
      </c>
      <c r="K186" t="s">
        <v>381</v>
      </c>
    </row>
    <row r="187" spans="1:11" x14ac:dyDescent="0.3">
      <c r="A187" t="s">
        <v>162</v>
      </c>
      <c r="B187" t="s">
        <v>11</v>
      </c>
      <c r="C187" t="s">
        <v>29</v>
      </c>
      <c r="D187">
        <v>27</v>
      </c>
      <c r="E187" t="s">
        <v>26</v>
      </c>
      <c r="F187" t="s">
        <v>27</v>
      </c>
      <c r="G187">
        <v>200</v>
      </c>
      <c r="H187">
        <v>5</v>
      </c>
      <c r="I187">
        <v>1000</v>
      </c>
      <c r="J187" s="2">
        <v>45121</v>
      </c>
      <c r="K187" t="s">
        <v>373</v>
      </c>
    </row>
    <row r="188" spans="1:11" x14ac:dyDescent="0.3">
      <c r="A188" t="s">
        <v>163</v>
      </c>
      <c r="B188" t="s">
        <v>20</v>
      </c>
      <c r="C188" t="s">
        <v>16</v>
      </c>
      <c r="D188">
        <v>65</v>
      </c>
      <c r="E188" t="s">
        <v>31</v>
      </c>
      <c r="F188" t="s">
        <v>18</v>
      </c>
      <c r="G188">
        <v>50</v>
      </c>
      <c r="H188">
        <v>3</v>
      </c>
      <c r="I188">
        <v>150</v>
      </c>
      <c r="J188" s="2">
        <v>45266</v>
      </c>
      <c r="K188" t="s">
        <v>370</v>
      </c>
    </row>
    <row r="189" spans="1:11" x14ac:dyDescent="0.3">
      <c r="A189" t="s">
        <v>164</v>
      </c>
      <c r="B189" t="s">
        <v>11</v>
      </c>
      <c r="C189" t="s">
        <v>12</v>
      </c>
      <c r="D189">
        <v>62</v>
      </c>
      <c r="E189" t="s">
        <v>26</v>
      </c>
      <c r="F189" t="s">
        <v>27</v>
      </c>
      <c r="G189">
        <v>200</v>
      </c>
      <c r="H189">
        <v>2</v>
      </c>
      <c r="I189">
        <v>400</v>
      </c>
      <c r="J189" s="2">
        <v>45169</v>
      </c>
      <c r="K189" t="s">
        <v>375</v>
      </c>
    </row>
    <row r="190" spans="1:11" x14ac:dyDescent="0.3">
      <c r="A190" t="s">
        <v>165</v>
      </c>
      <c r="B190" t="s">
        <v>11</v>
      </c>
      <c r="C190" t="s">
        <v>21</v>
      </c>
      <c r="D190">
        <v>21</v>
      </c>
      <c r="E190" t="s">
        <v>17</v>
      </c>
      <c r="F190" t="s">
        <v>18</v>
      </c>
      <c r="G190">
        <v>100</v>
      </c>
      <c r="H190">
        <v>1</v>
      </c>
      <c r="I190">
        <v>100</v>
      </c>
      <c r="J190" s="2">
        <v>45171</v>
      </c>
      <c r="K190" t="s">
        <v>375</v>
      </c>
    </row>
    <row r="191" spans="1:11" x14ac:dyDescent="0.3">
      <c r="A191" t="s">
        <v>154</v>
      </c>
      <c r="B191" t="s">
        <v>11</v>
      </c>
      <c r="C191" t="s">
        <v>12</v>
      </c>
      <c r="D191">
        <v>53</v>
      </c>
      <c r="E191" t="s">
        <v>42</v>
      </c>
      <c r="F191" t="s">
        <v>14</v>
      </c>
      <c r="G191">
        <v>800</v>
      </c>
      <c r="H191">
        <v>4</v>
      </c>
      <c r="I191">
        <v>3200</v>
      </c>
      <c r="J191" s="2">
        <v>45022</v>
      </c>
      <c r="K191" t="s">
        <v>375</v>
      </c>
    </row>
    <row r="192" spans="1:11" x14ac:dyDescent="0.3">
      <c r="A192" t="s">
        <v>166</v>
      </c>
      <c r="B192" t="s">
        <v>20</v>
      </c>
      <c r="C192" t="s">
        <v>21</v>
      </c>
      <c r="D192">
        <v>57</v>
      </c>
      <c r="E192" t="s">
        <v>42</v>
      </c>
      <c r="F192" t="s">
        <v>14</v>
      </c>
      <c r="G192">
        <v>800</v>
      </c>
      <c r="H192">
        <v>4</v>
      </c>
      <c r="I192">
        <v>3200</v>
      </c>
      <c r="J192" s="2">
        <v>45289</v>
      </c>
      <c r="K192" t="s">
        <v>381</v>
      </c>
    </row>
    <row r="193" spans="1:11" x14ac:dyDescent="0.3">
      <c r="A193" t="s">
        <v>167</v>
      </c>
      <c r="B193" t="s">
        <v>11</v>
      </c>
      <c r="C193" t="s">
        <v>12</v>
      </c>
      <c r="D193">
        <v>66</v>
      </c>
      <c r="E193" t="s">
        <v>32</v>
      </c>
      <c r="F193" t="s">
        <v>18</v>
      </c>
      <c r="G193">
        <v>30</v>
      </c>
      <c r="H193">
        <v>4</v>
      </c>
      <c r="I193">
        <v>120</v>
      </c>
      <c r="J193" s="2">
        <v>45086</v>
      </c>
      <c r="K193" t="s">
        <v>375</v>
      </c>
    </row>
    <row r="194" spans="1:11" x14ac:dyDescent="0.3">
      <c r="A194" t="s">
        <v>168</v>
      </c>
      <c r="B194" t="s">
        <v>20</v>
      </c>
      <c r="C194" t="s">
        <v>16</v>
      </c>
      <c r="E194" t="s">
        <v>42</v>
      </c>
      <c r="F194" t="s">
        <v>14</v>
      </c>
      <c r="G194">
        <v>800</v>
      </c>
      <c r="H194">
        <v>4</v>
      </c>
      <c r="I194">
        <v>3200</v>
      </c>
      <c r="J194" s="2">
        <v>45091</v>
      </c>
      <c r="K194" t="s">
        <v>381</v>
      </c>
    </row>
    <row r="195" spans="1:11" x14ac:dyDescent="0.3">
      <c r="A195" t="s">
        <v>169</v>
      </c>
      <c r="B195" t="s">
        <v>20</v>
      </c>
      <c r="C195" t="s">
        <v>16</v>
      </c>
      <c r="D195">
        <v>64</v>
      </c>
      <c r="E195" t="s">
        <v>24</v>
      </c>
      <c r="F195" t="s">
        <v>14</v>
      </c>
      <c r="G195">
        <v>1500</v>
      </c>
      <c r="H195">
        <v>1</v>
      </c>
      <c r="I195">
        <v>1500</v>
      </c>
      <c r="J195" s="2">
        <v>45121</v>
      </c>
      <c r="K195" t="s">
        <v>375</v>
      </c>
    </row>
    <row r="196" spans="1:11" x14ac:dyDescent="0.3">
      <c r="A196" t="s">
        <v>98</v>
      </c>
      <c r="B196" t="s">
        <v>11</v>
      </c>
      <c r="C196" t="s">
        <v>12</v>
      </c>
      <c r="D196">
        <v>64</v>
      </c>
      <c r="E196" t="s">
        <v>13</v>
      </c>
      <c r="F196" t="s">
        <v>14</v>
      </c>
      <c r="G196">
        <v>621.91212249732996</v>
      </c>
      <c r="H196">
        <v>5</v>
      </c>
      <c r="I196">
        <v>1500</v>
      </c>
      <c r="J196" s="2">
        <v>45039</v>
      </c>
      <c r="K196" t="s">
        <v>373</v>
      </c>
    </row>
    <row r="197" spans="1:11" x14ac:dyDescent="0.3">
      <c r="A197" t="s">
        <v>170</v>
      </c>
      <c r="B197" t="s">
        <v>20</v>
      </c>
      <c r="C197" t="s">
        <v>16</v>
      </c>
      <c r="D197">
        <v>42</v>
      </c>
      <c r="E197" t="s">
        <v>42</v>
      </c>
      <c r="F197" t="s">
        <v>14</v>
      </c>
      <c r="G197">
        <v>800</v>
      </c>
      <c r="H197">
        <v>3</v>
      </c>
      <c r="I197">
        <v>2400</v>
      </c>
      <c r="J197" s="2">
        <v>45220</v>
      </c>
      <c r="K197" t="s">
        <v>381</v>
      </c>
    </row>
    <row r="198" spans="1:11" x14ac:dyDescent="0.3">
      <c r="A198" t="s">
        <v>62</v>
      </c>
      <c r="B198" t="s">
        <v>11</v>
      </c>
      <c r="C198" t="s">
        <v>21</v>
      </c>
      <c r="D198">
        <v>43</v>
      </c>
      <c r="E198" t="s">
        <v>31</v>
      </c>
      <c r="F198" t="s">
        <v>18</v>
      </c>
      <c r="G198">
        <v>50</v>
      </c>
      <c r="H198">
        <v>2</v>
      </c>
      <c r="I198">
        <v>100</v>
      </c>
      <c r="J198" s="2">
        <v>45208</v>
      </c>
      <c r="K198" t="s">
        <v>375</v>
      </c>
    </row>
    <row r="199" spans="1:11" x14ac:dyDescent="0.3">
      <c r="A199" t="s">
        <v>171</v>
      </c>
      <c r="B199" t="s">
        <v>20</v>
      </c>
      <c r="C199" t="s">
        <v>29</v>
      </c>
      <c r="D199">
        <v>51</v>
      </c>
      <c r="E199" t="s">
        <v>17</v>
      </c>
      <c r="F199" t="s">
        <v>18</v>
      </c>
      <c r="G199">
        <v>100</v>
      </c>
      <c r="H199">
        <v>1</v>
      </c>
      <c r="I199">
        <v>100</v>
      </c>
      <c r="J199" s="2">
        <v>45073</v>
      </c>
      <c r="K199" t="s">
        <v>370</v>
      </c>
    </row>
    <row r="200" spans="1:11" x14ac:dyDescent="0.3">
      <c r="A200" t="s">
        <v>172</v>
      </c>
      <c r="B200" t="s">
        <v>20</v>
      </c>
      <c r="C200" t="s">
        <v>16</v>
      </c>
      <c r="D200">
        <v>57</v>
      </c>
      <c r="E200" t="s">
        <v>24</v>
      </c>
      <c r="F200" t="s">
        <v>14</v>
      </c>
      <c r="G200">
        <v>1500</v>
      </c>
      <c r="H200">
        <v>1</v>
      </c>
      <c r="I200">
        <v>1500</v>
      </c>
      <c r="J200" s="2">
        <v>44958</v>
      </c>
      <c r="K200" t="s">
        <v>381</v>
      </c>
    </row>
    <row r="201" spans="1:11" x14ac:dyDescent="0.3">
      <c r="A201" t="s">
        <v>173</v>
      </c>
      <c r="B201" t="s">
        <v>20</v>
      </c>
      <c r="C201" t="s">
        <v>16</v>
      </c>
      <c r="D201">
        <v>55</v>
      </c>
      <c r="E201" t="s">
        <v>32</v>
      </c>
      <c r="F201" t="s">
        <v>18</v>
      </c>
      <c r="G201">
        <v>30</v>
      </c>
      <c r="H201">
        <v>5</v>
      </c>
      <c r="I201">
        <v>150</v>
      </c>
      <c r="J201" s="2">
        <v>45053</v>
      </c>
      <c r="K201" t="s">
        <v>370</v>
      </c>
    </row>
    <row r="202" spans="1:11" x14ac:dyDescent="0.3">
      <c r="A202" t="s">
        <v>174</v>
      </c>
      <c r="B202" t="s">
        <v>20</v>
      </c>
      <c r="D202">
        <v>57</v>
      </c>
      <c r="E202" t="s">
        <v>32</v>
      </c>
      <c r="F202" t="s">
        <v>18</v>
      </c>
      <c r="G202">
        <v>30</v>
      </c>
      <c r="H202">
        <v>1</v>
      </c>
      <c r="I202">
        <v>30</v>
      </c>
      <c r="J202" s="2">
        <v>44997</v>
      </c>
      <c r="K202" t="s">
        <v>370</v>
      </c>
    </row>
    <row r="203" spans="1:11" x14ac:dyDescent="0.3">
      <c r="A203" t="s">
        <v>128</v>
      </c>
      <c r="B203" t="s">
        <v>20</v>
      </c>
      <c r="C203" t="s">
        <v>29</v>
      </c>
      <c r="D203">
        <v>50</v>
      </c>
      <c r="E203" t="s">
        <v>17</v>
      </c>
      <c r="F203" t="s">
        <v>18</v>
      </c>
      <c r="G203">
        <v>100</v>
      </c>
      <c r="H203">
        <v>5</v>
      </c>
      <c r="I203">
        <v>500</v>
      </c>
      <c r="J203" s="2">
        <v>45237</v>
      </c>
      <c r="K203" t="s">
        <v>370</v>
      </c>
    </row>
    <row r="204" spans="1:11" x14ac:dyDescent="0.3">
      <c r="A204" t="s">
        <v>86</v>
      </c>
      <c r="B204" t="s">
        <v>11</v>
      </c>
      <c r="C204" t="s">
        <v>16</v>
      </c>
      <c r="D204">
        <v>28</v>
      </c>
      <c r="E204" t="s">
        <v>31</v>
      </c>
      <c r="F204" t="s">
        <v>18</v>
      </c>
      <c r="G204">
        <v>50</v>
      </c>
      <c r="H204">
        <v>2</v>
      </c>
      <c r="I204">
        <v>100</v>
      </c>
      <c r="J204" s="2">
        <v>45183</v>
      </c>
      <c r="K204" t="s">
        <v>370</v>
      </c>
    </row>
    <row r="205" spans="1:11" x14ac:dyDescent="0.3">
      <c r="A205" t="s">
        <v>152</v>
      </c>
      <c r="B205" t="s">
        <v>20</v>
      </c>
      <c r="C205" t="s">
        <v>21</v>
      </c>
      <c r="D205">
        <v>36</v>
      </c>
      <c r="E205" t="s">
        <v>13</v>
      </c>
      <c r="F205" t="s">
        <v>14</v>
      </c>
      <c r="G205">
        <v>300</v>
      </c>
      <c r="H205">
        <v>2</v>
      </c>
      <c r="I205">
        <v>600</v>
      </c>
      <c r="J205" s="2">
        <v>45004</v>
      </c>
      <c r="K205" t="s">
        <v>375</v>
      </c>
    </row>
    <row r="206" spans="1:11" x14ac:dyDescent="0.3">
      <c r="A206" t="s">
        <v>116</v>
      </c>
      <c r="B206" t="s">
        <v>20</v>
      </c>
      <c r="C206" t="s">
        <v>21</v>
      </c>
      <c r="D206">
        <v>33</v>
      </c>
      <c r="E206" t="s">
        <v>31</v>
      </c>
      <c r="F206" t="s">
        <v>18</v>
      </c>
      <c r="G206">
        <v>50</v>
      </c>
      <c r="H206">
        <v>5</v>
      </c>
      <c r="I206">
        <v>250</v>
      </c>
      <c r="J206" s="2">
        <v>45204</v>
      </c>
      <c r="K206" t="s">
        <v>375</v>
      </c>
    </row>
    <row r="207" spans="1:11" x14ac:dyDescent="0.3">
      <c r="A207" t="s">
        <v>175</v>
      </c>
      <c r="B207" t="s">
        <v>20</v>
      </c>
      <c r="C207" t="s">
        <v>29</v>
      </c>
      <c r="E207" t="s">
        <v>24</v>
      </c>
      <c r="F207" t="s">
        <v>14</v>
      </c>
      <c r="G207">
        <v>1500</v>
      </c>
      <c r="H207">
        <v>5</v>
      </c>
      <c r="I207">
        <v>7500</v>
      </c>
      <c r="J207" s="2">
        <v>45095</v>
      </c>
      <c r="K207" t="s">
        <v>381</v>
      </c>
    </row>
    <row r="208" spans="1:11" x14ac:dyDescent="0.3">
      <c r="A208" t="s">
        <v>176</v>
      </c>
      <c r="B208" t="s">
        <v>11</v>
      </c>
      <c r="C208" t="s">
        <v>12</v>
      </c>
      <c r="D208">
        <v>54</v>
      </c>
      <c r="E208" t="s">
        <v>42</v>
      </c>
      <c r="F208" t="s">
        <v>14</v>
      </c>
      <c r="G208">
        <v>800</v>
      </c>
      <c r="H208">
        <v>2</v>
      </c>
      <c r="I208">
        <v>1600</v>
      </c>
      <c r="J208" s="2">
        <v>45001</v>
      </c>
      <c r="K208" t="s">
        <v>381</v>
      </c>
    </row>
    <row r="209" spans="1:11" x14ac:dyDescent="0.3">
      <c r="A209" t="s">
        <v>77</v>
      </c>
      <c r="B209" t="s">
        <v>11</v>
      </c>
      <c r="C209" t="s">
        <v>16</v>
      </c>
      <c r="D209">
        <v>49</v>
      </c>
      <c r="E209" t="s">
        <v>31</v>
      </c>
      <c r="F209" t="s">
        <v>18</v>
      </c>
      <c r="G209">
        <v>50</v>
      </c>
      <c r="H209">
        <v>1</v>
      </c>
      <c r="I209">
        <v>50</v>
      </c>
      <c r="J209" s="2">
        <v>45069</v>
      </c>
      <c r="K209" t="s">
        <v>381</v>
      </c>
    </row>
    <row r="210" spans="1:11" x14ac:dyDescent="0.3">
      <c r="A210" t="s">
        <v>98</v>
      </c>
      <c r="B210" t="s">
        <v>11</v>
      </c>
      <c r="C210" t="s">
        <v>12</v>
      </c>
      <c r="D210">
        <v>64</v>
      </c>
      <c r="E210" t="s">
        <v>17</v>
      </c>
      <c r="F210" t="s">
        <v>18</v>
      </c>
      <c r="G210">
        <v>100</v>
      </c>
      <c r="H210">
        <v>3</v>
      </c>
      <c r="I210">
        <v>300</v>
      </c>
      <c r="J210" s="2">
        <v>45254</v>
      </c>
      <c r="K210" t="s">
        <v>375</v>
      </c>
    </row>
    <row r="211" spans="1:11" x14ac:dyDescent="0.3">
      <c r="A211" t="s">
        <v>177</v>
      </c>
      <c r="B211" t="s">
        <v>11</v>
      </c>
      <c r="C211" t="s">
        <v>12</v>
      </c>
      <c r="E211" t="s">
        <v>13</v>
      </c>
      <c r="F211" t="s">
        <v>14</v>
      </c>
      <c r="G211">
        <v>621.91212249732996</v>
      </c>
      <c r="H211">
        <v>5</v>
      </c>
      <c r="I211">
        <v>1500</v>
      </c>
      <c r="J211" s="2">
        <v>45143</v>
      </c>
      <c r="K211" t="s">
        <v>381</v>
      </c>
    </row>
    <row r="212" spans="1:11" x14ac:dyDescent="0.3">
      <c r="A212" t="s">
        <v>178</v>
      </c>
      <c r="B212" t="s">
        <v>20</v>
      </c>
      <c r="C212" t="s">
        <v>29</v>
      </c>
      <c r="E212" t="s">
        <v>17</v>
      </c>
      <c r="F212" t="s">
        <v>18</v>
      </c>
      <c r="G212">
        <v>100</v>
      </c>
      <c r="H212">
        <v>2</v>
      </c>
      <c r="I212">
        <v>200</v>
      </c>
      <c r="J212" s="2">
        <v>44949</v>
      </c>
      <c r="K212" t="s">
        <v>370</v>
      </c>
    </row>
    <row r="213" spans="1:11" x14ac:dyDescent="0.3">
      <c r="A213" t="s">
        <v>124</v>
      </c>
      <c r="B213" t="s">
        <v>20</v>
      </c>
      <c r="C213" t="s">
        <v>16</v>
      </c>
      <c r="D213">
        <v>19</v>
      </c>
      <c r="E213" t="s">
        <v>42</v>
      </c>
      <c r="F213" t="s">
        <v>14</v>
      </c>
      <c r="G213">
        <v>800</v>
      </c>
      <c r="H213">
        <v>3</v>
      </c>
      <c r="I213">
        <v>2400</v>
      </c>
      <c r="J213" s="2">
        <v>45139</v>
      </c>
      <c r="K213" t="s">
        <v>375</v>
      </c>
    </row>
    <row r="214" spans="1:11" x14ac:dyDescent="0.3">
      <c r="A214" t="s">
        <v>179</v>
      </c>
      <c r="B214" t="s">
        <v>11</v>
      </c>
      <c r="C214" t="s">
        <v>16</v>
      </c>
      <c r="D214">
        <v>29</v>
      </c>
      <c r="E214" t="s">
        <v>31</v>
      </c>
      <c r="F214" t="s">
        <v>18</v>
      </c>
      <c r="G214">
        <v>50</v>
      </c>
      <c r="H214">
        <v>2</v>
      </c>
      <c r="I214">
        <v>100</v>
      </c>
      <c r="J214" s="2">
        <v>45030</v>
      </c>
      <c r="K214" t="s">
        <v>381</v>
      </c>
    </row>
    <row r="215" spans="1:11" x14ac:dyDescent="0.3">
      <c r="A215" t="s">
        <v>61</v>
      </c>
      <c r="B215" t="s">
        <v>11</v>
      </c>
      <c r="C215" t="s">
        <v>12</v>
      </c>
      <c r="D215">
        <v>68</v>
      </c>
      <c r="E215" t="s">
        <v>26</v>
      </c>
      <c r="F215" t="s">
        <v>27</v>
      </c>
      <c r="G215">
        <v>200</v>
      </c>
      <c r="H215">
        <v>3</v>
      </c>
      <c r="I215">
        <v>600</v>
      </c>
      <c r="J215" s="2">
        <v>45099</v>
      </c>
      <c r="K215" t="s">
        <v>370</v>
      </c>
    </row>
    <row r="216" spans="1:11" x14ac:dyDescent="0.3">
      <c r="A216" t="s">
        <v>180</v>
      </c>
      <c r="B216" t="s">
        <v>11</v>
      </c>
      <c r="C216" t="s">
        <v>12</v>
      </c>
      <c r="D216">
        <v>30</v>
      </c>
      <c r="E216" t="s">
        <v>24</v>
      </c>
      <c r="F216" t="s">
        <v>14</v>
      </c>
      <c r="G216">
        <v>1500</v>
      </c>
      <c r="H216">
        <v>1</v>
      </c>
      <c r="I216">
        <v>1500</v>
      </c>
      <c r="J216" s="2">
        <v>45034</v>
      </c>
      <c r="K216" t="s">
        <v>381</v>
      </c>
    </row>
    <row r="217" spans="1:11" x14ac:dyDescent="0.3">
      <c r="A217" t="s">
        <v>181</v>
      </c>
      <c r="B217" t="s">
        <v>20</v>
      </c>
      <c r="C217" t="s">
        <v>16</v>
      </c>
      <c r="D217">
        <v>61</v>
      </c>
      <c r="E217" t="s">
        <v>32</v>
      </c>
      <c r="F217" t="s">
        <v>18</v>
      </c>
      <c r="G217">
        <v>62.191212249732999</v>
      </c>
      <c r="H217">
        <v>1</v>
      </c>
      <c r="I217">
        <v>30</v>
      </c>
      <c r="J217" s="2">
        <v>44954</v>
      </c>
      <c r="K217" t="s">
        <v>373</v>
      </c>
    </row>
    <row r="218" spans="1:11" x14ac:dyDescent="0.3">
      <c r="A218" t="s">
        <v>148</v>
      </c>
      <c r="B218" t="s">
        <v>20</v>
      </c>
      <c r="C218" t="s">
        <v>12</v>
      </c>
      <c r="E218" t="s">
        <v>42</v>
      </c>
      <c r="F218" t="s">
        <v>14</v>
      </c>
      <c r="G218">
        <v>800</v>
      </c>
      <c r="H218">
        <v>4</v>
      </c>
      <c r="I218">
        <v>3200</v>
      </c>
      <c r="J218" s="2">
        <v>45054</v>
      </c>
      <c r="K218" t="s">
        <v>381</v>
      </c>
    </row>
    <row r="219" spans="1:11" x14ac:dyDescent="0.3">
      <c r="A219" t="s">
        <v>182</v>
      </c>
      <c r="B219" t="s">
        <v>20</v>
      </c>
      <c r="C219" t="s">
        <v>21</v>
      </c>
      <c r="E219" t="s">
        <v>24</v>
      </c>
      <c r="F219" t="s">
        <v>14</v>
      </c>
      <c r="G219">
        <v>1500</v>
      </c>
      <c r="H219">
        <v>2</v>
      </c>
      <c r="I219">
        <v>3000</v>
      </c>
      <c r="J219" s="2">
        <v>45084</v>
      </c>
      <c r="K219" t="s">
        <v>373</v>
      </c>
    </row>
    <row r="220" spans="1:11" x14ac:dyDescent="0.3">
      <c r="A220" t="s">
        <v>183</v>
      </c>
      <c r="B220" t="s">
        <v>11</v>
      </c>
      <c r="C220" t="s">
        <v>12</v>
      </c>
      <c r="D220">
        <v>29</v>
      </c>
      <c r="E220" t="s">
        <v>42</v>
      </c>
      <c r="F220" t="s">
        <v>14</v>
      </c>
      <c r="G220">
        <v>800</v>
      </c>
      <c r="H220">
        <v>5</v>
      </c>
      <c r="I220">
        <v>4000</v>
      </c>
      <c r="J220" s="2">
        <v>44981</v>
      </c>
      <c r="K220" t="s">
        <v>381</v>
      </c>
    </row>
    <row r="221" spans="1:11" x14ac:dyDescent="0.3">
      <c r="A221" t="s">
        <v>174</v>
      </c>
      <c r="B221" t="s">
        <v>11</v>
      </c>
      <c r="C221" t="s">
        <v>16</v>
      </c>
      <c r="D221">
        <v>57</v>
      </c>
      <c r="E221" t="s">
        <v>31</v>
      </c>
      <c r="F221" t="s">
        <v>18</v>
      </c>
      <c r="G221">
        <v>50</v>
      </c>
      <c r="H221">
        <v>3</v>
      </c>
      <c r="I221">
        <v>150</v>
      </c>
      <c r="J221" s="2">
        <v>44973</v>
      </c>
      <c r="K221" t="s">
        <v>381</v>
      </c>
    </row>
    <row r="222" spans="1:11" x14ac:dyDescent="0.3">
      <c r="A222" t="s">
        <v>67</v>
      </c>
      <c r="B222" t="s">
        <v>11</v>
      </c>
      <c r="C222" t="s">
        <v>16</v>
      </c>
      <c r="D222">
        <v>38</v>
      </c>
      <c r="E222" t="s">
        <v>26</v>
      </c>
      <c r="F222" t="s">
        <v>27</v>
      </c>
      <c r="G222">
        <v>200</v>
      </c>
      <c r="H222">
        <v>3</v>
      </c>
      <c r="I222">
        <v>600</v>
      </c>
      <c r="J222" s="2">
        <v>45145</v>
      </c>
      <c r="K222" t="s">
        <v>375</v>
      </c>
    </row>
    <row r="223" spans="1:11" x14ac:dyDescent="0.3">
      <c r="A223" t="s">
        <v>57</v>
      </c>
      <c r="B223" t="s">
        <v>11</v>
      </c>
      <c r="C223" t="s">
        <v>12</v>
      </c>
      <c r="D223">
        <v>58</v>
      </c>
      <c r="E223" t="s">
        <v>42</v>
      </c>
      <c r="F223" t="s">
        <v>14</v>
      </c>
      <c r="G223">
        <v>800</v>
      </c>
      <c r="H223">
        <v>4</v>
      </c>
      <c r="I223">
        <v>3200</v>
      </c>
      <c r="J223" s="2">
        <v>45020</v>
      </c>
      <c r="K223" t="s">
        <v>375</v>
      </c>
    </row>
    <row r="224" spans="1:11" x14ac:dyDescent="0.3">
      <c r="A224" t="s">
        <v>123</v>
      </c>
      <c r="B224" t="s">
        <v>20</v>
      </c>
      <c r="C224" t="s">
        <v>29</v>
      </c>
      <c r="D224">
        <v>38</v>
      </c>
      <c r="E224" t="s">
        <v>13</v>
      </c>
      <c r="F224" t="s">
        <v>14</v>
      </c>
      <c r="G224">
        <v>300</v>
      </c>
      <c r="H224">
        <v>1</v>
      </c>
      <c r="I224">
        <v>300</v>
      </c>
      <c r="J224" s="2">
        <v>45047</v>
      </c>
      <c r="K224" t="s">
        <v>373</v>
      </c>
    </row>
    <row r="225" spans="1:11" x14ac:dyDescent="0.3">
      <c r="A225" t="s">
        <v>184</v>
      </c>
      <c r="B225" t="s">
        <v>20</v>
      </c>
      <c r="C225" t="s">
        <v>29</v>
      </c>
      <c r="D225">
        <v>32</v>
      </c>
      <c r="E225" t="s">
        <v>42</v>
      </c>
      <c r="F225" t="s">
        <v>14</v>
      </c>
      <c r="G225">
        <v>800</v>
      </c>
      <c r="H225">
        <v>3</v>
      </c>
      <c r="I225">
        <v>2400</v>
      </c>
      <c r="J225" s="2">
        <v>45197</v>
      </c>
      <c r="K225" t="s">
        <v>375</v>
      </c>
    </row>
    <row r="226" spans="1:11" x14ac:dyDescent="0.3">
      <c r="A226" t="s">
        <v>185</v>
      </c>
      <c r="B226" t="s">
        <v>20</v>
      </c>
      <c r="C226" t="s">
        <v>16</v>
      </c>
      <c r="E226" t="s">
        <v>32</v>
      </c>
      <c r="F226" t="s">
        <v>18</v>
      </c>
      <c r="G226">
        <v>30</v>
      </c>
      <c r="H226">
        <v>2</v>
      </c>
      <c r="I226">
        <v>60</v>
      </c>
      <c r="J226" s="2">
        <v>45285</v>
      </c>
      <c r="K226" t="s">
        <v>370</v>
      </c>
    </row>
    <row r="227" spans="1:11" x14ac:dyDescent="0.3">
      <c r="A227" t="s">
        <v>115</v>
      </c>
      <c r="B227" t="s">
        <v>11</v>
      </c>
      <c r="C227" t="s">
        <v>21</v>
      </c>
      <c r="D227">
        <v>63</v>
      </c>
      <c r="E227" t="s">
        <v>17</v>
      </c>
      <c r="F227" t="s">
        <v>18</v>
      </c>
      <c r="G227">
        <v>100</v>
      </c>
      <c r="H227">
        <v>4</v>
      </c>
      <c r="I227">
        <v>400</v>
      </c>
      <c r="J227" s="2">
        <v>45052</v>
      </c>
      <c r="K227" t="s">
        <v>370</v>
      </c>
    </row>
    <row r="228" spans="1:11" x14ac:dyDescent="0.3">
      <c r="A228" t="s">
        <v>50</v>
      </c>
      <c r="B228" t="s">
        <v>20</v>
      </c>
      <c r="C228" t="s">
        <v>16</v>
      </c>
      <c r="D228">
        <v>59</v>
      </c>
      <c r="E228" t="s">
        <v>31</v>
      </c>
      <c r="F228" t="s">
        <v>18</v>
      </c>
      <c r="G228">
        <v>103.65202041622101</v>
      </c>
      <c r="H228">
        <v>4</v>
      </c>
      <c r="I228">
        <v>200</v>
      </c>
      <c r="J228" s="2">
        <v>45159</v>
      </c>
      <c r="K228" t="s">
        <v>373</v>
      </c>
    </row>
    <row r="229" spans="1:11" x14ac:dyDescent="0.3">
      <c r="A229" t="s">
        <v>162</v>
      </c>
      <c r="B229" t="s">
        <v>11</v>
      </c>
      <c r="C229" t="s">
        <v>16</v>
      </c>
      <c r="D229">
        <v>27</v>
      </c>
      <c r="E229" t="s">
        <v>17</v>
      </c>
      <c r="F229" t="s">
        <v>18</v>
      </c>
      <c r="G229">
        <v>100</v>
      </c>
      <c r="H229">
        <v>3</v>
      </c>
      <c r="I229">
        <v>300</v>
      </c>
      <c r="J229" s="2">
        <v>44998</v>
      </c>
      <c r="K229" t="s">
        <v>370</v>
      </c>
    </row>
    <row r="230" spans="1:11" x14ac:dyDescent="0.3">
      <c r="A230" t="s">
        <v>186</v>
      </c>
      <c r="B230" t="s">
        <v>20</v>
      </c>
      <c r="C230" t="s">
        <v>16</v>
      </c>
      <c r="D230">
        <v>51</v>
      </c>
      <c r="E230" t="s">
        <v>24</v>
      </c>
      <c r="F230" t="s">
        <v>14</v>
      </c>
      <c r="G230">
        <v>1500</v>
      </c>
      <c r="H230">
        <v>1</v>
      </c>
      <c r="I230">
        <v>1500</v>
      </c>
      <c r="J230" s="2">
        <v>44985</v>
      </c>
      <c r="K230" t="s">
        <v>370</v>
      </c>
    </row>
    <row r="231" spans="1:11" x14ac:dyDescent="0.3">
      <c r="A231" t="s">
        <v>183</v>
      </c>
      <c r="B231" t="s">
        <v>11</v>
      </c>
      <c r="C231" t="s">
        <v>16</v>
      </c>
      <c r="D231">
        <v>29</v>
      </c>
      <c r="E231" t="s">
        <v>13</v>
      </c>
      <c r="F231" t="s">
        <v>14</v>
      </c>
      <c r="G231">
        <v>300</v>
      </c>
      <c r="H231">
        <v>4</v>
      </c>
      <c r="I231">
        <v>1200</v>
      </c>
      <c r="J231" s="2">
        <v>45133</v>
      </c>
      <c r="K231" t="s">
        <v>381</v>
      </c>
    </row>
    <row r="232" spans="1:11" x14ac:dyDescent="0.3">
      <c r="A232" t="s">
        <v>167</v>
      </c>
      <c r="B232" t="s">
        <v>11</v>
      </c>
      <c r="C232" t="s">
        <v>29</v>
      </c>
      <c r="D232">
        <v>66</v>
      </c>
      <c r="E232" t="s">
        <v>13</v>
      </c>
      <c r="F232" t="s">
        <v>14</v>
      </c>
      <c r="G232">
        <v>300</v>
      </c>
      <c r="H232">
        <v>2</v>
      </c>
      <c r="I232">
        <v>600</v>
      </c>
      <c r="J232" s="2">
        <v>45109</v>
      </c>
      <c r="K232" t="s">
        <v>375</v>
      </c>
    </row>
    <row r="233" spans="1:11" x14ac:dyDescent="0.3">
      <c r="A233" t="s">
        <v>176</v>
      </c>
      <c r="B233" t="s">
        <v>11</v>
      </c>
      <c r="C233" t="s">
        <v>29</v>
      </c>
      <c r="D233">
        <v>54</v>
      </c>
      <c r="E233" t="s">
        <v>26</v>
      </c>
      <c r="F233" t="s">
        <v>27</v>
      </c>
      <c r="G233">
        <v>200</v>
      </c>
      <c r="H233">
        <v>5</v>
      </c>
      <c r="I233">
        <v>1000</v>
      </c>
      <c r="J233" s="2">
        <v>45216</v>
      </c>
      <c r="K233" t="s">
        <v>370</v>
      </c>
    </row>
    <row r="234" spans="1:11" x14ac:dyDescent="0.3">
      <c r="A234" t="s">
        <v>187</v>
      </c>
      <c r="B234" t="s">
        <v>11</v>
      </c>
      <c r="C234" t="s">
        <v>29</v>
      </c>
      <c r="D234">
        <v>68</v>
      </c>
      <c r="E234" t="s">
        <v>13</v>
      </c>
      <c r="F234" t="s">
        <v>14</v>
      </c>
      <c r="G234">
        <v>300</v>
      </c>
      <c r="H234">
        <v>3</v>
      </c>
      <c r="I234">
        <v>900</v>
      </c>
      <c r="J234" s="2">
        <v>45217</v>
      </c>
      <c r="K234" t="s">
        <v>370</v>
      </c>
    </row>
    <row r="235" spans="1:11" x14ac:dyDescent="0.3">
      <c r="A235" t="s">
        <v>123</v>
      </c>
      <c r="B235" t="s">
        <v>20</v>
      </c>
      <c r="C235" t="s">
        <v>16</v>
      </c>
      <c r="E235" t="s">
        <v>24</v>
      </c>
      <c r="F235" t="s">
        <v>14</v>
      </c>
      <c r="G235">
        <v>1500</v>
      </c>
      <c r="H235">
        <v>3</v>
      </c>
      <c r="I235">
        <v>4500</v>
      </c>
      <c r="J235" s="2">
        <v>45022</v>
      </c>
      <c r="K235" t="s">
        <v>375</v>
      </c>
    </row>
    <row r="236" spans="1:11" x14ac:dyDescent="0.3">
      <c r="A236" t="s">
        <v>33</v>
      </c>
      <c r="B236" t="s">
        <v>20</v>
      </c>
      <c r="C236" t="s">
        <v>21</v>
      </c>
      <c r="D236">
        <v>29</v>
      </c>
      <c r="E236" t="s">
        <v>13</v>
      </c>
      <c r="F236" t="s">
        <v>14</v>
      </c>
      <c r="G236">
        <v>300</v>
      </c>
      <c r="H236">
        <v>3</v>
      </c>
      <c r="I236">
        <v>900</v>
      </c>
      <c r="J236" s="2">
        <v>45127</v>
      </c>
      <c r="K236" t="s">
        <v>370</v>
      </c>
    </row>
    <row r="237" spans="1:11" x14ac:dyDescent="0.3">
      <c r="A237" t="s">
        <v>188</v>
      </c>
      <c r="B237" t="s">
        <v>20</v>
      </c>
      <c r="C237" t="s">
        <v>16</v>
      </c>
      <c r="D237">
        <v>40</v>
      </c>
      <c r="E237" t="s">
        <v>26</v>
      </c>
      <c r="F237" t="s">
        <v>27</v>
      </c>
      <c r="G237">
        <v>200</v>
      </c>
      <c r="H237">
        <v>1</v>
      </c>
      <c r="I237">
        <v>200</v>
      </c>
      <c r="J237" s="2">
        <v>45024</v>
      </c>
      <c r="K237" t="s">
        <v>370</v>
      </c>
    </row>
    <row r="238" spans="1:11" x14ac:dyDescent="0.3">
      <c r="A238" t="s">
        <v>189</v>
      </c>
      <c r="B238" t="s">
        <v>11</v>
      </c>
      <c r="C238" t="s">
        <v>16</v>
      </c>
      <c r="D238">
        <v>48</v>
      </c>
      <c r="E238" t="s">
        <v>31</v>
      </c>
      <c r="F238" t="s">
        <v>18</v>
      </c>
      <c r="G238">
        <v>50</v>
      </c>
      <c r="H238">
        <v>3</v>
      </c>
      <c r="I238">
        <v>150</v>
      </c>
      <c r="J238" s="2">
        <v>44934</v>
      </c>
      <c r="K238" t="s">
        <v>375</v>
      </c>
    </row>
    <row r="239" spans="1:11" x14ac:dyDescent="0.3">
      <c r="A239" t="s">
        <v>190</v>
      </c>
      <c r="B239" t="s">
        <v>20</v>
      </c>
      <c r="C239" t="s">
        <v>16</v>
      </c>
      <c r="D239">
        <v>52</v>
      </c>
      <c r="E239" t="s">
        <v>24</v>
      </c>
      <c r="F239" t="s">
        <v>14</v>
      </c>
      <c r="G239">
        <v>1500</v>
      </c>
      <c r="H239">
        <v>5</v>
      </c>
      <c r="I239">
        <v>7500</v>
      </c>
      <c r="J239" s="2">
        <v>45059</v>
      </c>
      <c r="K239" t="s">
        <v>381</v>
      </c>
    </row>
    <row r="240" spans="1:11" x14ac:dyDescent="0.3">
      <c r="A240" t="s">
        <v>191</v>
      </c>
      <c r="B240" t="s">
        <v>11</v>
      </c>
      <c r="C240" t="s">
        <v>29</v>
      </c>
      <c r="D240">
        <v>69</v>
      </c>
      <c r="E240" t="s">
        <v>13</v>
      </c>
      <c r="F240" t="s">
        <v>14</v>
      </c>
      <c r="G240">
        <v>300</v>
      </c>
      <c r="H240">
        <v>4</v>
      </c>
      <c r="I240">
        <v>1200</v>
      </c>
      <c r="J240" s="2">
        <v>45153</v>
      </c>
      <c r="K240" t="s">
        <v>370</v>
      </c>
    </row>
    <row r="241" spans="1:11" x14ac:dyDescent="0.3">
      <c r="A241" t="s">
        <v>71</v>
      </c>
      <c r="B241" t="s">
        <v>11</v>
      </c>
      <c r="C241" t="s">
        <v>12</v>
      </c>
      <c r="D241">
        <v>67</v>
      </c>
      <c r="E241" t="s">
        <v>42</v>
      </c>
      <c r="F241" t="s">
        <v>14</v>
      </c>
      <c r="G241">
        <v>800</v>
      </c>
      <c r="H241">
        <v>4</v>
      </c>
      <c r="I241">
        <v>3200</v>
      </c>
      <c r="J241" s="2">
        <v>45187</v>
      </c>
      <c r="K241" t="s">
        <v>375</v>
      </c>
    </row>
    <row r="242" spans="1:11" x14ac:dyDescent="0.3">
      <c r="A242" t="s">
        <v>192</v>
      </c>
      <c r="B242" t="s">
        <v>20</v>
      </c>
      <c r="C242" t="s">
        <v>12</v>
      </c>
      <c r="D242">
        <v>59</v>
      </c>
      <c r="E242" t="s">
        <v>32</v>
      </c>
      <c r="F242" t="s">
        <v>18</v>
      </c>
      <c r="G242">
        <v>30</v>
      </c>
      <c r="H242">
        <v>1</v>
      </c>
      <c r="I242">
        <v>30</v>
      </c>
      <c r="J242" s="2">
        <v>44972</v>
      </c>
      <c r="K242" t="s">
        <v>370</v>
      </c>
    </row>
    <row r="243" spans="1:11" x14ac:dyDescent="0.3">
      <c r="A243" t="s">
        <v>193</v>
      </c>
      <c r="B243" t="s">
        <v>20</v>
      </c>
      <c r="C243" t="s">
        <v>16</v>
      </c>
      <c r="D243">
        <v>64</v>
      </c>
      <c r="E243" t="s">
        <v>26</v>
      </c>
      <c r="F243" t="s">
        <v>27</v>
      </c>
      <c r="G243">
        <v>200</v>
      </c>
      <c r="H243">
        <v>2</v>
      </c>
      <c r="I243">
        <v>400</v>
      </c>
      <c r="J243" s="2">
        <v>45258</v>
      </c>
      <c r="K243" t="s">
        <v>370</v>
      </c>
    </row>
    <row r="244" spans="1:11" x14ac:dyDescent="0.3">
      <c r="A244" t="s">
        <v>194</v>
      </c>
      <c r="B244" t="s">
        <v>11</v>
      </c>
      <c r="C244" t="s">
        <v>29</v>
      </c>
      <c r="E244" t="s">
        <v>32</v>
      </c>
      <c r="F244" t="s">
        <v>18</v>
      </c>
      <c r="G244">
        <v>30</v>
      </c>
      <c r="H244">
        <v>3</v>
      </c>
      <c r="I244">
        <v>90</v>
      </c>
      <c r="J244" s="2">
        <v>45136</v>
      </c>
      <c r="K244" t="s">
        <v>381</v>
      </c>
    </row>
    <row r="245" spans="1:11" x14ac:dyDescent="0.3">
      <c r="A245" t="s">
        <v>164</v>
      </c>
      <c r="B245" t="s">
        <v>20</v>
      </c>
      <c r="C245" t="s">
        <v>21</v>
      </c>
      <c r="D245">
        <v>62</v>
      </c>
      <c r="E245" t="s">
        <v>42</v>
      </c>
      <c r="F245" t="s">
        <v>14</v>
      </c>
      <c r="G245">
        <v>800</v>
      </c>
      <c r="H245">
        <v>4</v>
      </c>
      <c r="I245">
        <v>3200</v>
      </c>
      <c r="J245" s="2">
        <v>45117</v>
      </c>
      <c r="K245" t="s">
        <v>373</v>
      </c>
    </row>
    <row r="246" spans="1:11" x14ac:dyDescent="0.3">
      <c r="A246" t="s">
        <v>195</v>
      </c>
      <c r="B246" t="s">
        <v>20</v>
      </c>
      <c r="C246" t="s">
        <v>12</v>
      </c>
      <c r="D246">
        <v>52</v>
      </c>
      <c r="E246" t="s">
        <v>13</v>
      </c>
      <c r="F246" t="s">
        <v>14</v>
      </c>
      <c r="G246">
        <v>621.91212249732996</v>
      </c>
      <c r="H246">
        <v>3</v>
      </c>
      <c r="I246">
        <v>900</v>
      </c>
      <c r="J246" s="2">
        <v>45224</v>
      </c>
      <c r="K246" t="s">
        <v>373</v>
      </c>
    </row>
    <row r="247" spans="1:11" x14ac:dyDescent="0.3">
      <c r="A247" t="s">
        <v>135</v>
      </c>
      <c r="B247" t="s">
        <v>11</v>
      </c>
      <c r="C247" t="s">
        <v>16</v>
      </c>
      <c r="D247">
        <v>41</v>
      </c>
      <c r="E247" t="s">
        <v>17</v>
      </c>
      <c r="F247" t="s">
        <v>18</v>
      </c>
      <c r="G247">
        <v>100</v>
      </c>
      <c r="H247">
        <v>3</v>
      </c>
      <c r="I247">
        <v>300</v>
      </c>
      <c r="J247" s="2">
        <v>45089</v>
      </c>
      <c r="K247" t="s">
        <v>375</v>
      </c>
    </row>
    <row r="248" spans="1:11" x14ac:dyDescent="0.3">
      <c r="A248" t="s">
        <v>196</v>
      </c>
      <c r="B248" t="s">
        <v>11</v>
      </c>
      <c r="C248" t="s">
        <v>21</v>
      </c>
      <c r="D248">
        <v>53</v>
      </c>
      <c r="E248" t="s">
        <v>17</v>
      </c>
      <c r="F248" t="s">
        <v>18</v>
      </c>
      <c r="G248">
        <v>100</v>
      </c>
      <c r="H248">
        <v>5</v>
      </c>
      <c r="I248">
        <v>500</v>
      </c>
      <c r="J248" s="2">
        <v>45129</v>
      </c>
      <c r="K248" t="s">
        <v>373</v>
      </c>
    </row>
    <row r="249" spans="1:11" x14ac:dyDescent="0.3">
      <c r="A249" t="s">
        <v>196</v>
      </c>
      <c r="B249" t="s">
        <v>11</v>
      </c>
      <c r="C249" t="s">
        <v>16</v>
      </c>
      <c r="D249">
        <v>53</v>
      </c>
      <c r="E249" t="s">
        <v>26</v>
      </c>
      <c r="F249" t="s">
        <v>27</v>
      </c>
      <c r="G249">
        <v>200</v>
      </c>
      <c r="H249">
        <v>5</v>
      </c>
      <c r="I249">
        <v>1000</v>
      </c>
      <c r="J249" s="2">
        <v>45102</v>
      </c>
      <c r="K249" t="s">
        <v>375</v>
      </c>
    </row>
    <row r="250" spans="1:11" x14ac:dyDescent="0.3">
      <c r="A250" t="s">
        <v>61</v>
      </c>
      <c r="B250" t="s">
        <v>11</v>
      </c>
      <c r="C250" t="s">
        <v>29</v>
      </c>
      <c r="D250">
        <v>68</v>
      </c>
      <c r="E250" t="s">
        <v>42</v>
      </c>
      <c r="F250" t="s">
        <v>14</v>
      </c>
      <c r="G250">
        <v>800</v>
      </c>
      <c r="H250">
        <v>3</v>
      </c>
      <c r="I250">
        <v>2400</v>
      </c>
      <c r="J250" s="2">
        <v>45259</v>
      </c>
      <c r="K250" t="s">
        <v>373</v>
      </c>
    </row>
    <row r="251" spans="1:11" x14ac:dyDescent="0.3">
      <c r="A251" t="s">
        <v>197</v>
      </c>
      <c r="B251" t="s">
        <v>11</v>
      </c>
      <c r="C251" t="s">
        <v>16</v>
      </c>
      <c r="D251">
        <v>51</v>
      </c>
      <c r="E251" t="s">
        <v>42</v>
      </c>
      <c r="F251" t="s">
        <v>14</v>
      </c>
      <c r="G251">
        <v>800</v>
      </c>
      <c r="H251">
        <v>1</v>
      </c>
      <c r="I251">
        <v>800</v>
      </c>
      <c r="J251" s="2">
        <v>45202</v>
      </c>
      <c r="K251" t="s">
        <v>381</v>
      </c>
    </row>
    <row r="252" spans="1:11" x14ac:dyDescent="0.3">
      <c r="A252" t="s">
        <v>198</v>
      </c>
      <c r="B252" t="s">
        <v>20</v>
      </c>
      <c r="C252" t="s">
        <v>21</v>
      </c>
      <c r="D252">
        <v>66</v>
      </c>
      <c r="E252" t="s">
        <v>24</v>
      </c>
      <c r="F252" t="s">
        <v>14</v>
      </c>
      <c r="G252">
        <v>1500</v>
      </c>
      <c r="H252">
        <v>1</v>
      </c>
      <c r="I252">
        <v>1500</v>
      </c>
      <c r="J252" s="2">
        <v>44963</v>
      </c>
      <c r="K252" t="s">
        <v>375</v>
      </c>
    </row>
    <row r="253" spans="1:11" x14ac:dyDescent="0.3">
      <c r="A253" t="s">
        <v>56</v>
      </c>
      <c r="B253" t="s">
        <v>11</v>
      </c>
      <c r="C253" t="s">
        <v>21</v>
      </c>
      <c r="D253">
        <v>53</v>
      </c>
      <c r="E253" t="s">
        <v>13</v>
      </c>
      <c r="F253" t="s">
        <v>14</v>
      </c>
      <c r="G253">
        <v>300</v>
      </c>
      <c r="H253">
        <v>2</v>
      </c>
      <c r="I253">
        <v>600</v>
      </c>
      <c r="J253" s="2">
        <v>45063</v>
      </c>
      <c r="K253" t="s">
        <v>373</v>
      </c>
    </row>
    <row r="254" spans="1:11" x14ac:dyDescent="0.3">
      <c r="A254" t="s">
        <v>199</v>
      </c>
      <c r="B254" t="s">
        <v>20</v>
      </c>
      <c r="C254" t="s">
        <v>12</v>
      </c>
      <c r="D254">
        <v>45</v>
      </c>
      <c r="E254" t="s">
        <v>26</v>
      </c>
      <c r="F254" t="s">
        <v>27</v>
      </c>
      <c r="G254">
        <v>200</v>
      </c>
      <c r="H254">
        <v>2</v>
      </c>
      <c r="I254">
        <v>400</v>
      </c>
      <c r="J254" s="2">
        <v>45192</v>
      </c>
      <c r="K254" t="s">
        <v>381</v>
      </c>
    </row>
    <row r="255" spans="1:11" x14ac:dyDescent="0.3">
      <c r="A255" t="s">
        <v>34</v>
      </c>
      <c r="B255" t="s">
        <v>20</v>
      </c>
      <c r="C255" t="s">
        <v>21</v>
      </c>
      <c r="D255">
        <v>49</v>
      </c>
      <c r="E255" t="s">
        <v>24</v>
      </c>
      <c r="F255" t="s">
        <v>14</v>
      </c>
      <c r="G255">
        <v>1500</v>
      </c>
      <c r="H255">
        <v>3</v>
      </c>
      <c r="I255">
        <v>4500</v>
      </c>
      <c r="J255" s="2">
        <v>45285</v>
      </c>
      <c r="K255" t="s">
        <v>373</v>
      </c>
    </row>
    <row r="256" spans="1:11" x14ac:dyDescent="0.3">
      <c r="A256" t="s">
        <v>191</v>
      </c>
      <c r="B256" t="s">
        <v>20</v>
      </c>
      <c r="C256" t="s">
        <v>16</v>
      </c>
      <c r="D256">
        <v>69</v>
      </c>
      <c r="E256" t="s">
        <v>32</v>
      </c>
      <c r="F256" t="s">
        <v>18</v>
      </c>
      <c r="G256">
        <v>30</v>
      </c>
      <c r="H256">
        <v>5</v>
      </c>
      <c r="I256">
        <v>150</v>
      </c>
      <c r="J256" s="2">
        <v>44976</v>
      </c>
      <c r="K256" t="s">
        <v>370</v>
      </c>
    </row>
    <row r="257" spans="1:11" x14ac:dyDescent="0.3">
      <c r="A257" t="s">
        <v>199</v>
      </c>
      <c r="B257" t="s">
        <v>11</v>
      </c>
      <c r="C257" t="s">
        <v>29</v>
      </c>
      <c r="D257">
        <v>45</v>
      </c>
      <c r="E257" t="s">
        <v>31</v>
      </c>
      <c r="F257" t="s">
        <v>18</v>
      </c>
      <c r="G257">
        <v>50</v>
      </c>
      <c r="H257">
        <v>1</v>
      </c>
      <c r="I257">
        <v>50</v>
      </c>
      <c r="J257" s="2">
        <v>45182</v>
      </c>
      <c r="K257" t="s">
        <v>370</v>
      </c>
    </row>
    <row r="258" spans="1:11" x14ac:dyDescent="0.3">
      <c r="A258" t="s">
        <v>161</v>
      </c>
      <c r="B258" t="s">
        <v>11</v>
      </c>
      <c r="C258" t="s">
        <v>21</v>
      </c>
      <c r="D258">
        <v>26</v>
      </c>
      <c r="E258" t="s">
        <v>13</v>
      </c>
      <c r="F258" t="s">
        <v>14</v>
      </c>
      <c r="G258">
        <v>300</v>
      </c>
      <c r="H258">
        <v>4</v>
      </c>
      <c r="I258">
        <v>1200</v>
      </c>
      <c r="J258" s="2">
        <v>45235</v>
      </c>
      <c r="K258" t="s">
        <v>381</v>
      </c>
    </row>
    <row r="259" spans="1:11" x14ac:dyDescent="0.3">
      <c r="A259" t="s">
        <v>182</v>
      </c>
      <c r="B259" t="s">
        <v>11</v>
      </c>
      <c r="C259" t="s">
        <v>21</v>
      </c>
      <c r="D259">
        <v>55</v>
      </c>
      <c r="E259" t="s">
        <v>13</v>
      </c>
      <c r="F259" t="s">
        <v>14</v>
      </c>
      <c r="G259">
        <v>300</v>
      </c>
      <c r="H259">
        <v>3</v>
      </c>
      <c r="I259">
        <v>900</v>
      </c>
      <c r="J259" s="2">
        <v>44941</v>
      </c>
      <c r="K259" t="s">
        <v>370</v>
      </c>
    </row>
    <row r="260" spans="1:11" x14ac:dyDescent="0.3">
      <c r="A260" t="s">
        <v>97</v>
      </c>
      <c r="B260" t="s">
        <v>20</v>
      </c>
      <c r="D260">
        <v>33</v>
      </c>
      <c r="E260" t="s">
        <v>32</v>
      </c>
      <c r="F260" t="s">
        <v>18</v>
      </c>
      <c r="G260">
        <v>30</v>
      </c>
      <c r="H260">
        <v>1</v>
      </c>
      <c r="I260">
        <v>30</v>
      </c>
      <c r="J260" s="2">
        <v>44984</v>
      </c>
      <c r="K260" t="s">
        <v>370</v>
      </c>
    </row>
    <row r="261" spans="1:11" x14ac:dyDescent="0.3">
      <c r="A261" t="s">
        <v>176</v>
      </c>
      <c r="B261" t="s">
        <v>11</v>
      </c>
      <c r="C261" t="s">
        <v>29</v>
      </c>
      <c r="D261">
        <v>54</v>
      </c>
      <c r="E261" t="s">
        <v>24</v>
      </c>
      <c r="F261" t="s">
        <v>14</v>
      </c>
      <c r="G261">
        <v>1500</v>
      </c>
      <c r="H261">
        <v>2</v>
      </c>
      <c r="I261">
        <v>3000</v>
      </c>
      <c r="J261" s="2">
        <v>45057</v>
      </c>
      <c r="K261" t="s">
        <v>375</v>
      </c>
    </row>
    <row r="262" spans="1:11" x14ac:dyDescent="0.3">
      <c r="A262" t="s">
        <v>181</v>
      </c>
      <c r="B262" t="s">
        <v>20</v>
      </c>
      <c r="C262" t="s">
        <v>21</v>
      </c>
      <c r="D262">
        <v>61</v>
      </c>
      <c r="E262" t="s">
        <v>32</v>
      </c>
      <c r="F262" t="s">
        <v>18</v>
      </c>
      <c r="G262">
        <v>30</v>
      </c>
      <c r="H262">
        <v>1</v>
      </c>
      <c r="I262">
        <v>30</v>
      </c>
      <c r="J262" s="2">
        <v>45032</v>
      </c>
      <c r="K262" t="s">
        <v>373</v>
      </c>
    </row>
    <row r="263" spans="1:11" x14ac:dyDescent="0.3">
      <c r="A263" t="s">
        <v>136</v>
      </c>
      <c r="B263" t="s">
        <v>11</v>
      </c>
      <c r="C263" t="s">
        <v>29</v>
      </c>
      <c r="D263">
        <v>46</v>
      </c>
      <c r="E263" t="s">
        <v>42</v>
      </c>
      <c r="F263" t="s">
        <v>14</v>
      </c>
      <c r="G263">
        <v>800</v>
      </c>
      <c r="H263">
        <v>4</v>
      </c>
      <c r="I263">
        <v>3200</v>
      </c>
      <c r="J263" s="2">
        <v>45002</v>
      </c>
      <c r="K263" t="s">
        <v>375</v>
      </c>
    </row>
    <row r="264" spans="1:11" x14ac:dyDescent="0.3">
      <c r="A264" t="s">
        <v>200</v>
      </c>
      <c r="B264" t="s">
        <v>20</v>
      </c>
      <c r="C264" t="s">
        <v>12</v>
      </c>
      <c r="D264">
        <v>46</v>
      </c>
      <c r="E264" t="s">
        <v>32</v>
      </c>
      <c r="F264" t="s">
        <v>18</v>
      </c>
      <c r="G264">
        <v>30</v>
      </c>
      <c r="H264">
        <v>4</v>
      </c>
      <c r="I264">
        <v>120</v>
      </c>
      <c r="J264" s="2">
        <v>45027</v>
      </c>
      <c r="K264" t="s">
        <v>373</v>
      </c>
    </row>
    <row r="265" spans="1:11" x14ac:dyDescent="0.3">
      <c r="A265" t="s">
        <v>147</v>
      </c>
      <c r="B265" t="s">
        <v>20</v>
      </c>
      <c r="C265" t="s">
        <v>12</v>
      </c>
      <c r="D265">
        <v>30</v>
      </c>
      <c r="E265" t="s">
        <v>31</v>
      </c>
      <c r="F265" t="s">
        <v>18</v>
      </c>
      <c r="G265">
        <v>50</v>
      </c>
      <c r="H265">
        <v>4</v>
      </c>
      <c r="I265">
        <v>200</v>
      </c>
      <c r="J265" s="2">
        <v>45215</v>
      </c>
      <c r="K265" t="s">
        <v>370</v>
      </c>
    </row>
    <row r="266" spans="1:11" x14ac:dyDescent="0.3">
      <c r="A266" t="s">
        <v>182</v>
      </c>
      <c r="B266" t="s">
        <v>11</v>
      </c>
      <c r="C266" t="s">
        <v>21</v>
      </c>
      <c r="D266">
        <v>55</v>
      </c>
      <c r="E266" t="s">
        <v>17</v>
      </c>
      <c r="F266" t="s">
        <v>18</v>
      </c>
      <c r="G266">
        <v>100</v>
      </c>
      <c r="H266">
        <v>4</v>
      </c>
      <c r="I266">
        <v>400</v>
      </c>
      <c r="J266" s="2">
        <v>45215</v>
      </c>
      <c r="K266" t="s">
        <v>375</v>
      </c>
    </row>
    <row r="267" spans="1:11" x14ac:dyDescent="0.3">
      <c r="A267" t="s">
        <v>45</v>
      </c>
      <c r="B267" t="s">
        <v>20</v>
      </c>
      <c r="C267" t="s">
        <v>29</v>
      </c>
      <c r="D267">
        <v>37</v>
      </c>
      <c r="E267" t="s">
        <v>17</v>
      </c>
      <c r="F267" t="s">
        <v>18</v>
      </c>
      <c r="G267">
        <v>100</v>
      </c>
      <c r="H267">
        <v>4</v>
      </c>
      <c r="I267">
        <v>400</v>
      </c>
      <c r="J267" s="2">
        <v>44979</v>
      </c>
      <c r="K267" t="s">
        <v>373</v>
      </c>
    </row>
    <row r="268" spans="1:11" x14ac:dyDescent="0.3">
      <c r="A268" t="s">
        <v>131</v>
      </c>
      <c r="B268" t="s">
        <v>20</v>
      </c>
      <c r="C268" t="s">
        <v>29</v>
      </c>
      <c r="D268">
        <v>62</v>
      </c>
      <c r="E268" t="s">
        <v>32</v>
      </c>
      <c r="F268" t="s">
        <v>18</v>
      </c>
      <c r="G268">
        <v>30</v>
      </c>
      <c r="H268">
        <v>2</v>
      </c>
      <c r="I268">
        <v>60</v>
      </c>
      <c r="J268" s="2">
        <v>45124</v>
      </c>
      <c r="K268" t="s">
        <v>373</v>
      </c>
    </row>
    <row r="269" spans="1:11" x14ac:dyDescent="0.3">
      <c r="A269" t="s">
        <v>201</v>
      </c>
      <c r="B269" t="s">
        <v>20</v>
      </c>
      <c r="C269" t="s">
        <v>29</v>
      </c>
      <c r="E269" t="s">
        <v>32</v>
      </c>
      <c r="F269" t="s">
        <v>18</v>
      </c>
      <c r="G269">
        <v>30</v>
      </c>
      <c r="H269">
        <v>5</v>
      </c>
      <c r="I269">
        <v>150</v>
      </c>
      <c r="J269" s="2">
        <v>45107</v>
      </c>
      <c r="K269" t="s">
        <v>375</v>
      </c>
    </row>
    <row r="270" spans="1:11" x14ac:dyDescent="0.3">
      <c r="A270" t="s">
        <v>95</v>
      </c>
      <c r="B270" t="s">
        <v>11</v>
      </c>
      <c r="C270" t="s">
        <v>12</v>
      </c>
      <c r="D270">
        <v>47</v>
      </c>
      <c r="E270" t="s">
        <v>17</v>
      </c>
      <c r="F270" t="s">
        <v>18</v>
      </c>
      <c r="G270">
        <v>100</v>
      </c>
      <c r="H270">
        <v>3</v>
      </c>
      <c r="I270">
        <v>300</v>
      </c>
      <c r="J270" s="2">
        <v>45116</v>
      </c>
      <c r="K270" t="s">
        <v>381</v>
      </c>
    </row>
    <row r="271" spans="1:11" x14ac:dyDescent="0.3">
      <c r="A271" t="s">
        <v>28</v>
      </c>
      <c r="B271" t="s">
        <v>11</v>
      </c>
      <c r="C271" t="s">
        <v>16</v>
      </c>
      <c r="D271">
        <v>27</v>
      </c>
      <c r="E271" t="s">
        <v>32</v>
      </c>
      <c r="F271" t="s">
        <v>18</v>
      </c>
      <c r="G271">
        <v>30</v>
      </c>
      <c r="H271">
        <v>4</v>
      </c>
      <c r="I271">
        <v>120</v>
      </c>
      <c r="J271" s="2">
        <v>45053</v>
      </c>
      <c r="K271" t="s">
        <v>373</v>
      </c>
    </row>
    <row r="272" spans="1:11" x14ac:dyDescent="0.3">
      <c r="A272" t="s">
        <v>202</v>
      </c>
      <c r="B272" t="s">
        <v>20</v>
      </c>
      <c r="C272" t="s">
        <v>29</v>
      </c>
      <c r="D272">
        <v>44</v>
      </c>
      <c r="E272" t="s">
        <v>31</v>
      </c>
      <c r="F272" t="s">
        <v>18</v>
      </c>
      <c r="G272">
        <v>50</v>
      </c>
      <c r="H272">
        <v>4</v>
      </c>
      <c r="I272">
        <v>200</v>
      </c>
      <c r="J272" s="2">
        <v>45007</v>
      </c>
      <c r="K272" t="s">
        <v>370</v>
      </c>
    </row>
    <row r="273" spans="1:11" x14ac:dyDescent="0.3">
      <c r="A273" t="s">
        <v>203</v>
      </c>
      <c r="B273" t="s">
        <v>11</v>
      </c>
      <c r="C273" t="s">
        <v>12</v>
      </c>
      <c r="D273">
        <v>36</v>
      </c>
      <c r="E273" t="s">
        <v>26</v>
      </c>
      <c r="F273" t="s">
        <v>27</v>
      </c>
      <c r="G273">
        <v>200</v>
      </c>
      <c r="H273">
        <v>2</v>
      </c>
      <c r="I273">
        <v>400</v>
      </c>
      <c r="J273" s="2">
        <v>45166</v>
      </c>
      <c r="K273" t="s">
        <v>373</v>
      </c>
    </row>
    <row r="274" spans="1:11" x14ac:dyDescent="0.3">
      <c r="A274" t="s">
        <v>204</v>
      </c>
      <c r="B274" t="s">
        <v>20</v>
      </c>
      <c r="C274" t="s">
        <v>29</v>
      </c>
      <c r="E274" t="s">
        <v>32</v>
      </c>
      <c r="F274" t="s">
        <v>18</v>
      </c>
      <c r="G274">
        <v>30</v>
      </c>
      <c r="H274">
        <v>3</v>
      </c>
      <c r="I274">
        <v>90</v>
      </c>
      <c r="J274" s="2">
        <v>44943</v>
      </c>
      <c r="K274" t="s">
        <v>370</v>
      </c>
    </row>
    <row r="275" spans="1:11" x14ac:dyDescent="0.3">
      <c r="A275" t="s">
        <v>152</v>
      </c>
      <c r="B275" t="s">
        <v>20</v>
      </c>
      <c r="C275" t="s">
        <v>12</v>
      </c>
      <c r="D275">
        <v>36</v>
      </c>
      <c r="E275" t="s">
        <v>24</v>
      </c>
      <c r="F275" t="s">
        <v>14</v>
      </c>
      <c r="G275">
        <v>1500</v>
      </c>
      <c r="H275">
        <v>4</v>
      </c>
      <c r="I275">
        <v>6000</v>
      </c>
      <c r="J275" s="2">
        <v>45215</v>
      </c>
      <c r="K275" t="s">
        <v>375</v>
      </c>
    </row>
    <row r="276" spans="1:11" x14ac:dyDescent="0.3">
      <c r="A276" t="s">
        <v>205</v>
      </c>
      <c r="B276" t="s">
        <v>11</v>
      </c>
      <c r="C276" t="s">
        <v>21</v>
      </c>
      <c r="D276">
        <v>61</v>
      </c>
      <c r="E276" t="s">
        <v>42</v>
      </c>
      <c r="F276" t="s">
        <v>14</v>
      </c>
      <c r="G276">
        <v>800</v>
      </c>
      <c r="H276">
        <v>1</v>
      </c>
      <c r="I276">
        <v>800</v>
      </c>
      <c r="J276" s="2">
        <v>44936</v>
      </c>
      <c r="K276" t="s">
        <v>373</v>
      </c>
    </row>
    <row r="277" spans="1:11" x14ac:dyDescent="0.3">
      <c r="A277" t="s">
        <v>206</v>
      </c>
      <c r="B277" t="s">
        <v>11</v>
      </c>
      <c r="C277" t="s">
        <v>21</v>
      </c>
      <c r="D277">
        <v>69</v>
      </c>
      <c r="E277" t="s">
        <v>42</v>
      </c>
      <c r="F277" t="s">
        <v>14</v>
      </c>
      <c r="G277">
        <v>800</v>
      </c>
      <c r="H277">
        <v>3</v>
      </c>
      <c r="I277">
        <v>2400</v>
      </c>
      <c r="J277" s="2">
        <v>45010</v>
      </c>
      <c r="K277" t="s">
        <v>370</v>
      </c>
    </row>
    <row r="278" spans="1:11" x14ac:dyDescent="0.3">
      <c r="A278" t="s">
        <v>207</v>
      </c>
      <c r="B278" t="s">
        <v>20</v>
      </c>
      <c r="C278" t="s">
        <v>29</v>
      </c>
      <c r="D278">
        <v>52</v>
      </c>
      <c r="E278" t="s">
        <v>26</v>
      </c>
      <c r="F278" t="s">
        <v>27</v>
      </c>
      <c r="G278">
        <v>200</v>
      </c>
      <c r="H278">
        <v>3</v>
      </c>
      <c r="I278">
        <v>600</v>
      </c>
      <c r="J278" s="2">
        <v>44955</v>
      </c>
      <c r="K278" t="s">
        <v>370</v>
      </c>
    </row>
    <row r="279" spans="1:11" x14ac:dyDescent="0.3">
      <c r="A279" t="s">
        <v>175</v>
      </c>
      <c r="B279" t="s">
        <v>20</v>
      </c>
      <c r="C279" t="s">
        <v>21</v>
      </c>
      <c r="D279">
        <v>60</v>
      </c>
      <c r="E279" t="s">
        <v>42</v>
      </c>
      <c r="F279" t="s">
        <v>14</v>
      </c>
      <c r="G279">
        <v>800</v>
      </c>
      <c r="H279">
        <v>5</v>
      </c>
      <c r="I279">
        <v>4000</v>
      </c>
      <c r="J279" s="2">
        <v>44945</v>
      </c>
      <c r="K279" t="s">
        <v>375</v>
      </c>
    </row>
    <row r="280" spans="1:11" x14ac:dyDescent="0.3">
      <c r="A280" t="s">
        <v>208</v>
      </c>
      <c r="B280" t="s">
        <v>11</v>
      </c>
      <c r="C280" t="s">
        <v>16</v>
      </c>
      <c r="D280">
        <v>45</v>
      </c>
      <c r="E280" t="s">
        <v>13</v>
      </c>
      <c r="F280" t="s">
        <v>14</v>
      </c>
      <c r="G280">
        <v>300</v>
      </c>
      <c r="H280">
        <v>1</v>
      </c>
      <c r="I280">
        <v>300</v>
      </c>
      <c r="J280" s="2">
        <v>45185</v>
      </c>
      <c r="K280" t="s">
        <v>373</v>
      </c>
    </row>
    <row r="281" spans="1:11" x14ac:dyDescent="0.3">
      <c r="A281" t="s">
        <v>195</v>
      </c>
      <c r="B281" t="s">
        <v>11</v>
      </c>
      <c r="C281" t="s">
        <v>16</v>
      </c>
      <c r="D281">
        <v>52</v>
      </c>
      <c r="E281" t="s">
        <v>13</v>
      </c>
      <c r="F281" t="s">
        <v>14</v>
      </c>
      <c r="G281">
        <v>300</v>
      </c>
      <c r="H281">
        <v>1</v>
      </c>
      <c r="I281">
        <v>300</v>
      </c>
      <c r="J281" s="2">
        <v>45128</v>
      </c>
      <c r="K281" t="s">
        <v>373</v>
      </c>
    </row>
    <row r="282" spans="1:11" x14ac:dyDescent="0.3">
      <c r="A282" t="s">
        <v>209</v>
      </c>
      <c r="B282" t="s">
        <v>20</v>
      </c>
      <c r="C282" t="s">
        <v>21</v>
      </c>
      <c r="D282">
        <v>63</v>
      </c>
      <c r="E282" t="s">
        <v>13</v>
      </c>
      <c r="F282" t="s">
        <v>14</v>
      </c>
      <c r="G282">
        <v>300</v>
      </c>
      <c r="H282">
        <v>5</v>
      </c>
      <c r="I282">
        <v>1500</v>
      </c>
      <c r="J282" s="2">
        <v>45006</v>
      </c>
      <c r="K282" t="s">
        <v>375</v>
      </c>
    </row>
    <row r="283" spans="1:11" x14ac:dyDescent="0.3">
      <c r="A283" t="s">
        <v>35</v>
      </c>
      <c r="B283" t="s">
        <v>20</v>
      </c>
      <c r="C283" t="s">
        <v>21</v>
      </c>
      <c r="D283">
        <v>67</v>
      </c>
      <c r="E283" t="s">
        <v>31</v>
      </c>
      <c r="F283" t="s">
        <v>18</v>
      </c>
      <c r="G283">
        <v>50</v>
      </c>
      <c r="H283">
        <v>5</v>
      </c>
      <c r="I283">
        <v>250</v>
      </c>
      <c r="J283" s="2">
        <v>45049</v>
      </c>
      <c r="K283" t="s">
        <v>373</v>
      </c>
    </row>
    <row r="284" spans="1:11" x14ac:dyDescent="0.3">
      <c r="A284" t="s">
        <v>210</v>
      </c>
      <c r="B284" t="s">
        <v>11</v>
      </c>
      <c r="C284" t="s">
        <v>16</v>
      </c>
      <c r="D284">
        <v>26</v>
      </c>
      <c r="E284" t="s">
        <v>31</v>
      </c>
      <c r="F284" t="s">
        <v>18</v>
      </c>
      <c r="G284">
        <v>50</v>
      </c>
      <c r="H284">
        <v>4</v>
      </c>
      <c r="I284">
        <v>200</v>
      </c>
      <c r="J284" s="2">
        <v>44950</v>
      </c>
      <c r="K284" t="s">
        <v>375</v>
      </c>
    </row>
    <row r="285" spans="1:11" x14ac:dyDescent="0.3">
      <c r="A285" t="s">
        <v>211</v>
      </c>
      <c r="B285" t="s">
        <v>11</v>
      </c>
      <c r="C285" t="s">
        <v>16</v>
      </c>
      <c r="D285">
        <v>41</v>
      </c>
      <c r="E285" t="s">
        <v>26</v>
      </c>
      <c r="F285" t="s">
        <v>27</v>
      </c>
      <c r="G285">
        <v>200</v>
      </c>
      <c r="H285">
        <v>4</v>
      </c>
      <c r="I285">
        <v>800</v>
      </c>
      <c r="J285" s="2">
        <v>45294</v>
      </c>
      <c r="K285" t="s">
        <v>373</v>
      </c>
    </row>
    <row r="286" spans="1:11" x14ac:dyDescent="0.3">
      <c r="A286" t="s">
        <v>212</v>
      </c>
      <c r="B286" t="s">
        <v>20</v>
      </c>
      <c r="C286" t="s">
        <v>21</v>
      </c>
      <c r="E286" t="s">
        <v>42</v>
      </c>
      <c r="F286" t="s">
        <v>14</v>
      </c>
      <c r="G286">
        <v>800</v>
      </c>
      <c r="H286">
        <v>5</v>
      </c>
      <c r="I286">
        <v>4000</v>
      </c>
      <c r="J286" s="2">
        <v>45261</v>
      </c>
      <c r="K286" t="s">
        <v>381</v>
      </c>
    </row>
    <row r="287" spans="1:11" x14ac:dyDescent="0.3">
      <c r="A287" t="s">
        <v>177</v>
      </c>
      <c r="B287" t="s">
        <v>11</v>
      </c>
      <c r="C287" t="s">
        <v>21</v>
      </c>
      <c r="D287">
        <v>58</v>
      </c>
      <c r="E287" t="s">
        <v>13</v>
      </c>
      <c r="F287" t="s">
        <v>14</v>
      </c>
      <c r="G287">
        <v>300</v>
      </c>
      <c r="H287">
        <v>5</v>
      </c>
      <c r="I287">
        <v>1500</v>
      </c>
      <c r="J287" s="2">
        <v>45062</v>
      </c>
      <c r="K287" t="s">
        <v>373</v>
      </c>
    </row>
    <row r="288" spans="1:11" x14ac:dyDescent="0.3">
      <c r="A288" t="s">
        <v>213</v>
      </c>
      <c r="B288" t="s">
        <v>11</v>
      </c>
      <c r="C288" t="s">
        <v>21</v>
      </c>
      <c r="D288">
        <v>66</v>
      </c>
      <c r="E288" t="s">
        <v>32</v>
      </c>
      <c r="F288" t="s">
        <v>18</v>
      </c>
      <c r="G288">
        <v>30</v>
      </c>
      <c r="H288">
        <v>2</v>
      </c>
      <c r="I288">
        <v>60</v>
      </c>
      <c r="J288" s="2">
        <v>45053</v>
      </c>
      <c r="K288" t="s">
        <v>370</v>
      </c>
    </row>
    <row r="289" spans="1:11" x14ac:dyDescent="0.3">
      <c r="A289" t="s">
        <v>214</v>
      </c>
      <c r="B289" t="s">
        <v>20</v>
      </c>
      <c r="C289" t="s">
        <v>16</v>
      </c>
      <c r="D289">
        <v>67</v>
      </c>
      <c r="E289" t="s">
        <v>17</v>
      </c>
      <c r="F289" t="s">
        <v>18</v>
      </c>
      <c r="G289">
        <v>100</v>
      </c>
      <c r="H289">
        <v>2</v>
      </c>
      <c r="I289">
        <v>200</v>
      </c>
      <c r="J289" s="2">
        <v>45078</v>
      </c>
      <c r="K289" t="s">
        <v>370</v>
      </c>
    </row>
    <row r="290" spans="1:11" x14ac:dyDescent="0.3">
      <c r="A290" t="s">
        <v>58</v>
      </c>
      <c r="B290" t="s">
        <v>11</v>
      </c>
      <c r="C290" t="s">
        <v>12</v>
      </c>
      <c r="D290">
        <v>35</v>
      </c>
      <c r="E290" t="s">
        <v>42</v>
      </c>
      <c r="F290" t="s">
        <v>14</v>
      </c>
      <c r="G290">
        <v>800</v>
      </c>
      <c r="H290">
        <v>5</v>
      </c>
      <c r="I290">
        <v>4000</v>
      </c>
      <c r="J290" s="2">
        <v>44953</v>
      </c>
      <c r="K290" t="s">
        <v>381</v>
      </c>
    </row>
    <row r="291" spans="1:11" x14ac:dyDescent="0.3">
      <c r="A291" t="s">
        <v>190</v>
      </c>
      <c r="B291" t="s">
        <v>11</v>
      </c>
      <c r="C291" t="s">
        <v>21</v>
      </c>
      <c r="D291">
        <v>52</v>
      </c>
      <c r="E291" t="s">
        <v>31</v>
      </c>
      <c r="F291" t="s">
        <v>18</v>
      </c>
      <c r="G291">
        <v>50</v>
      </c>
      <c r="H291">
        <v>2</v>
      </c>
      <c r="I291">
        <v>100</v>
      </c>
      <c r="J291" s="2">
        <v>45173</v>
      </c>
      <c r="K291" t="s">
        <v>373</v>
      </c>
    </row>
    <row r="292" spans="1:11" x14ac:dyDescent="0.3">
      <c r="A292" t="s">
        <v>184</v>
      </c>
      <c r="B292" t="s">
        <v>20</v>
      </c>
      <c r="C292" t="s">
        <v>29</v>
      </c>
      <c r="D292">
        <v>32</v>
      </c>
      <c r="E292" t="s">
        <v>32</v>
      </c>
      <c r="F292" t="s">
        <v>18</v>
      </c>
      <c r="G292">
        <v>30</v>
      </c>
      <c r="H292">
        <v>5</v>
      </c>
      <c r="I292">
        <v>150</v>
      </c>
      <c r="J292" s="2">
        <v>45236</v>
      </c>
      <c r="K292" t="s">
        <v>370</v>
      </c>
    </row>
    <row r="293" spans="1:11" x14ac:dyDescent="0.3">
      <c r="A293" t="s">
        <v>116</v>
      </c>
      <c r="B293" t="s">
        <v>20</v>
      </c>
      <c r="D293">
        <v>33</v>
      </c>
      <c r="E293" t="s">
        <v>26</v>
      </c>
      <c r="F293" t="s">
        <v>27</v>
      </c>
      <c r="G293">
        <v>200</v>
      </c>
      <c r="H293">
        <v>1</v>
      </c>
      <c r="I293">
        <v>200</v>
      </c>
      <c r="J293" s="2">
        <v>45193</v>
      </c>
      <c r="K293" t="s">
        <v>370</v>
      </c>
    </row>
    <row r="294" spans="1:11" x14ac:dyDescent="0.3">
      <c r="A294" t="s">
        <v>174</v>
      </c>
      <c r="B294" t="s">
        <v>11</v>
      </c>
      <c r="C294" t="s">
        <v>12</v>
      </c>
      <c r="D294">
        <v>57</v>
      </c>
      <c r="E294" t="s">
        <v>26</v>
      </c>
      <c r="F294" t="s">
        <v>27</v>
      </c>
      <c r="G294">
        <v>200</v>
      </c>
      <c r="H294">
        <v>1</v>
      </c>
      <c r="I294">
        <v>200</v>
      </c>
      <c r="J294" s="2">
        <v>45177</v>
      </c>
      <c r="K294" t="s">
        <v>373</v>
      </c>
    </row>
    <row r="295" spans="1:11" x14ac:dyDescent="0.3">
      <c r="A295" t="s">
        <v>176</v>
      </c>
      <c r="B295" t="s">
        <v>20</v>
      </c>
      <c r="C295" t="s">
        <v>21</v>
      </c>
      <c r="D295">
        <v>54</v>
      </c>
      <c r="E295" t="s">
        <v>24</v>
      </c>
      <c r="F295" t="s">
        <v>14</v>
      </c>
      <c r="G295">
        <v>1500</v>
      </c>
      <c r="H295">
        <v>5</v>
      </c>
      <c r="I295">
        <v>7500</v>
      </c>
      <c r="J295" s="2">
        <v>45166</v>
      </c>
      <c r="K295" t="s">
        <v>375</v>
      </c>
    </row>
    <row r="296" spans="1:11" x14ac:dyDescent="0.3">
      <c r="A296" t="s">
        <v>215</v>
      </c>
      <c r="B296" t="s">
        <v>11</v>
      </c>
      <c r="C296" t="s">
        <v>16</v>
      </c>
      <c r="D296">
        <v>49</v>
      </c>
      <c r="E296" t="s">
        <v>26</v>
      </c>
      <c r="F296" t="s">
        <v>27</v>
      </c>
      <c r="G296">
        <v>200</v>
      </c>
      <c r="H296">
        <v>4</v>
      </c>
      <c r="I296">
        <v>800</v>
      </c>
      <c r="J296" s="2">
        <v>45003</v>
      </c>
      <c r="K296" t="s">
        <v>373</v>
      </c>
    </row>
    <row r="297" spans="1:11" x14ac:dyDescent="0.3">
      <c r="A297" t="s">
        <v>114</v>
      </c>
      <c r="B297" t="s">
        <v>20</v>
      </c>
      <c r="C297" t="s">
        <v>21</v>
      </c>
      <c r="D297">
        <v>40</v>
      </c>
      <c r="E297" t="s">
        <v>17</v>
      </c>
      <c r="F297" t="s">
        <v>18</v>
      </c>
      <c r="G297">
        <v>100</v>
      </c>
      <c r="H297">
        <v>5</v>
      </c>
      <c r="I297">
        <v>500</v>
      </c>
      <c r="J297" s="2">
        <v>44959</v>
      </c>
      <c r="K297" t="s">
        <v>375</v>
      </c>
    </row>
    <row r="298" spans="1:11" x14ac:dyDescent="0.3">
      <c r="A298" t="s">
        <v>216</v>
      </c>
      <c r="B298" t="s">
        <v>11</v>
      </c>
      <c r="C298" t="s">
        <v>12</v>
      </c>
      <c r="D298">
        <v>67</v>
      </c>
      <c r="E298" t="s">
        <v>17</v>
      </c>
      <c r="F298" t="s">
        <v>18</v>
      </c>
      <c r="G298">
        <v>100</v>
      </c>
      <c r="H298">
        <v>5</v>
      </c>
      <c r="I298">
        <v>500</v>
      </c>
      <c r="J298" s="2">
        <v>45000</v>
      </c>
      <c r="K298" t="s">
        <v>381</v>
      </c>
    </row>
    <row r="299" spans="1:11" x14ac:dyDescent="0.3">
      <c r="A299" t="s">
        <v>36</v>
      </c>
      <c r="B299" t="s">
        <v>20</v>
      </c>
      <c r="C299" t="s">
        <v>12</v>
      </c>
      <c r="D299">
        <v>41</v>
      </c>
      <c r="E299" t="s">
        <v>32</v>
      </c>
      <c r="F299" t="s">
        <v>18</v>
      </c>
      <c r="G299">
        <v>30</v>
      </c>
      <c r="H299">
        <v>3</v>
      </c>
      <c r="I299">
        <v>90</v>
      </c>
      <c r="J299" s="2">
        <v>45294</v>
      </c>
      <c r="K299" t="s">
        <v>381</v>
      </c>
    </row>
    <row r="300" spans="1:11" x14ac:dyDescent="0.3">
      <c r="A300" t="s">
        <v>94</v>
      </c>
      <c r="B300" t="s">
        <v>11</v>
      </c>
      <c r="C300" t="s">
        <v>16</v>
      </c>
      <c r="D300">
        <v>63</v>
      </c>
      <c r="E300" t="s">
        <v>42</v>
      </c>
      <c r="F300" t="s">
        <v>14</v>
      </c>
      <c r="G300">
        <v>800</v>
      </c>
      <c r="H300">
        <v>2</v>
      </c>
      <c r="I300">
        <v>1600</v>
      </c>
      <c r="J300" s="2">
        <v>45287</v>
      </c>
      <c r="K300" t="s">
        <v>370</v>
      </c>
    </row>
    <row r="301" spans="1:11" x14ac:dyDescent="0.3">
      <c r="A301" t="s">
        <v>110</v>
      </c>
      <c r="B301" t="s">
        <v>11</v>
      </c>
      <c r="C301" t="s">
        <v>12</v>
      </c>
      <c r="D301">
        <v>25</v>
      </c>
      <c r="E301" t="s">
        <v>42</v>
      </c>
      <c r="F301" t="s">
        <v>14</v>
      </c>
      <c r="G301">
        <v>800</v>
      </c>
      <c r="H301">
        <v>1</v>
      </c>
      <c r="I301">
        <v>800</v>
      </c>
      <c r="J301" s="2">
        <v>45192</v>
      </c>
      <c r="K301" t="s">
        <v>370</v>
      </c>
    </row>
    <row r="302" spans="1:11" x14ac:dyDescent="0.3">
      <c r="A302" t="s">
        <v>201</v>
      </c>
      <c r="B302" t="s">
        <v>11</v>
      </c>
      <c r="C302" t="s">
        <v>12</v>
      </c>
      <c r="D302">
        <v>50</v>
      </c>
      <c r="E302" t="s">
        <v>24</v>
      </c>
      <c r="F302" t="s">
        <v>14</v>
      </c>
      <c r="G302">
        <v>1500</v>
      </c>
      <c r="H302">
        <v>5</v>
      </c>
      <c r="I302">
        <v>7500</v>
      </c>
      <c r="J302" s="2">
        <v>45085</v>
      </c>
      <c r="K302" t="s">
        <v>370</v>
      </c>
    </row>
    <row r="303" spans="1:11" x14ac:dyDescent="0.3">
      <c r="A303" t="s">
        <v>148</v>
      </c>
      <c r="B303" t="s">
        <v>11</v>
      </c>
      <c r="C303" t="s">
        <v>16</v>
      </c>
      <c r="D303">
        <v>68</v>
      </c>
      <c r="E303" t="s">
        <v>32</v>
      </c>
      <c r="F303" t="s">
        <v>18</v>
      </c>
      <c r="G303">
        <v>30</v>
      </c>
      <c r="H303">
        <v>4</v>
      </c>
      <c r="I303">
        <v>120</v>
      </c>
      <c r="J303" s="2">
        <v>45182</v>
      </c>
      <c r="K303" t="s">
        <v>375</v>
      </c>
    </row>
    <row r="304" spans="1:11" x14ac:dyDescent="0.3">
      <c r="A304" t="s">
        <v>217</v>
      </c>
      <c r="B304" t="s">
        <v>11</v>
      </c>
      <c r="C304" t="s">
        <v>16</v>
      </c>
      <c r="D304">
        <v>62</v>
      </c>
      <c r="E304" t="s">
        <v>26</v>
      </c>
      <c r="F304" t="s">
        <v>27</v>
      </c>
      <c r="G304">
        <v>200</v>
      </c>
      <c r="H304">
        <v>3</v>
      </c>
      <c r="I304">
        <v>600</v>
      </c>
      <c r="J304" s="2">
        <v>44929</v>
      </c>
      <c r="K304" t="s">
        <v>370</v>
      </c>
    </row>
    <row r="305" spans="1:11" x14ac:dyDescent="0.3">
      <c r="A305" t="s">
        <v>176</v>
      </c>
      <c r="B305" t="s">
        <v>11</v>
      </c>
      <c r="C305" t="s">
        <v>21</v>
      </c>
      <c r="D305">
        <v>54</v>
      </c>
      <c r="E305" t="s">
        <v>42</v>
      </c>
      <c r="F305" t="s">
        <v>14</v>
      </c>
      <c r="G305">
        <v>800</v>
      </c>
      <c r="H305">
        <v>1</v>
      </c>
      <c r="I305">
        <v>800</v>
      </c>
      <c r="J305" s="2">
        <v>45130</v>
      </c>
      <c r="K305" t="s">
        <v>373</v>
      </c>
    </row>
    <row r="306" spans="1:11" x14ac:dyDescent="0.3">
      <c r="A306" t="s">
        <v>155</v>
      </c>
      <c r="B306" t="s">
        <v>11</v>
      </c>
      <c r="C306" t="s">
        <v>16</v>
      </c>
      <c r="D306">
        <v>43</v>
      </c>
      <c r="E306" t="s">
        <v>26</v>
      </c>
      <c r="F306" t="s">
        <v>27</v>
      </c>
      <c r="G306">
        <v>200</v>
      </c>
      <c r="H306">
        <v>2</v>
      </c>
      <c r="I306">
        <v>400</v>
      </c>
      <c r="J306" s="2">
        <v>45207</v>
      </c>
      <c r="K306" t="s">
        <v>375</v>
      </c>
    </row>
    <row r="307" spans="1:11" x14ac:dyDescent="0.3">
      <c r="A307" t="s">
        <v>157</v>
      </c>
      <c r="B307" t="s">
        <v>11</v>
      </c>
      <c r="C307" t="s">
        <v>21</v>
      </c>
      <c r="D307">
        <v>60</v>
      </c>
      <c r="E307" t="s">
        <v>31</v>
      </c>
      <c r="F307" t="s">
        <v>18</v>
      </c>
      <c r="G307">
        <v>50</v>
      </c>
      <c r="H307">
        <v>1</v>
      </c>
      <c r="I307">
        <v>50</v>
      </c>
      <c r="J307" s="2">
        <v>44963</v>
      </c>
      <c r="K307" t="s">
        <v>381</v>
      </c>
    </row>
    <row r="308" spans="1:11" x14ac:dyDescent="0.3">
      <c r="A308" t="s">
        <v>218</v>
      </c>
      <c r="B308" t="s">
        <v>11</v>
      </c>
      <c r="C308" t="s">
        <v>16</v>
      </c>
      <c r="D308">
        <v>25</v>
      </c>
      <c r="E308" t="s">
        <v>13</v>
      </c>
      <c r="F308" t="s">
        <v>14</v>
      </c>
      <c r="G308">
        <v>300</v>
      </c>
      <c r="H308">
        <v>3</v>
      </c>
      <c r="I308">
        <v>900</v>
      </c>
      <c r="J308" s="2">
        <v>45220</v>
      </c>
      <c r="K308" t="s">
        <v>375</v>
      </c>
    </row>
    <row r="309" spans="1:11" x14ac:dyDescent="0.3">
      <c r="A309" t="s">
        <v>145</v>
      </c>
      <c r="B309" t="s">
        <v>11</v>
      </c>
      <c r="C309" t="s">
        <v>29</v>
      </c>
      <c r="D309">
        <v>50</v>
      </c>
      <c r="E309" t="s">
        <v>42</v>
      </c>
      <c r="F309" t="s">
        <v>14</v>
      </c>
      <c r="G309">
        <v>800</v>
      </c>
      <c r="H309">
        <v>1</v>
      </c>
      <c r="I309">
        <v>800</v>
      </c>
      <c r="J309" s="2">
        <v>45071</v>
      </c>
      <c r="K309" t="s">
        <v>370</v>
      </c>
    </row>
    <row r="310" spans="1:11" x14ac:dyDescent="0.3">
      <c r="A310" t="s">
        <v>160</v>
      </c>
      <c r="B310" t="s">
        <v>20</v>
      </c>
      <c r="C310" t="s">
        <v>21</v>
      </c>
      <c r="D310">
        <v>32</v>
      </c>
      <c r="E310" t="s">
        <v>42</v>
      </c>
      <c r="F310" t="s">
        <v>14</v>
      </c>
      <c r="G310">
        <v>800</v>
      </c>
      <c r="H310">
        <v>1</v>
      </c>
      <c r="I310">
        <v>800</v>
      </c>
      <c r="J310" s="2">
        <v>45044</v>
      </c>
      <c r="K310" t="s">
        <v>373</v>
      </c>
    </row>
    <row r="311" spans="1:11" x14ac:dyDescent="0.3">
      <c r="A311" t="s">
        <v>205</v>
      </c>
      <c r="B311" t="s">
        <v>11</v>
      </c>
      <c r="C311" t="s">
        <v>29</v>
      </c>
      <c r="D311">
        <v>61</v>
      </c>
      <c r="E311" t="s">
        <v>42</v>
      </c>
      <c r="F311" t="s">
        <v>14</v>
      </c>
      <c r="G311">
        <v>800</v>
      </c>
      <c r="H311">
        <v>2</v>
      </c>
      <c r="I311">
        <v>1600</v>
      </c>
      <c r="J311" s="2">
        <v>45202</v>
      </c>
      <c r="K311" t="s">
        <v>373</v>
      </c>
    </row>
    <row r="312" spans="1:11" x14ac:dyDescent="0.3">
      <c r="A312" t="s">
        <v>33</v>
      </c>
      <c r="B312" t="s">
        <v>11</v>
      </c>
      <c r="C312" t="s">
        <v>21</v>
      </c>
      <c r="E312" t="s">
        <v>31</v>
      </c>
      <c r="F312" t="s">
        <v>18</v>
      </c>
      <c r="G312">
        <v>50</v>
      </c>
      <c r="H312">
        <v>5</v>
      </c>
      <c r="I312">
        <v>250</v>
      </c>
      <c r="J312" s="2">
        <v>45231</v>
      </c>
      <c r="K312" t="s">
        <v>370</v>
      </c>
    </row>
    <row r="313" spans="1:11" x14ac:dyDescent="0.3">
      <c r="A313" t="s">
        <v>121</v>
      </c>
      <c r="B313" t="s">
        <v>20</v>
      </c>
      <c r="C313" t="s">
        <v>16</v>
      </c>
      <c r="D313">
        <v>18</v>
      </c>
      <c r="E313" t="s">
        <v>32</v>
      </c>
      <c r="F313" t="s">
        <v>18</v>
      </c>
      <c r="G313">
        <v>30</v>
      </c>
      <c r="H313">
        <v>4</v>
      </c>
      <c r="I313">
        <v>120</v>
      </c>
      <c r="J313" s="2">
        <v>45107</v>
      </c>
      <c r="K313" t="s">
        <v>373</v>
      </c>
    </row>
    <row r="314" spans="1:11" x14ac:dyDescent="0.3">
      <c r="A314" t="s">
        <v>10</v>
      </c>
      <c r="B314" t="s">
        <v>11</v>
      </c>
      <c r="C314" t="s">
        <v>12</v>
      </c>
      <c r="D314">
        <v>21</v>
      </c>
      <c r="E314" t="s">
        <v>13</v>
      </c>
      <c r="F314" t="s">
        <v>14</v>
      </c>
      <c r="G314">
        <v>300</v>
      </c>
      <c r="H314">
        <v>2</v>
      </c>
      <c r="I314">
        <v>600</v>
      </c>
      <c r="J314" s="2">
        <v>45141</v>
      </c>
      <c r="K314" t="s">
        <v>375</v>
      </c>
    </row>
    <row r="315" spans="1:11" x14ac:dyDescent="0.3">
      <c r="A315" t="s">
        <v>219</v>
      </c>
      <c r="B315" t="s">
        <v>11</v>
      </c>
      <c r="C315" t="s">
        <v>29</v>
      </c>
      <c r="D315">
        <v>69</v>
      </c>
      <c r="E315" t="s">
        <v>17</v>
      </c>
      <c r="F315" t="s">
        <v>18</v>
      </c>
      <c r="G315">
        <v>100</v>
      </c>
      <c r="H315">
        <v>1</v>
      </c>
      <c r="I315">
        <v>100</v>
      </c>
      <c r="J315" s="2">
        <v>45072</v>
      </c>
      <c r="K315" t="s">
        <v>375</v>
      </c>
    </row>
    <row r="316" spans="1:11" x14ac:dyDescent="0.3">
      <c r="A316" t="s">
        <v>220</v>
      </c>
      <c r="B316" t="s">
        <v>20</v>
      </c>
      <c r="C316" t="s">
        <v>16</v>
      </c>
      <c r="D316">
        <v>66</v>
      </c>
      <c r="E316" t="s">
        <v>26</v>
      </c>
      <c r="F316" t="s">
        <v>27</v>
      </c>
      <c r="G316">
        <v>200</v>
      </c>
      <c r="H316">
        <v>5</v>
      </c>
      <c r="I316">
        <v>1000</v>
      </c>
      <c r="J316" s="2">
        <v>45188</v>
      </c>
      <c r="K316" t="s">
        <v>370</v>
      </c>
    </row>
    <row r="317" spans="1:11" x14ac:dyDescent="0.3">
      <c r="A317" t="s">
        <v>221</v>
      </c>
      <c r="B317" t="s">
        <v>20</v>
      </c>
      <c r="C317" t="s">
        <v>16</v>
      </c>
      <c r="D317">
        <v>41</v>
      </c>
      <c r="E317" t="s">
        <v>26</v>
      </c>
      <c r="F317" t="s">
        <v>27</v>
      </c>
      <c r="G317">
        <v>200</v>
      </c>
      <c r="H317">
        <v>3</v>
      </c>
      <c r="I317">
        <v>600</v>
      </c>
      <c r="J317" s="2">
        <v>45095</v>
      </c>
      <c r="K317" t="s">
        <v>373</v>
      </c>
    </row>
    <row r="318" spans="1:11" x14ac:dyDescent="0.3">
      <c r="A318" t="s">
        <v>214</v>
      </c>
      <c r="B318" t="s">
        <v>11</v>
      </c>
      <c r="C318" t="s">
        <v>29</v>
      </c>
      <c r="D318">
        <v>67</v>
      </c>
      <c r="E318" t="s">
        <v>31</v>
      </c>
      <c r="F318" t="s">
        <v>18</v>
      </c>
      <c r="G318">
        <v>50</v>
      </c>
      <c r="H318">
        <v>5</v>
      </c>
      <c r="I318">
        <v>250</v>
      </c>
      <c r="J318" s="2">
        <v>44988</v>
      </c>
      <c r="K318" t="s">
        <v>381</v>
      </c>
    </row>
    <row r="319" spans="1:11" x14ac:dyDescent="0.3">
      <c r="A319" t="s">
        <v>108</v>
      </c>
      <c r="B319" t="s">
        <v>20</v>
      </c>
      <c r="C319" t="s">
        <v>29</v>
      </c>
      <c r="D319">
        <v>42</v>
      </c>
      <c r="E319" t="s">
        <v>42</v>
      </c>
      <c r="F319" t="s">
        <v>14</v>
      </c>
      <c r="G319">
        <v>800</v>
      </c>
      <c r="H319">
        <v>3</v>
      </c>
      <c r="I319">
        <v>2400</v>
      </c>
      <c r="J319" s="2">
        <v>45248</v>
      </c>
      <c r="K319" t="s">
        <v>375</v>
      </c>
    </row>
    <row r="320" spans="1:11" x14ac:dyDescent="0.3">
      <c r="A320" t="s">
        <v>128</v>
      </c>
      <c r="B320" t="s">
        <v>20</v>
      </c>
      <c r="C320" t="s">
        <v>16</v>
      </c>
      <c r="D320">
        <v>50</v>
      </c>
      <c r="E320" t="s">
        <v>13</v>
      </c>
      <c r="F320" t="s">
        <v>14</v>
      </c>
      <c r="G320">
        <v>300</v>
      </c>
      <c r="H320">
        <v>1</v>
      </c>
      <c r="I320">
        <v>300</v>
      </c>
      <c r="J320" s="2">
        <v>45143</v>
      </c>
      <c r="K320" t="s">
        <v>375</v>
      </c>
    </row>
    <row r="321" spans="1:11" x14ac:dyDescent="0.3">
      <c r="A321" t="s">
        <v>148</v>
      </c>
      <c r="B321" t="s">
        <v>20</v>
      </c>
      <c r="C321" t="s">
        <v>29</v>
      </c>
      <c r="D321">
        <v>68</v>
      </c>
      <c r="E321" t="s">
        <v>17</v>
      </c>
      <c r="F321" t="s">
        <v>18</v>
      </c>
      <c r="G321">
        <v>100</v>
      </c>
      <c r="H321">
        <v>4</v>
      </c>
      <c r="I321">
        <v>400</v>
      </c>
      <c r="J321" s="2">
        <v>45230</v>
      </c>
      <c r="K321" t="s">
        <v>375</v>
      </c>
    </row>
    <row r="322" spans="1:11" x14ac:dyDescent="0.3">
      <c r="A322" t="s">
        <v>90</v>
      </c>
      <c r="B322" t="s">
        <v>20</v>
      </c>
      <c r="C322" t="s">
        <v>29</v>
      </c>
      <c r="D322">
        <v>50</v>
      </c>
      <c r="E322" t="s">
        <v>42</v>
      </c>
      <c r="F322" t="s">
        <v>14</v>
      </c>
      <c r="G322">
        <v>800</v>
      </c>
      <c r="H322">
        <v>5</v>
      </c>
      <c r="I322">
        <v>4000</v>
      </c>
      <c r="J322" s="2">
        <v>45149</v>
      </c>
      <c r="K322" t="s">
        <v>375</v>
      </c>
    </row>
    <row r="323" spans="1:11" x14ac:dyDescent="0.3">
      <c r="A323" t="s">
        <v>222</v>
      </c>
      <c r="B323" t="s">
        <v>11</v>
      </c>
      <c r="E323" t="s">
        <v>42</v>
      </c>
      <c r="F323" t="s">
        <v>14</v>
      </c>
      <c r="G323">
        <v>800</v>
      </c>
      <c r="H323">
        <v>1</v>
      </c>
      <c r="I323">
        <v>800</v>
      </c>
      <c r="J323" s="2">
        <v>45255</v>
      </c>
      <c r="K323" t="s">
        <v>381</v>
      </c>
    </row>
    <row r="324" spans="1:11" x14ac:dyDescent="0.3">
      <c r="A324" t="s">
        <v>140</v>
      </c>
      <c r="B324" t="s">
        <v>11</v>
      </c>
      <c r="C324" t="s">
        <v>16</v>
      </c>
      <c r="D324">
        <v>44</v>
      </c>
      <c r="E324" t="s">
        <v>24</v>
      </c>
      <c r="F324" t="s">
        <v>14</v>
      </c>
      <c r="G324">
        <v>1500</v>
      </c>
      <c r="H324">
        <v>5</v>
      </c>
      <c r="I324">
        <v>7500</v>
      </c>
      <c r="J324" s="2">
        <v>45251</v>
      </c>
      <c r="K324" t="s">
        <v>370</v>
      </c>
    </row>
    <row r="325" spans="1:11" x14ac:dyDescent="0.3">
      <c r="A325" t="s">
        <v>223</v>
      </c>
      <c r="B325" t="s">
        <v>20</v>
      </c>
      <c r="C325" t="s">
        <v>29</v>
      </c>
      <c r="D325">
        <v>37</v>
      </c>
      <c r="E325" t="s">
        <v>17</v>
      </c>
      <c r="F325" t="s">
        <v>18</v>
      </c>
      <c r="G325">
        <v>100</v>
      </c>
      <c r="H325">
        <v>3</v>
      </c>
      <c r="I325">
        <v>300</v>
      </c>
      <c r="J325" s="2">
        <v>45012</v>
      </c>
      <c r="K325" t="s">
        <v>375</v>
      </c>
    </row>
    <row r="326" spans="1:11" x14ac:dyDescent="0.3">
      <c r="A326" t="s">
        <v>173</v>
      </c>
      <c r="B326" t="s">
        <v>20</v>
      </c>
      <c r="C326" t="s">
        <v>16</v>
      </c>
      <c r="D326">
        <v>55</v>
      </c>
      <c r="E326" t="s">
        <v>24</v>
      </c>
      <c r="F326" t="s">
        <v>14</v>
      </c>
      <c r="G326">
        <v>1500</v>
      </c>
      <c r="H326">
        <v>1</v>
      </c>
      <c r="I326">
        <v>1500</v>
      </c>
      <c r="J326" s="2">
        <v>45219</v>
      </c>
      <c r="K326" t="s">
        <v>373</v>
      </c>
    </row>
    <row r="327" spans="1:11" x14ac:dyDescent="0.3">
      <c r="A327" t="s">
        <v>140</v>
      </c>
      <c r="B327" t="s">
        <v>20</v>
      </c>
      <c r="C327" t="s">
        <v>12</v>
      </c>
      <c r="D327">
        <v>44</v>
      </c>
      <c r="E327" t="s">
        <v>24</v>
      </c>
      <c r="F327" t="s">
        <v>14</v>
      </c>
      <c r="G327">
        <v>1500</v>
      </c>
      <c r="H327">
        <v>2</v>
      </c>
      <c r="I327">
        <v>3000</v>
      </c>
      <c r="J327" s="2">
        <v>45257</v>
      </c>
      <c r="K327" t="s">
        <v>381</v>
      </c>
    </row>
    <row r="328" spans="1:11" x14ac:dyDescent="0.3">
      <c r="A328" t="s">
        <v>224</v>
      </c>
      <c r="B328" t="s">
        <v>20</v>
      </c>
      <c r="C328" t="s">
        <v>29</v>
      </c>
      <c r="D328">
        <v>67</v>
      </c>
      <c r="E328" t="s">
        <v>42</v>
      </c>
      <c r="F328" t="s">
        <v>14</v>
      </c>
      <c r="G328">
        <v>800</v>
      </c>
      <c r="H328">
        <v>5</v>
      </c>
      <c r="I328">
        <v>4000</v>
      </c>
      <c r="J328" s="2">
        <v>45221</v>
      </c>
      <c r="K328" t="s">
        <v>375</v>
      </c>
    </row>
    <row r="329" spans="1:11" x14ac:dyDescent="0.3">
      <c r="A329" t="s">
        <v>169</v>
      </c>
      <c r="B329" t="s">
        <v>20</v>
      </c>
      <c r="C329" t="s">
        <v>29</v>
      </c>
      <c r="E329" t="s">
        <v>17</v>
      </c>
      <c r="F329" t="s">
        <v>18</v>
      </c>
      <c r="G329">
        <v>100</v>
      </c>
      <c r="H329">
        <v>3</v>
      </c>
      <c r="I329">
        <v>300</v>
      </c>
      <c r="J329" s="2">
        <v>44967</v>
      </c>
      <c r="K329" t="s">
        <v>373</v>
      </c>
    </row>
    <row r="330" spans="1:11" x14ac:dyDescent="0.3">
      <c r="A330" t="s">
        <v>37</v>
      </c>
      <c r="B330" t="s">
        <v>20</v>
      </c>
      <c r="C330" t="s">
        <v>12</v>
      </c>
      <c r="D330">
        <v>60</v>
      </c>
      <c r="E330" t="s">
        <v>42</v>
      </c>
      <c r="F330" t="s">
        <v>14</v>
      </c>
      <c r="G330">
        <v>800</v>
      </c>
      <c r="H330">
        <v>2</v>
      </c>
      <c r="I330">
        <v>1600</v>
      </c>
      <c r="J330" s="2">
        <v>45149</v>
      </c>
      <c r="K330" t="s">
        <v>375</v>
      </c>
    </row>
    <row r="331" spans="1:11" x14ac:dyDescent="0.3">
      <c r="A331" t="s">
        <v>225</v>
      </c>
      <c r="B331" t="s">
        <v>11</v>
      </c>
      <c r="C331" t="s">
        <v>21</v>
      </c>
      <c r="D331">
        <v>20</v>
      </c>
      <c r="E331" t="s">
        <v>31</v>
      </c>
      <c r="F331" t="s">
        <v>18</v>
      </c>
      <c r="G331">
        <v>50</v>
      </c>
      <c r="H331">
        <v>1</v>
      </c>
      <c r="I331">
        <v>50</v>
      </c>
      <c r="J331" s="2">
        <v>45151</v>
      </c>
      <c r="K331" t="s">
        <v>370</v>
      </c>
    </row>
    <row r="332" spans="1:11" x14ac:dyDescent="0.3">
      <c r="A332" t="s">
        <v>226</v>
      </c>
      <c r="B332" t="s">
        <v>20</v>
      </c>
      <c r="C332" t="s">
        <v>29</v>
      </c>
      <c r="D332">
        <v>34</v>
      </c>
      <c r="E332" t="s">
        <v>26</v>
      </c>
      <c r="F332" t="s">
        <v>27</v>
      </c>
      <c r="G332">
        <v>200</v>
      </c>
      <c r="H332">
        <v>1</v>
      </c>
      <c r="I332">
        <v>200</v>
      </c>
      <c r="J332" s="2">
        <v>45067</v>
      </c>
      <c r="K332" t="s">
        <v>381</v>
      </c>
    </row>
    <row r="333" spans="1:11" x14ac:dyDescent="0.3">
      <c r="A333" t="s">
        <v>227</v>
      </c>
      <c r="B333" t="s">
        <v>20</v>
      </c>
      <c r="C333" t="s">
        <v>12</v>
      </c>
      <c r="D333">
        <v>19</v>
      </c>
      <c r="E333" t="s">
        <v>24</v>
      </c>
      <c r="F333" t="s">
        <v>14</v>
      </c>
      <c r="G333">
        <v>1500</v>
      </c>
      <c r="H333">
        <v>4</v>
      </c>
      <c r="I333">
        <v>6000</v>
      </c>
      <c r="J333" s="2">
        <v>45238</v>
      </c>
      <c r="K333" t="s">
        <v>370</v>
      </c>
    </row>
    <row r="334" spans="1:11" x14ac:dyDescent="0.3">
      <c r="A334" t="s">
        <v>56</v>
      </c>
      <c r="B334" t="s">
        <v>20</v>
      </c>
      <c r="C334" t="s">
        <v>29</v>
      </c>
      <c r="E334" t="s">
        <v>42</v>
      </c>
      <c r="F334" t="s">
        <v>14</v>
      </c>
      <c r="G334">
        <v>800</v>
      </c>
      <c r="H334">
        <v>4</v>
      </c>
      <c r="I334">
        <v>3200</v>
      </c>
      <c r="J334" s="2">
        <v>45094</v>
      </c>
      <c r="K334" t="s">
        <v>381</v>
      </c>
    </row>
    <row r="335" spans="1:11" x14ac:dyDescent="0.3">
      <c r="A335" t="s">
        <v>60</v>
      </c>
      <c r="B335" t="s">
        <v>20</v>
      </c>
      <c r="C335" t="s">
        <v>21</v>
      </c>
      <c r="D335">
        <v>64</v>
      </c>
      <c r="E335" t="s">
        <v>13</v>
      </c>
      <c r="F335" t="s">
        <v>14</v>
      </c>
      <c r="G335">
        <v>300</v>
      </c>
      <c r="H335">
        <v>3</v>
      </c>
      <c r="I335">
        <v>900</v>
      </c>
      <c r="J335" s="2">
        <v>45094</v>
      </c>
      <c r="K335" t="s">
        <v>375</v>
      </c>
    </row>
    <row r="336" spans="1:11" x14ac:dyDescent="0.3">
      <c r="A336" t="s">
        <v>223</v>
      </c>
      <c r="B336" t="s">
        <v>11</v>
      </c>
      <c r="C336" t="s">
        <v>16</v>
      </c>
      <c r="D336">
        <v>37</v>
      </c>
      <c r="E336" t="s">
        <v>13</v>
      </c>
      <c r="F336" t="s">
        <v>14</v>
      </c>
      <c r="G336">
        <v>300</v>
      </c>
      <c r="H336">
        <v>1</v>
      </c>
      <c r="I336">
        <v>300</v>
      </c>
      <c r="J336" s="2">
        <v>45015</v>
      </c>
      <c r="K336" t="s">
        <v>375</v>
      </c>
    </row>
    <row r="337" spans="1:11" x14ac:dyDescent="0.3">
      <c r="A337" t="s">
        <v>38</v>
      </c>
      <c r="B337" t="s">
        <v>20</v>
      </c>
      <c r="C337" t="s">
        <v>16</v>
      </c>
      <c r="D337">
        <v>66</v>
      </c>
      <c r="E337" t="s">
        <v>13</v>
      </c>
      <c r="F337" t="s">
        <v>14</v>
      </c>
      <c r="G337">
        <v>300</v>
      </c>
      <c r="H337">
        <v>1</v>
      </c>
      <c r="I337">
        <v>300</v>
      </c>
      <c r="J337" s="2">
        <v>45231</v>
      </c>
      <c r="K337" t="s">
        <v>381</v>
      </c>
    </row>
    <row r="338" spans="1:11" x14ac:dyDescent="0.3">
      <c r="A338" t="s">
        <v>191</v>
      </c>
      <c r="B338" t="s">
        <v>11</v>
      </c>
      <c r="C338" t="s">
        <v>21</v>
      </c>
      <c r="D338">
        <v>69</v>
      </c>
      <c r="E338" t="s">
        <v>42</v>
      </c>
      <c r="F338" t="s">
        <v>14</v>
      </c>
      <c r="G338">
        <v>800</v>
      </c>
      <c r="H338">
        <v>3</v>
      </c>
      <c r="I338">
        <v>2400</v>
      </c>
      <c r="J338" s="2">
        <v>45206</v>
      </c>
      <c r="K338" t="s">
        <v>373</v>
      </c>
    </row>
    <row r="339" spans="1:11" x14ac:dyDescent="0.3">
      <c r="A339" t="s">
        <v>228</v>
      </c>
      <c r="B339" t="s">
        <v>20</v>
      </c>
      <c r="C339" t="s">
        <v>21</v>
      </c>
      <c r="D339">
        <v>33</v>
      </c>
      <c r="E339" t="s">
        <v>32</v>
      </c>
      <c r="F339" t="s">
        <v>18</v>
      </c>
      <c r="G339">
        <v>30</v>
      </c>
      <c r="H339">
        <v>2</v>
      </c>
      <c r="I339">
        <v>60</v>
      </c>
      <c r="J339" s="2">
        <v>45220</v>
      </c>
      <c r="K339" t="s">
        <v>373</v>
      </c>
    </row>
    <row r="340" spans="1:11" x14ac:dyDescent="0.3">
      <c r="A340" t="s">
        <v>155</v>
      </c>
      <c r="B340" t="s">
        <v>20</v>
      </c>
      <c r="C340" t="s">
        <v>16</v>
      </c>
      <c r="D340">
        <v>43</v>
      </c>
      <c r="E340" t="s">
        <v>13</v>
      </c>
      <c r="F340" t="s">
        <v>14</v>
      </c>
      <c r="G340">
        <v>300</v>
      </c>
      <c r="H340">
        <v>3</v>
      </c>
      <c r="I340">
        <v>900</v>
      </c>
      <c r="J340" s="2">
        <v>45232</v>
      </c>
      <c r="K340" t="s">
        <v>375</v>
      </c>
    </row>
    <row r="341" spans="1:11" x14ac:dyDescent="0.3">
      <c r="A341" t="s">
        <v>102</v>
      </c>
      <c r="B341" t="s">
        <v>20</v>
      </c>
      <c r="C341" t="s">
        <v>21</v>
      </c>
      <c r="D341">
        <v>48</v>
      </c>
      <c r="E341" t="s">
        <v>17</v>
      </c>
      <c r="F341" t="s">
        <v>18</v>
      </c>
      <c r="G341">
        <v>207.30404083244301</v>
      </c>
      <c r="H341">
        <v>1</v>
      </c>
      <c r="I341">
        <v>100</v>
      </c>
      <c r="J341" s="2">
        <v>44949</v>
      </c>
      <c r="K341" t="s">
        <v>375</v>
      </c>
    </row>
    <row r="342" spans="1:11" x14ac:dyDescent="0.3">
      <c r="A342" t="s">
        <v>51</v>
      </c>
      <c r="B342" t="s">
        <v>11</v>
      </c>
      <c r="D342">
        <v>25</v>
      </c>
      <c r="E342" t="s">
        <v>31</v>
      </c>
      <c r="F342" t="s">
        <v>18</v>
      </c>
      <c r="G342">
        <v>50</v>
      </c>
      <c r="H342">
        <v>3</v>
      </c>
      <c r="I342">
        <v>150</v>
      </c>
      <c r="J342" s="2">
        <v>45217</v>
      </c>
      <c r="K342" t="s">
        <v>370</v>
      </c>
    </row>
    <row r="343" spans="1:11" x14ac:dyDescent="0.3">
      <c r="A343" t="s">
        <v>212</v>
      </c>
      <c r="B343" t="s">
        <v>20</v>
      </c>
      <c r="C343" t="s">
        <v>21</v>
      </c>
      <c r="D343">
        <v>54</v>
      </c>
      <c r="E343" t="s">
        <v>42</v>
      </c>
      <c r="F343" t="s">
        <v>14</v>
      </c>
      <c r="G343">
        <v>800</v>
      </c>
      <c r="H343">
        <v>4</v>
      </c>
      <c r="I343">
        <v>3200</v>
      </c>
      <c r="J343" s="2">
        <v>45145</v>
      </c>
      <c r="K343" t="s">
        <v>375</v>
      </c>
    </row>
    <row r="344" spans="1:11" x14ac:dyDescent="0.3">
      <c r="A344" t="s">
        <v>67</v>
      </c>
      <c r="B344" t="s">
        <v>11</v>
      </c>
      <c r="C344" t="s">
        <v>21</v>
      </c>
      <c r="D344">
        <v>38</v>
      </c>
      <c r="E344" t="s">
        <v>13</v>
      </c>
      <c r="F344" t="s">
        <v>14</v>
      </c>
      <c r="G344">
        <v>300</v>
      </c>
      <c r="H344">
        <v>5</v>
      </c>
      <c r="I344">
        <v>1500</v>
      </c>
      <c r="J344" s="2">
        <v>44931</v>
      </c>
      <c r="K344" t="s">
        <v>381</v>
      </c>
    </row>
    <row r="345" spans="1:11" x14ac:dyDescent="0.3">
      <c r="A345" t="s">
        <v>147</v>
      </c>
      <c r="B345" t="s">
        <v>20</v>
      </c>
      <c r="C345" t="s">
        <v>21</v>
      </c>
      <c r="D345">
        <v>30</v>
      </c>
      <c r="E345" t="s">
        <v>13</v>
      </c>
      <c r="F345" t="s">
        <v>14</v>
      </c>
      <c r="G345">
        <v>300</v>
      </c>
      <c r="H345">
        <v>2</v>
      </c>
      <c r="I345">
        <v>600</v>
      </c>
      <c r="J345" s="2">
        <v>45132</v>
      </c>
      <c r="K345" t="s">
        <v>373</v>
      </c>
    </row>
    <row r="346" spans="1:11" x14ac:dyDescent="0.3">
      <c r="A346" t="s">
        <v>199</v>
      </c>
      <c r="B346" t="s">
        <v>20</v>
      </c>
      <c r="C346" t="s">
        <v>21</v>
      </c>
      <c r="D346">
        <v>45</v>
      </c>
      <c r="E346" t="s">
        <v>26</v>
      </c>
      <c r="F346" t="s">
        <v>27</v>
      </c>
      <c r="G346">
        <v>200</v>
      </c>
      <c r="H346">
        <v>3</v>
      </c>
      <c r="I346">
        <v>600</v>
      </c>
      <c r="J346" s="2">
        <v>45255</v>
      </c>
      <c r="K346" t="s">
        <v>373</v>
      </c>
    </row>
    <row r="347" spans="1:11" x14ac:dyDescent="0.3">
      <c r="A347" t="s">
        <v>190</v>
      </c>
      <c r="B347" t="s">
        <v>11</v>
      </c>
      <c r="C347" t="s">
        <v>12</v>
      </c>
      <c r="D347">
        <v>52</v>
      </c>
      <c r="E347" t="s">
        <v>32</v>
      </c>
      <c r="F347" t="s">
        <v>18</v>
      </c>
      <c r="G347">
        <v>30</v>
      </c>
      <c r="H347">
        <v>3</v>
      </c>
      <c r="I347">
        <v>90</v>
      </c>
      <c r="J347" s="2">
        <v>45064</v>
      </c>
      <c r="K347" t="s">
        <v>370</v>
      </c>
    </row>
    <row r="348" spans="1:11" x14ac:dyDescent="0.3">
      <c r="A348" t="s">
        <v>229</v>
      </c>
      <c r="B348" t="s">
        <v>20</v>
      </c>
      <c r="C348" t="s">
        <v>21</v>
      </c>
      <c r="D348">
        <v>66</v>
      </c>
      <c r="E348" t="s">
        <v>32</v>
      </c>
      <c r="F348" t="s">
        <v>18</v>
      </c>
      <c r="G348">
        <v>30</v>
      </c>
      <c r="H348">
        <v>2</v>
      </c>
      <c r="I348">
        <v>60</v>
      </c>
      <c r="J348" s="2">
        <v>45215</v>
      </c>
      <c r="K348" t="s">
        <v>373</v>
      </c>
    </row>
    <row r="349" spans="1:11" x14ac:dyDescent="0.3">
      <c r="A349" t="s">
        <v>80</v>
      </c>
      <c r="B349" t="s">
        <v>11</v>
      </c>
      <c r="C349" t="s">
        <v>21</v>
      </c>
      <c r="D349">
        <v>67</v>
      </c>
      <c r="E349" t="s">
        <v>26</v>
      </c>
      <c r="F349" t="s">
        <v>27</v>
      </c>
      <c r="G349">
        <v>200</v>
      </c>
      <c r="H349">
        <v>3</v>
      </c>
      <c r="I349">
        <v>600</v>
      </c>
      <c r="J349" s="2">
        <v>45012</v>
      </c>
      <c r="K349" t="s">
        <v>373</v>
      </c>
    </row>
    <row r="350" spans="1:11" x14ac:dyDescent="0.3">
      <c r="A350" t="s">
        <v>230</v>
      </c>
      <c r="B350" t="s">
        <v>20</v>
      </c>
      <c r="C350" t="s">
        <v>21</v>
      </c>
      <c r="D350">
        <v>22</v>
      </c>
      <c r="E350" t="s">
        <v>32</v>
      </c>
      <c r="F350" t="s">
        <v>18</v>
      </c>
      <c r="G350">
        <v>30</v>
      </c>
      <c r="H350">
        <v>4</v>
      </c>
      <c r="I350">
        <v>120</v>
      </c>
      <c r="J350" s="2">
        <v>45224</v>
      </c>
      <c r="K350" t="s">
        <v>381</v>
      </c>
    </row>
    <row r="351" spans="1:11" x14ac:dyDescent="0.3">
      <c r="A351" t="s">
        <v>34</v>
      </c>
      <c r="B351" t="s">
        <v>11</v>
      </c>
      <c r="C351" t="s">
        <v>16</v>
      </c>
      <c r="D351">
        <v>49</v>
      </c>
      <c r="E351" t="s">
        <v>13</v>
      </c>
      <c r="F351" t="s">
        <v>14</v>
      </c>
      <c r="G351">
        <v>300</v>
      </c>
      <c r="H351">
        <v>2</v>
      </c>
      <c r="I351">
        <v>600</v>
      </c>
      <c r="J351" s="2">
        <v>45190</v>
      </c>
      <c r="K351" t="s">
        <v>373</v>
      </c>
    </row>
    <row r="352" spans="1:11" x14ac:dyDescent="0.3">
      <c r="A352" t="s">
        <v>231</v>
      </c>
      <c r="B352" t="s">
        <v>11</v>
      </c>
      <c r="C352" t="s">
        <v>21</v>
      </c>
      <c r="D352">
        <v>65</v>
      </c>
      <c r="E352" t="s">
        <v>26</v>
      </c>
      <c r="F352" t="s">
        <v>27</v>
      </c>
      <c r="G352">
        <v>200</v>
      </c>
      <c r="H352">
        <v>3</v>
      </c>
      <c r="I352">
        <v>600</v>
      </c>
      <c r="J352" s="2">
        <v>45294</v>
      </c>
      <c r="K352" t="s">
        <v>370</v>
      </c>
    </row>
    <row r="353" spans="1:11" x14ac:dyDescent="0.3">
      <c r="A353" t="s">
        <v>128</v>
      </c>
      <c r="B353" t="s">
        <v>20</v>
      </c>
      <c r="C353" t="s">
        <v>29</v>
      </c>
      <c r="E353" t="s">
        <v>24</v>
      </c>
      <c r="F353" t="s">
        <v>14</v>
      </c>
      <c r="G353">
        <v>1500</v>
      </c>
      <c r="H353">
        <v>1</v>
      </c>
      <c r="I353">
        <v>1500</v>
      </c>
      <c r="J353" s="2">
        <v>44979</v>
      </c>
      <c r="K353" t="s">
        <v>370</v>
      </c>
    </row>
    <row r="354" spans="1:11" x14ac:dyDescent="0.3">
      <c r="A354" t="s">
        <v>115</v>
      </c>
      <c r="B354" t="s">
        <v>20</v>
      </c>
      <c r="C354" t="s">
        <v>12</v>
      </c>
      <c r="D354">
        <v>63</v>
      </c>
      <c r="E354" t="s">
        <v>13</v>
      </c>
      <c r="F354" t="s">
        <v>14</v>
      </c>
      <c r="G354">
        <v>300</v>
      </c>
      <c r="H354">
        <v>3</v>
      </c>
      <c r="I354">
        <v>900</v>
      </c>
      <c r="J354" s="2">
        <v>45161</v>
      </c>
      <c r="K354" t="s">
        <v>373</v>
      </c>
    </row>
    <row r="355" spans="1:11" x14ac:dyDescent="0.3">
      <c r="A355" t="s">
        <v>68</v>
      </c>
      <c r="B355" t="s">
        <v>11</v>
      </c>
      <c r="C355" t="s">
        <v>21</v>
      </c>
      <c r="D355">
        <v>44</v>
      </c>
      <c r="E355" t="s">
        <v>31</v>
      </c>
      <c r="F355" t="s">
        <v>18</v>
      </c>
      <c r="G355">
        <v>50</v>
      </c>
      <c r="H355">
        <v>2</v>
      </c>
      <c r="I355">
        <v>100</v>
      </c>
      <c r="J355" s="2">
        <v>45139</v>
      </c>
      <c r="K355" t="s">
        <v>375</v>
      </c>
    </row>
    <row r="356" spans="1:11" x14ac:dyDescent="0.3">
      <c r="A356" t="s">
        <v>232</v>
      </c>
      <c r="B356" t="s">
        <v>20</v>
      </c>
      <c r="C356" t="s">
        <v>29</v>
      </c>
      <c r="D356">
        <v>42</v>
      </c>
      <c r="E356" t="s">
        <v>13</v>
      </c>
      <c r="F356" t="s">
        <v>14</v>
      </c>
      <c r="G356">
        <v>300</v>
      </c>
      <c r="H356">
        <v>2</v>
      </c>
      <c r="I356">
        <v>600</v>
      </c>
      <c r="J356" s="2">
        <v>45144</v>
      </c>
      <c r="K356" t="s">
        <v>373</v>
      </c>
    </row>
    <row r="357" spans="1:11" x14ac:dyDescent="0.3">
      <c r="A357" t="s">
        <v>140</v>
      </c>
      <c r="B357" t="s">
        <v>11</v>
      </c>
      <c r="C357" t="s">
        <v>16</v>
      </c>
      <c r="E357" t="s">
        <v>24</v>
      </c>
      <c r="F357" t="s">
        <v>14</v>
      </c>
      <c r="G357">
        <v>1500</v>
      </c>
      <c r="H357">
        <v>4</v>
      </c>
      <c r="I357">
        <v>6000</v>
      </c>
      <c r="J357" s="2">
        <v>44927</v>
      </c>
      <c r="K357" t="s">
        <v>370</v>
      </c>
    </row>
    <row r="358" spans="1:11" x14ac:dyDescent="0.3">
      <c r="A358" t="s">
        <v>82</v>
      </c>
      <c r="B358" t="s">
        <v>11</v>
      </c>
      <c r="C358" t="s">
        <v>29</v>
      </c>
      <c r="D358">
        <v>64</v>
      </c>
      <c r="E358" t="s">
        <v>42</v>
      </c>
      <c r="F358" t="s">
        <v>14</v>
      </c>
      <c r="G358">
        <v>800</v>
      </c>
      <c r="H358">
        <v>4</v>
      </c>
      <c r="I358">
        <v>3200</v>
      </c>
      <c r="J358" s="2">
        <v>45201</v>
      </c>
      <c r="K358" t="s">
        <v>370</v>
      </c>
    </row>
    <row r="359" spans="1:11" x14ac:dyDescent="0.3">
      <c r="A359" t="s">
        <v>176</v>
      </c>
      <c r="B359" t="s">
        <v>11</v>
      </c>
      <c r="C359" t="s">
        <v>29</v>
      </c>
      <c r="D359">
        <v>54</v>
      </c>
      <c r="E359" t="s">
        <v>13</v>
      </c>
      <c r="F359" t="s">
        <v>14</v>
      </c>
      <c r="G359">
        <v>300</v>
      </c>
      <c r="H359">
        <v>4</v>
      </c>
      <c r="I359">
        <v>1200</v>
      </c>
      <c r="J359" s="2">
        <v>45045</v>
      </c>
      <c r="K359" t="s">
        <v>381</v>
      </c>
    </row>
    <row r="360" spans="1:11" x14ac:dyDescent="0.3">
      <c r="A360" t="s">
        <v>175</v>
      </c>
      <c r="B360" t="s">
        <v>20</v>
      </c>
      <c r="C360" t="s">
        <v>12</v>
      </c>
      <c r="D360">
        <v>60</v>
      </c>
      <c r="E360" t="s">
        <v>26</v>
      </c>
      <c r="F360" t="s">
        <v>27</v>
      </c>
      <c r="G360">
        <v>200</v>
      </c>
      <c r="H360">
        <v>2</v>
      </c>
      <c r="I360">
        <v>400</v>
      </c>
      <c r="J360" s="2">
        <v>45131</v>
      </c>
      <c r="K360" t="s">
        <v>373</v>
      </c>
    </row>
    <row r="361" spans="1:11" x14ac:dyDescent="0.3">
      <c r="A361" t="s">
        <v>190</v>
      </c>
      <c r="B361" t="s">
        <v>20</v>
      </c>
      <c r="C361" t="s">
        <v>12</v>
      </c>
      <c r="D361">
        <v>52</v>
      </c>
      <c r="E361" t="s">
        <v>26</v>
      </c>
      <c r="F361" t="s">
        <v>27</v>
      </c>
      <c r="G361">
        <v>200</v>
      </c>
      <c r="H361">
        <v>3</v>
      </c>
      <c r="I361">
        <v>600</v>
      </c>
      <c r="J361" s="2">
        <v>45186</v>
      </c>
      <c r="K361" t="s">
        <v>373</v>
      </c>
    </row>
    <row r="362" spans="1:11" x14ac:dyDescent="0.3">
      <c r="A362" t="s">
        <v>142</v>
      </c>
      <c r="B362" t="s">
        <v>11</v>
      </c>
      <c r="C362" t="s">
        <v>29</v>
      </c>
      <c r="E362" t="s">
        <v>13</v>
      </c>
      <c r="F362" t="s">
        <v>14</v>
      </c>
      <c r="G362">
        <v>300</v>
      </c>
      <c r="H362">
        <v>4</v>
      </c>
      <c r="I362">
        <v>1200</v>
      </c>
      <c r="J362" s="2">
        <v>45195</v>
      </c>
      <c r="K362" t="s">
        <v>381</v>
      </c>
    </row>
    <row r="363" spans="1:11" x14ac:dyDescent="0.3">
      <c r="A363" t="s">
        <v>150</v>
      </c>
      <c r="B363" t="s">
        <v>11</v>
      </c>
      <c r="C363" t="s">
        <v>21</v>
      </c>
      <c r="D363">
        <v>56</v>
      </c>
      <c r="E363" t="s">
        <v>17</v>
      </c>
      <c r="F363" t="s">
        <v>18</v>
      </c>
      <c r="G363">
        <v>100</v>
      </c>
      <c r="H363">
        <v>4</v>
      </c>
      <c r="I363">
        <v>400</v>
      </c>
      <c r="J363" s="2">
        <v>45084</v>
      </c>
      <c r="K363" t="s">
        <v>370</v>
      </c>
    </row>
    <row r="364" spans="1:11" x14ac:dyDescent="0.3">
      <c r="A364" t="s">
        <v>233</v>
      </c>
      <c r="B364" t="s">
        <v>20</v>
      </c>
      <c r="C364" t="s">
        <v>12</v>
      </c>
      <c r="D364">
        <v>64</v>
      </c>
      <c r="E364" t="s">
        <v>17</v>
      </c>
      <c r="F364" t="s">
        <v>18</v>
      </c>
      <c r="G364">
        <v>100</v>
      </c>
      <c r="H364">
        <v>1</v>
      </c>
      <c r="I364">
        <v>100</v>
      </c>
      <c r="J364" s="2">
        <v>44997</v>
      </c>
      <c r="K364" t="s">
        <v>381</v>
      </c>
    </row>
    <row r="365" spans="1:11" x14ac:dyDescent="0.3">
      <c r="A365" t="s">
        <v>234</v>
      </c>
      <c r="B365" t="s">
        <v>20</v>
      </c>
      <c r="C365" t="s">
        <v>29</v>
      </c>
      <c r="D365">
        <v>25</v>
      </c>
      <c r="E365" t="s">
        <v>31</v>
      </c>
      <c r="F365" t="s">
        <v>18</v>
      </c>
      <c r="G365">
        <v>50</v>
      </c>
      <c r="H365">
        <v>4</v>
      </c>
      <c r="I365">
        <v>200</v>
      </c>
      <c r="J365" s="2">
        <v>45223</v>
      </c>
      <c r="K365" t="s">
        <v>375</v>
      </c>
    </row>
    <row r="366" spans="1:11" x14ac:dyDescent="0.3">
      <c r="A366" t="s">
        <v>87</v>
      </c>
      <c r="B366" t="s">
        <v>11</v>
      </c>
      <c r="C366" t="s">
        <v>21</v>
      </c>
      <c r="D366">
        <v>41</v>
      </c>
      <c r="E366" t="s">
        <v>42</v>
      </c>
      <c r="F366" t="s">
        <v>14</v>
      </c>
      <c r="G366">
        <v>800</v>
      </c>
      <c r="H366">
        <v>5</v>
      </c>
      <c r="I366">
        <v>4000</v>
      </c>
      <c r="J366" s="2">
        <v>45261</v>
      </c>
      <c r="K366" t="s">
        <v>373</v>
      </c>
    </row>
    <row r="367" spans="1:11" x14ac:dyDescent="0.3">
      <c r="A367" t="s">
        <v>106</v>
      </c>
      <c r="B367" t="s">
        <v>11</v>
      </c>
      <c r="C367" t="s">
        <v>16</v>
      </c>
      <c r="D367">
        <v>69</v>
      </c>
      <c r="E367" t="s">
        <v>26</v>
      </c>
      <c r="F367" t="s">
        <v>27</v>
      </c>
      <c r="G367">
        <v>200</v>
      </c>
      <c r="H367">
        <v>1</v>
      </c>
      <c r="I367">
        <v>200</v>
      </c>
      <c r="J367" s="2">
        <v>45154</v>
      </c>
      <c r="K367" t="s">
        <v>370</v>
      </c>
    </row>
    <row r="368" spans="1:11" x14ac:dyDescent="0.3">
      <c r="A368" t="s">
        <v>233</v>
      </c>
      <c r="B368" t="s">
        <v>20</v>
      </c>
      <c r="C368" t="s">
        <v>12</v>
      </c>
      <c r="D368">
        <v>64</v>
      </c>
      <c r="E368" t="s">
        <v>31</v>
      </c>
      <c r="F368" t="s">
        <v>18</v>
      </c>
      <c r="G368">
        <v>50</v>
      </c>
      <c r="H368">
        <v>1</v>
      </c>
      <c r="I368">
        <v>50</v>
      </c>
      <c r="J368" s="2">
        <v>44970</v>
      </c>
      <c r="K368" t="s">
        <v>381</v>
      </c>
    </row>
    <row r="369" spans="1:11" x14ac:dyDescent="0.3">
      <c r="A369" t="s">
        <v>235</v>
      </c>
      <c r="B369" t="s">
        <v>20</v>
      </c>
      <c r="D369">
        <v>38</v>
      </c>
      <c r="E369" t="s">
        <v>32</v>
      </c>
      <c r="F369" t="s">
        <v>18</v>
      </c>
      <c r="G369">
        <v>30</v>
      </c>
      <c r="H369">
        <v>2</v>
      </c>
      <c r="I369">
        <v>60</v>
      </c>
      <c r="J369" s="2">
        <v>45258</v>
      </c>
      <c r="K369" t="s">
        <v>370</v>
      </c>
    </row>
    <row r="370" spans="1:11" x14ac:dyDescent="0.3">
      <c r="A370" t="s">
        <v>236</v>
      </c>
      <c r="B370" t="s">
        <v>11</v>
      </c>
      <c r="C370" t="s">
        <v>12</v>
      </c>
      <c r="D370">
        <v>18</v>
      </c>
      <c r="E370" t="s">
        <v>24</v>
      </c>
      <c r="F370" t="s">
        <v>14</v>
      </c>
      <c r="G370">
        <v>1500</v>
      </c>
      <c r="H370">
        <v>2</v>
      </c>
      <c r="I370">
        <v>3000</v>
      </c>
      <c r="J370" s="2">
        <v>45099</v>
      </c>
      <c r="K370" t="s">
        <v>375</v>
      </c>
    </row>
    <row r="371" spans="1:11" x14ac:dyDescent="0.3">
      <c r="A371" t="s">
        <v>159</v>
      </c>
      <c r="B371" t="s">
        <v>20</v>
      </c>
      <c r="C371" t="s">
        <v>21</v>
      </c>
      <c r="D371">
        <v>56</v>
      </c>
      <c r="E371" t="s">
        <v>32</v>
      </c>
      <c r="F371" t="s">
        <v>18</v>
      </c>
      <c r="G371">
        <v>30</v>
      </c>
      <c r="H371">
        <v>5</v>
      </c>
      <c r="I371">
        <v>150</v>
      </c>
      <c r="J371" s="2">
        <v>45100</v>
      </c>
      <c r="K371" t="s">
        <v>373</v>
      </c>
    </row>
    <row r="372" spans="1:11" x14ac:dyDescent="0.3">
      <c r="A372" t="s">
        <v>213</v>
      </c>
      <c r="B372" t="s">
        <v>20</v>
      </c>
      <c r="C372" t="s">
        <v>29</v>
      </c>
      <c r="D372">
        <v>66</v>
      </c>
      <c r="E372" t="s">
        <v>42</v>
      </c>
      <c r="F372" t="s">
        <v>14</v>
      </c>
      <c r="G372">
        <v>800</v>
      </c>
      <c r="H372">
        <v>3</v>
      </c>
      <c r="I372">
        <v>2400</v>
      </c>
      <c r="J372" s="2">
        <v>45135</v>
      </c>
      <c r="K372" t="s">
        <v>381</v>
      </c>
    </row>
    <row r="373" spans="1:11" x14ac:dyDescent="0.3">
      <c r="A373" t="s">
        <v>237</v>
      </c>
      <c r="B373" t="s">
        <v>11</v>
      </c>
      <c r="C373" t="s">
        <v>12</v>
      </c>
      <c r="E373" t="s">
        <v>42</v>
      </c>
      <c r="F373" t="s">
        <v>14</v>
      </c>
      <c r="G373">
        <v>800</v>
      </c>
      <c r="H373">
        <v>1</v>
      </c>
      <c r="I373">
        <v>800</v>
      </c>
      <c r="J373" s="2">
        <v>45229</v>
      </c>
      <c r="K373" t="s">
        <v>370</v>
      </c>
    </row>
    <row r="374" spans="1:11" x14ac:dyDescent="0.3">
      <c r="A374" t="s">
        <v>75</v>
      </c>
      <c r="B374" t="s">
        <v>20</v>
      </c>
      <c r="C374" t="s">
        <v>21</v>
      </c>
      <c r="D374">
        <v>51</v>
      </c>
      <c r="E374" t="s">
        <v>24</v>
      </c>
      <c r="F374" t="s">
        <v>14</v>
      </c>
      <c r="G374">
        <v>1500</v>
      </c>
      <c r="H374">
        <v>3</v>
      </c>
      <c r="I374">
        <v>4500</v>
      </c>
      <c r="J374" s="2">
        <v>45240</v>
      </c>
      <c r="K374" t="s">
        <v>373</v>
      </c>
    </row>
    <row r="375" spans="1:11" x14ac:dyDescent="0.3">
      <c r="A375" t="s">
        <v>64</v>
      </c>
      <c r="B375" t="s">
        <v>20</v>
      </c>
      <c r="C375" t="s">
        <v>16</v>
      </c>
      <c r="D375">
        <v>58</v>
      </c>
      <c r="E375" t="s">
        <v>26</v>
      </c>
      <c r="F375" t="s">
        <v>27</v>
      </c>
      <c r="G375">
        <v>200</v>
      </c>
      <c r="H375">
        <v>3</v>
      </c>
      <c r="I375">
        <v>600</v>
      </c>
      <c r="J375" s="2">
        <v>45294</v>
      </c>
      <c r="K375" t="s">
        <v>373</v>
      </c>
    </row>
    <row r="376" spans="1:11" x14ac:dyDescent="0.3">
      <c r="A376" t="s">
        <v>70</v>
      </c>
      <c r="B376" t="s">
        <v>20</v>
      </c>
      <c r="C376" t="s">
        <v>21</v>
      </c>
      <c r="D376">
        <v>44</v>
      </c>
      <c r="E376" t="s">
        <v>42</v>
      </c>
      <c r="F376" t="s">
        <v>14</v>
      </c>
      <c r="G376">
        <v>1658.43232665954</v>
      </c>
      <c r="H376">
        <v>3</v>
      </c>
      <c r="I376">
        <v>2400</v>
      </c>
      <c r="J376" s="2">
        <v>45080</v>
      </c>
      <c r="K376" t="s">
        <v>370</v>
      </c>
    </row>
    <row r="377" spans="1:11" x14ac:dyDescent="0.3">
      <c r="A377" t="s">
        <v>136</v>
      </c>
      <c r="B377" t="s">
        <v>20</v>
      </c>
      <c r="C377" t="s">
        <v>29</v>
      </c>
      <c r="D377">
        <v>46</v>
      </c>
      <c r="E377" t="s">
        <v>24</v>
      </c>
      <c r="F377" t="s">
        <v>14</v>
      </c>
      <c r="G377">
        <v>1500</v>
      </c>
      <c r="H377">
        <v>4</v>
      </c>
      <c r="I377">
        <v>6000</v>
      </c>
      <c r="J377" s="2">
        <v>45106</v>
      </c>
      <c r="K377" t="s">
        <v>373</v>
      </c>
    </row>
    <row r="378" spans="1:11" x14ac:dyDescent="0.3">
      <c r="A378" t="s">
        <v>206</v>
      </c>
      <c r="B378" t="s">
        <v>11</v>
      </c>
      <c r="C378" t="s">
        <v>29</v>
      </c>
      <c r="D378">
        <v>69</v>
      </c>
      <c r="E378" t="s">
        <v>32</v>
      </c>
      <c r="F378" t="s">
        <v>18</v>
      </c>
      <c r="G378">
        <v>30</v>
      </c>
      <c r="H378">
        <v>1</v>
      </c>
      <c r="I378">
        <v>30</v>
      </c>
      <c r="J378" s="2">
        <v>45205</v>
      </c>
      <c r="K378" t="s">
        <v>373</v>
      </c>
    </row>
    <row r="379" spans="1:11" x14ac:dyDescent="0.3">
      <c r="A379" t="s">
        <v>131</v>
      </c>
      <c r="B379" t="s">
        <v>20</v>
      </c>
      <c r="C379" t="s">
        <v>16</v>
      </c>
      <c r="D379">
        <v>62</v>
      </c>
      <c r="E379" t="s">
        <v>42</v>
      </c>
      <c r="F379" t="s">
        <v>14</v>
      </c>
      <c r="G379">
        <v>800</v>
      </c>
      <c r="H379">
        <v>3</v>
      </c>
      <c r="I379">
        <v>2400</v>
      </c>
      <c r="J379" s="2">
        <v>45139</v>
      </c>
      <c r="K379" t="s">
        <v>381</v>
      </c>
    </row>
    <row r="380" spans="1:11" x14ac:dyDescent="0.3">
      <c r="A380" t="s">
        <v>172</v>
      </c>
      <c r="B380" t="s">
        <v>20</v>
      </c>
      <c r="C380" t="s">
        <v>21</v>
      </c>
      <c r="D380">
        <v>57</v>
      </c>
      <c r="E380" t="s">
        <v>26</v>
      </c>
      <c r="F380" t="s">
        <v>27</v>
      </c>
      <c r="G380">
        <v>200</v>
      </c>
      <c r="H380">
        <v>2</v>
      </c>
      <c r="I380">
        <v>400</v>
      </c>
      <c r="J380" s="2">
        <v>45064</v>
      </c>
      <c r="K380" t="s">
        <v>373</v>
      </c>
    </row>
    <row r="381" spans="1:11" x14ac:dyDescent="0.3">
      <c r="A381" t="s">
        <v>139</v>
      </c>
      <c r="B381" t="s">
        <v>11</v>
      </c>
      <c r="C381" t="s">
        <v>29</v>
      </c>
      <c r="D381">
        <v>27</v>
      </c>
      <c r="E381" t="s">
        <v>42</v>
      </c>
      <c r="F381" t="s">
        <v>14</v>
      </c>
      <c r="G381">
        <v>800</v>
      </c>
      <c r="H381">
        <v>5</v>
      </c>
      <c r="I381">
        <v>4000</v>
      </c>
      <c r="J381" s="2">
        <v>45048</v>
      </c>
      <c r="K381" t="s">
        <v>381</v>
      </c>
    </row>
    <row r="382" spans="1:11" x14ac:dyDescent="0.3">
      <c r="A382" t="s">
        <v>238</v>
      </c>
      <c r="B382" t="s">
        <v>20</v>
      </c>
      <c r="C382" t="s">
        <v>29</v>
      </c>
      <c r="D382">
        <v>57</v>
      </c>
      <c r="E382" t="s">
        <v>42</v>
      </c>
      <c r="F382" t="s">
        <v>14</v>
      </c>
      <c r="G382">
        <v>800</v>
      </c>
      <c r="H382">
        <v>1</v>
      </c>
      <c r="I382">
        <v>800</v>
      </c>
      <c r="J382" s="2">
        <v>45250</v>
      </c>
      <c r="K382" t="s">
        <v>373</v>
      </c>
    </row>
    <row r="383" spans="1:11" x14ac:dyDescent="0.3">
      <c r="A383" t="s">
        <v>71</v>
      </c>
      <c r="B383" t="s">
        <v>20</v>
      </c>
      <c r="C383" t="s">
        <v>16</v>
      </c>
      <c r="D383">
        <v>67</v>
      </c>
      <c r="E383" t="s">
        <v>24</v>
      </c>
      <c r="F383" t="s">
        <v>14</v>
      </c>
      <c r="G383">
        <v>1500</v>
      </c>
      <c r="H383">
        <v>2</v>
      </c>
      <c r="I383">
        <v>3000</v>
      </c>
      <c r="J383" s="2">
        <v>45148</v>
      </c>
      <c r="K383" t="s">
        <v>375</v>
      </c>
    </row>
    <row r="384" spans="1:11" x14ac:dyDescent="0.3">
      <c r="A384" t="s">
        <v>106</v>
      </c>
      <c r="B384" t="s">
        <v>11</v>
      </c>
      <c r="C384" t="s">
        <v>12</v>
      </c>
      <c r="D384">
        <v>69</v>
      </c>
      <c r="E384" t="s">
        <v>13</v>
      </c>
      <c r="F384" t="s">
        <v>14</v>
      </c>
      <c r="G384">
        <v>300</v>
      </c>
      <c r="H384">
        <v>1</v>
      </c>
      <c r="I384">
        <v>300</v>
      </c>
      <c r="J384" s="2">
        <v>45021</v>
      </c>
      <c r="K384" t="s">
        <v>375</v>
      </c>
    </row>
    <row r="385" spans="1:11" x14ac:dyDescent="0.3">
      <c r="A385" t="s">
        <v>215</v>
      </c>
      <c r="B385" t="s">
        <v>20</v>
      </c>
      <c r="C385" t="s">
        <v>12</v>
      </c>
      <c r="D385">
        <v>49</v>
      </c>
      <c r="E385" t="s">
        <v>32</v>
      </c>
      <c r="F385" t="s">
        <v>18</v>
      </c>
      <c r="G385">
        <v>30</v>
      </c>
      <c r="H385">
        <v>1</v>
      </c>
      <c r="I385">
        <v>30</v>
      </c>
      <c r="J385" s="2">
        <v>45035</v>
      </c>
      <c r="K385" t="s">
        <v>381</v>
      </c>
    </row>
    <row r="386" spans="1:11" x14ac:dyDescent="0.3">
      <c r="A386" t="s">
        <v>209</v>
      </c>
      <c r="B386" t="s">
        <v>11</v>
      </c>
      <c r="C386" t="s">
        <v>16</v>
      </c>
      <c r="D386">
        <v>63</v>
      </c>
      <c r="E386" t="s">
        <v>24</v>
      </c>
      <c r="F386" t="s">
        <v>14</v>
      </c>
      <c r="G386">
        <v>1500</v>
      </c>
      <c r="H386">
        <v>3</v>
      </c>
      <c r="I386">
        <v>4500</v>
      </c>
      <c r="J386" s="2">
        <v>45290</v>
      </c>
      <c r="K386" t="s">
        <v>381</v>
      </c>
    </row>
    <row r="387" spans="1:11" x14ac:dyDescent="0.3">
      <c r="A387" t="s">
        <v>239</v>
      </c>
      <c r="B387" t="s">
        <v>11</v>
      </c>
      <c r="C387" t="s">
        <v>21</v>
      </c>
      <c r="E387" t="s">
        <v>24</v>
      </c>
      <c r="F387" t="s">
        <v>14</v>
      </c>
      <c r="G387">
        <v>1500</v>
      </c>
      <c r="H387">
        <v>4</v>
      </c>
      <c r="I387">
        <v>6000</v>
      </c>
      <c r="J387" s="2">
        <v>45240</v>
      </c>
      <c r="K387" t="s">
        <v>375</v>
      </c>
    </row>
    <row r="388" spans="1:11" x14ac:dyDescent="0.3">
      <c r="A388" t="s">
        <v>240</v>
      </c>
      <c r="B388" t="s">
        <v>20</v>
      </c>
      <c r="C388" t="s">
        <v>12</v>
      </c>
      <c r="D388">
        <v>58</v>
      </c>
      <c r="E388" t="s">
        <v>17</v>
      </c>
      <c r="F388" t="s">
        <v>18</v>
      </c>
      <c r="G388">
        <v>100</v>
      </c>
      <c r="H388">
        <v>1</v>
      </c>
      <c r="I388">
        <v>100</v>
      </c>
      <c r="J388" s="2">
        <v>44940</v>
      </c>
      <c r="K388" t="s">
        <v>373</v>
      </c>
    </row>
    <row r="389" spans="1:11" x14ac:dyDescent="0.3">
      <c r="A389" t="s">
        <v>36</v>
      </c>
      <c r="B389" t="s">
        <v>11</v>
      </c>
      <c r="C389" t="s">
        <v>12</v>
      </c>
      <c r="D389">
        <v>41</v>
      </c>
      <c r="E389" t="s">
        <v>17</v>
      </c>
      <c r="F389" t="s">
        <v>18</v>
      </c>
      <c r="G389">
        <v>100</v>
      </c>
      <c r="H389">
        <v>1</v>
      </c>
      <c r="I389">
        <v>100</v>
      </c>
      <c r="J389" s="2">
        <v>45112</v>
      </c>
      <c r="K389" t="s">
        <v>381</v>
      </c>
    </row>
    <row r="390" spans="1:11" x14ac:dyDescent="0.3">
      <c r="A390" t="s">
        <v>89</v>
      </c>
      <c r="B390" t="s">
        <v>20</v>
      </c>
      <c r="C390" t="s">
        <v>29</v>
      </c>
      <c r="D390">
        <v>21</v>
      </c>
      <c r="E390" t="s">
        <v>13</v>
      </c>
      <c r="F390" t="s">
        <v>14</v>
      </c>
      <c r="G390">
        <v>300</v>
      </c>
      <c r="H390">
        <v>3</v>
      </c>
      <c r="I390">
        <v>900</v>
      </c>
      <c r="J390" s="2">
        <v>45294</v>
      </c>
      <c r="K390" t="s">
        <v>370</v>
      </c>
    </row>
    <row r="391" spans="1:11" x14ac:dyDescent="0.3">
      <c r="A391" t="s">
        <v>225</v>
      </c>
      <c r="B391" t="s">
        <v>11</v>
      </c>
      <c r="C391" t="s">
        <v>12</v>
      </c>
      <c r="D391">
        <v>20</v>
      </c>
      <c r="E391" t="s">
        <v>13</v>
      </c>
      <c r="F391" t="s">
        <v>14</v>
      </c>
      <c r="G391">
        <v>300</v>
      </c>
      <c r="H391">
        <v>4</v>
      </c>
      <c r="I391">
        <v>1200</v>
      </c>
      <c r="J391" s="2">
        <v>45236</v>
      </c>
      <c r="K391" t="s">
        <v>373</v>
      </c>
    </row>
    <row r="392" spans="1:11" x14ac:dyDescent="0.3">
      <c r="A392" t="s">
        <v>70</v>
      </c>
      <c r="B392" t="s">
        <v>11</v>
      </c>
      <c r="C392" t="s">
        <v>29</v>
      </c>
      <c r="D392">
        <v>44</v>
      </c>
      <c r="E392" t="s">
        <v>24</v>
      </c>
      <c r="F392" t="s">
        <v>14</v>
      </c>
      <c r="G392">
        <v>1500</v>
      </c>
      <c r="H392">
        <v>5</v>
      </c>
      <c r="I392">
        <v>7500</v>
      </c>
      <c r="J392" s="2">
        <v>44946</v>
      </c>
      <c r="K392" t="s">
        <v>373</v>
      </c>
    </row>
    <row r="393" spans="1:11" x14ac:dyDescent="0.3">
      <c r="A393" t="s">
        <v>41</v>
      </c>
      <c r="B393" t="s">
        <v>20</v>
      </c>
      <c r="C393" t="s">
        <v>12</v>
      </c>
      <c r="D393">
        <v>30</v>
      </c>
      <c r="E393" t="s">
        <v>13</v>
      </c>
      <c r="F393" t="s">
        <v>14</v>
      </c>
      <c r="G393">
        <v>300</v>
      </c>
      <c r="H393">
        <v>5</v>
      </c>
      <c r="I393">
        <v>1500</v>
      </c>
      <c r="J393" s="2">
        <v>45052</v>
      </c>
      <c r="K393" t="s">
        <v>375</v>
      </c>
    </row>
    <row r="394" spans="1:11" x14ac:dyDescent="0.3">
      <c r="A394" t="s">
        <v>162</v>
      </c>
      <c r="B394" t="s">
        <v>20</v>
      </c>
      <c r="C394" t="s">
        <v>12</v>
      </c>
      <c r="D394">
        <v>27</v>
      </c>
      <c r="E394" t="s">
        <v>17</v>
      </c>
      <c r="F394" t="s">
        <v>18</v>
      </c>
      <c r="G394">
        <v>100</v>
      </c>
      <c r="H394">
        <v>2</v>
      </c>
      <c r="I394">
        <v>200</v>
      </c>
      <c r="J394" s="2">
        <v>45220</v>
      </c>
      <c r="K394" t="s">
        <v>381</v>
      </c>
    </row>
    <row r="395" spans="1:11" x14ac:dyDescent="0.3">
      <c r="A395" t="s">
        <v>241</v>
      </c>
      <c r="B395" t="s">
        <v>11</v>
      </c>
      <c r="C395" t="s">
        <v>21</v>
      </c>
      <c r="E395" t="s">
        <v>13</v>
      </c>
      <c r="F395" t="s">
        <v>14</v>
      </c>
      <c r="G395">
        <v>300</v>
      </c>
      <c r="H395">
        <v>3</v>
      </c>
      <c r="I395">
        <v>900</v>
      </c>
      <c r="J395" s="2">
        <v>45290</v>
      </c>
      <c r="K395" t="s">
        <v>373</v>
      </c>
    </row>
    <row r="396" spans="1:11" x14ac:dyDescent="0.3">
      <c r="A396" t="s">
        <v>242</v>
      </c>
      <c r="B396" t="s">
        <v>20</v>
      </c>
      <c r="C396" t="s">
        <v>29</v>
      </c>
      <c r="D396">
        <v>27</v>
      </c>
      <c r="E396" t="s">
        <v>31</v>
      </c>
      <c r="F396" t="s">
        <v>18</v>
      </c>
      <c r="G396">
        <v>50</v>
      </c>
      <c r="H396">
        <v>1</v>
      </c>
      <c r="I396">
        <v>50</v>
      </c>
      <c r="J396" s="2">
        <v>45117</v>
      </c>
      <c r="K396" t="s">
        <v>381</v>
      </c>
    </row>
    <row r="397" spans="1:11" x14ac:dyDescent="0.3">
      <c r="A397" t="s">
        <v>34</v>
      </c>
      <c r="B397" t="s">
        <v>20</v>
      </c>
      <c r="C397" t="s">
        <v>16</v>
      </c>
      <c r="D397">
        <v>49</v>
      </c>
      <c r="E397" t="s">
        <v>42</v>
      </c>
      <c r="F397" t="s">
        <v>14</v>
      </c>
      <c r="G397">
        <v>800</v>
      </c>
      <c r="H397">
        <v>2</v>
      </c>
      <c r="I397">
        <v>1600</v>
      </c>
      <c r="J397" s="2">
        <v>45294</v>
      </c>
      <c r="K397" t="s">
        <v>381</v>
      </c>
    </row>
    <row r="398" spans="1:11" x14ac:dyDescent="0.3">
      <c r="A398" t="s">
        <v>167</v>
      </c>
      <c r="B398" t="s">
        <v>11</v>
      </c>
      <c r="C398" t="s">
        <v>21</v>
      </c>
      <c r="D398">
        <v>66</v>
      </c>
      <c r="E398" t="s">
        <v>32</v>
      </c>
      <c r="F398" t="s">
        <v>18</v>
      </c>
      <c r="G398">
        <v>30</v>
      </c>
      <c r="H398">
        <v>4</v>
      </c>
      <c r="I398">
        <v>120</v>
      </c>
      <c r="J398" s="2">
        <v>44962</v>
      </c>
      <c r="K398" t="s">
        <v>381</v>
      </c>
    </row>
    <row r="399" spans="1:11" x14ac:dyDescent="0.3">
      <c r="A399" t="s">
        <v>143</v>
      </c>
      <c r="B399" t="s">
        <v>20</v>
      </c>
      <c r="C399" t="s">
        <v>12</v>
      </c>
      <c r="D399">
        <v>39</v>
      </c>
      <c r="E399" t="s">
        <v>24</v>
      </c>
      <c r="F399" t="s">
        <v>14</v>
      </c>
      <c r="G399">
        <v>1500</v>
      </c>
      <c r="H399">
        <v>3</v>
      </c>
      <c r="I399">
        <v>4500</v>
      </c>
      <c r="J399" s="2">
        <v>44960</v>
      </c>
      <c r="K399" t="s">
        <v>375</v>
      </c>
    </row>
    <row r="400" spans="1:11" x14ac:dyDescent="0.3">
      <c r="A400" t="s">
        <v>243</v>
      </c>
      <c r="B400" t="s">
        <v>11</v>
      </c>
      <c r="C400" t="s">
        <v>21</v>
      </c>
      <c r="D400">
        <v>52</v>
      </c>
      <c r="E400" t="s">
        <v>24</v>
      </c>
      <c r="F400" t="s">
        <v>14</v>
      </c>
      <c r="G400">
        <v>1500</v>
      </c>
      <c r="H400">
        <v>5</v>
      </c>
      <c r="I400">
        <v>7500</v>
      </c>
      <c r="J400" s="2">
        <v>45252</v>
      </c>
      <c r="K400" t="s">
        <v>381</v>
      </c>
    </row>
    <row r="401" spans="1:11" x14ac:dyDescent="0.3">
      <c r="A401" t="s">
        <v>240</v>
      </c>
      <c r="B401" t="s">
        <v>11</v>
      </c>
      <c r="C401" t="s">
        <v>21</v>
      </c>
      <c r="E401" t="s">
        <v>42</v>
      </c>
      <c r="F401" t="s">
        <v>14</v>
      </c>
      <c r="G401">
        <v>800</v>
      </c>
      <c r="H401">
        <v>3</v>
      </c>
      <c r="I401">
        <v>2400</v>
      </c>
      <c r="J401" s="2">
        <v>45080</v>
      </c>
      <c r="K401" t="s">
        <v>375</v>
      </c>
    </row>
    <row r="402" spans="1:11" x14ac:dyDescent="0.3">
      <c r="A402" t="s">
        <v>192</v>
      </c>
      <c r="B402" t="s">
        <v>20</v>
      </c>
      <c r="C402" t="s">
        <v>16</v>
      </c>
      <c r="D402">
        <v>59</v>
      </c>
      <c r="E402" t="s">
        <v>32</v>
      </c>
      <c r="F402" t="s">
        <v>18</v>
      </c>
      <c r="G402">
        <v>30</v>
      </c>
      <c r="H402">
        <v>3</v>
      </c>
      <c r="I402">
        <v>90</v>
      </c>
      <c r="J402" s="2">
        <v>45042</v>
      </c>
      <c r="K402" t="s">
        <v>370</v>
      </c>
    </row>
    <row r="403" spans="1:11" x14ac:dyDescent="0.3">
      <c r="A403" t="s">
        <v>167</v>
      </c>
      <c r="B403" t="s">
        <v>20</v>
      </c>
      <c r="C403" t="s">
        <v>29</v>
      </c>
      <c r="D403">
        <v>66</v>
      </c>
      <c r="E403" t="s">
        <v>17</v>
      </c>
      <c r="F403" t="s">
        <v>18</v>
      </c>
      <c r="G403">
        <v>100</v>
      </c>
      <c r="H403">
        <v>3</v>
      </c>
      <c r="I403">
        <v>300</v>
      </c>
      <c r="J403" s="2">
        <v>44998</v>
      </c>
      <c r="K403" t="s">
        <v>373</v>
      </c>
    </row>
    <row r="404" spans="1:11" x14ac:dyDescent="0.3">
      <c r="A404" t="s">
        <v>244</v>
      </c>
      <c r="B404" t="s">
        <v>20</v>
      </c>
      <c r="C404" t="s">
        <v>16</v>
      </c>
      <c r="E404" t="s">
        <v>24</v>
      </c>
      <c r="F404" t="s">
        <v>14</v>
      </c>
      <c r="G404">
        <v>1500</v>
      </c>
      <c r="H404">
        <v>5</v>
      </c>
      <c r="I404">
        <v>7500</v>
      </c>
      <c r="J404" s="2">
        <v>44937</v>
      </c>
      <c r="K404" t="s">
        <v>373</v>
      </c>
    </row>
    <row r="405" spans="1:11" x14ac:dyDescent="0.3">
      <c r="A405" t="s">
        <v>237</v>
      </c>
      <c r="B405" t="s">
        <v>20</v>
      </c>
      <c r="C405" t="s">
        <v>21</v>
      </c>
      <c r="D405">
        <v>23</v>
      </c>
      <c r="E405" t="s">
        <v>31</v>
      </c>
      <c r="F405" t="s">
        <v>18</v>
      </c>
      <c r="G405">
        <v>50</v>
      </c>
      <c r="H405">
        <v>5</v>
      </c>
      <c r="I405">
        <v>250</v>
      </c>
      <c r="J405" s="2">
        <v>45026</v>
      </c>
      <c r="K405" t="s">
        <v>370</v>
      </c>
    </row>
    <row r="406" spans="1:11" x14ac:dyDescent="0.3">
      <c r="A406" t="s">
        <v>213</v>
      </c>
      <c r="B406" t="s">
        <v>20</v>
      </c>
      <c r="C406" t="s">
        <v>12</v>
      </c>
      <c r="D406">
        <v>66</v>
      </c>
      <c r="E406" t="s">
        <v>26</v>
      </c>
      <c r="F406" t="s">
        <v>27</v>
      </c>
      <c r="G406">
        <v>200</v>
      </c>
      <c r="H406">
        <v>5</v>
      </c>
      <c r="I406">
        <v>1000</v>
      </c>
      <c r="J406" s="2">
        <v>44992</v>
      </c>
      <c r="K406" t="s">
        <v>375</v>
      </c>
    </row>
    <row r="407" spans="1:11" x14ac:dyDescent="0.3">
      <c r="A407" t="s">
        <v>194</v>
      </c>
      <c r="B407" t="s">
        <v>20</v>
      </c>
      <c r="C407" t="s">
        <v>12</v>
      </c>
      <c r="D407">
        <v>28</v>
      </c>
      <c r="E407" t="s">
        <v>24</v>
      </c>
      <c r="F407" t="s">
        <v>14</v>
      </c>
      <c r="G407">
        <v>1500</v>
      </c>
      <c r="H407">
        <v>1</v>
      </c>
      <c r="I407">
        <v>1500</v>
      </c>
      <c r="J407" s="2">
        <v>45169</v>
      </c>
      <c r="K407" t="s">
        <v>373</v>
      </c>
    </row>
    <row r="408" spans="1:11" x14ac:dyDescent="0.3">
      <c r="A408" t="s">
        <v>40</v>
      </c>
      <c r="B408" t="s">
        <v>11</v>
      </c>
      <c r="C408" t="s">
        <v>29</v>
      </c>
      <c r="D408">
        <v>57</v>
      </c>
      <c r="E408" t="s">
        <v>42</v>
      </c>
      <c r="F408" t="s">
        <v>14</v>
      </c>
      <c r="G408">
        <v>800</v>
      </c>
      <c r="H408">
        <v>2</v>
      </c>
      <c r="I408">
        <v>1600</v>
      </c>
      <c r="J408" s="2">
        <v>44928</v>
      </c>
      <c r="K408" t="s">
        <v>375</v>
      </c>
    </row>
    <row r="409" spans="1:11" x14ac:dyDescent="0.3">
      <c r="A409" t="s">
        <v>245</v>
      </c>
      <c r="B409" t="s">
        <v>11</v>
      </c>
      <c r="C409" t="s">
        <v>21</v>
      </c>
      <c r="E409" t="s">
        <v>31</v>
      </c>
      <c r="F409" t="s">
        <v>18</v>
      </c>
      <c r="G409">
        <v>50</v>
      </c>
      <c r="H409">
        <v>2</v>
      </c>
      <c r="I409">
        <v>100</v>
      </c>
      <c r="J409" s="2">
        <v>45218</v>
      </c>
      <c r="K409" t="s">
        <v>375</v>
      </c>
    </row>
    <row r="410" spans="1:11" x14ac:dyDescent="0.3">
      <c r="A410" t="s">
        <v>45</v>
      </c>
      <c r="B410" t="s">
        <v>11</v>
      </c>
      <c r="C410" t="s">
        <v>16</v>
      </c>
      <c r="D410">
        <v>37</v>
      </c>
      <c r="E410" t="s">
        <v>24</v>
      </c>
      <c r="F410" t="s">
        <v>14</v>
      </c>
      <c r="G410">
        <v>1500</v>
      </c>
      <c r="H410">
        <v>2</v>
      </c>
      <c r="I410">
        <v>3000</v>
      </c>
      <c r="J410" s="2">
        <v>44936</v>
      </c>
      <c r="K410" t="s">
        <v>375</v>
      </c>
    </row>
    <row r="411" spans="1:11" x14ac:dyDescent="0.3">
      <c r="A411" t="s">
        <v>47</v>
      </c>
      <c r="B411" t="s">
        <v>11</v>
      </c>
      <c r="C411" t="s">
        <v>29</v>
      </c>
      <c r="D411">
        <v>52</v>
      </c>
      <c r="E411" t="s">
        <v>17</v>
      </c>
      <c r="F411" t="s">
        <v>18</v>
      </c>
      <c r="G411">
        <v>100</v>
      </c>
      <c r="H411">
        <v>3</v>
      </c>
      <c r="I411">
        <v>300</v>
      </c>
      <c r="J411" s="2">
        <v>44942</v>
      </c>
      <c r="K411" t="s">
        <v>370</v>
      </c>
    </row>
    <row r="412" spans="1:11" x14ac:dyDescent="0.3">
      <c r="A412" t="s">
        <v>246</v>
      </c>
      <c r="B412" t="s">
        <v>11</v>
      </c>
      <c r="C412" t="s">
        <v>16</v>
      </c>
      <c r="E412" t="s">
        <v>26</v>
      </c>
      <c r="F412" t="s">
        <v>27</v>
      </c>
      <c r="G412">
        <v>200</v>
      </c>
      <c r="H412">
        <v>3</v>
      </c>
      <c r="I412">
        <v>600</v>
      </c>
      <c r="J412" s="2">
        <v>45130</v>
      </c>
      <c r="K412" t="s">
        <v>370</v>
      </c>
    </row>
    <row r="413" spans="1:11" x14ac:dyDescent="0.3">
      <c r="A413" t="s">
        <v>93</v>
      </c>
      <c r="B413" t="s">
        <v>20</v>
      </c>
      <c r="C413" t="s">
        <v>29</v>
      </c>
      <c r="D413">
        <v>54</v>
      </c>
      <c r="E413" t="s">
        <v>32</v>
      </c>
      <c r="F413" t="s">
        <v>18</v>
      </c>
      <c r="G413">
        <v>30</v>
      </c>
      <c r="H413">
        <v>5</v>
      </c>
      <c r="I413">
        <v>150</v>
      </c>
      <c r="J413" s="2">
        <v>45264</v>
      </c>
      <c r="K413" t="s">
        <v>375</v>
      </c>
    </row>
    <row r="414" spans="1:11" x14ac:dyDescent="0.3">
      <c r="A414" t="s">
        <v>102</v>
      </c>
      <c r="B414" t="s">
        <v>20</v>
      </c>
      <c r="C414" t="s">
        <v>21</v>
      </c>
      <c r="D414">
        <v>48</v>
      </c>
      <c r="E414" t="s">
        <v>31</v>
      </c>
      <c r="F414" t="s">
        <v>18</v>
      </c>
      <c r="G414">
        <v>50</v>
      </c>
      <c r="H414">
        <v>2</v>
      </c>
      <c r="I414">
        <v>100</v>
      </c>
      <c r="J414" s="2">
        <v>45025</v>
      </c>
      <c r="K414" t="s">
        <v>381</v>
      </c>
    </row>
    <row r="415" spans="1:11" x14ac:dyDescent="0.3">
      <c r="A415" t="s">
        <v>126</v>
      </c>
      <c r="B415" t="s">
        <v>11</v>
      </c>
      <c r="C415" t="s">
        <v>29</v>
      </c>
      <c r="D415">
        <v>61</v>
      </c>
      <c r="E415" t="s">
        <v>13</v>
      </c>
      <c r="F415" t="s">
        <v>14</v>
      </c>
      <c r="G415">
        <v>300</v>
      </c>
      <c r="H415">
        <v>2</v>
      </c>
      <c r="I415">
        <v>600</v>
      </c>
      <c r="J415" s="2">
        <v>45041</v>
      </c>
      <c r="K415" t="s">
        <v>370</v>
      </c>
    </row>
    <row r="416" spans="1:11" x14ac:dyDescent="0.3">
      <c r="A416" t="s">
        <v>247</v>
      </c>
      <c r="B416" t="s">
        <v>20</v>
      </c>
      <c r="C416" t="s">
        <v>29</v>
      </c>
      <c r="D416">
        <v>57</v>
      </c>
      <c r="E416" t="s">
        <v>17</v>
      </c>
      <c r="F416" t="s">
        <v>18</v>
      </c>
      <c r="G416">
        <v>100</v>
      </c>
      <c r="H416">
        <v>4</v>
      </c>
      <c r="I416">
        <v>400</v>
      </c>
      <c r="J416" s="2">
        <v>44985</v>
      </c>
      <c r="K416" t="s">
        <v>381</v>
      </c>
    </row>
    <row r="417" spans="1:11" x14ac:dyDescent="0.3">
      <c r="A417" t="s">
        <v>60</v>
      </c>
      <c r="B417" t="s">
        <v>20</v>
      </c>
      <c r="C417" t="s">
        <v>21</v>
      </c>
      <c r="D417">
        <v>64</v>
      </c>
      <c r="E417" t="s">
        <v>26</v>
      </c>
      <c r="F417" t="s">
        <v>27</v>
      </c>
      <c r="G417">
        <v>200</v>
      </c>
      <c r="H417">
        <v>5</v>
      </c>
      <c r="I417">
        <v>1000</v>
      </c>
      <c r="J417" s="2">
        <v>45055</v>
      </c>
      <c r="K417" t="s">
        <v>381</v>
      </c>
    </row>
    <row r="418" spans="1:11" x14ac:dyDescent="0.3">
      <c r="A418" t="s">
        <v>124</v>
      </c>
      <c r="B418" t="s">
        <v>20</v>
      </c>
      <c r="C418" t="s">
        <v>16</v>
      </c>
      <c r="D418">
        <v>19</v>
      </c>
      <c r="E418" t="s">
        <v>13</v>
      </c>
      <c r="F418" t="s">
        <v>14</v>
      </c>
      <c r="G418">
        <v>300</v>
      </c>
      <c r="H418">
        <v>5</v>
      </c>
      <c r="I418">
        <v>1500</v>
      </c>
      <c r="J418" s="2">
        <v>45268</v>
      </c>
      <c r="K418" t="s">
        <v>375</v>
      </c>
    </row>
    <row r="419" spans="1:11" x14ac:dyDescent="0.3">
      <c r="A419" t="s">
        <v>164</v>
      </c>
      <c r="B419" t="s">
        <v>11</v>
      </c>
      <c r="C419" t="s">
        <v>12</v>
      </c>
      <c r="D419">
        <v>62</v>
      </c>
      <c r="E419" t="s">
        <v>17</v>
      </c>
      <c r="F419" t="s">
        <v>18</v>
      </c>
      <c r="G419">
        <v>100</v>
      </c>
      <c r="H419">
        <v>2</v>
      </c>
      <c r="I419">
        <v>200</v>
      </c>
      <c r="J419" s="2">
        <v>45231</v>
      </c>
      <c r="K419" t="s">
        <v>381</v>
      </c>
    </row>
    <row r="420" spans="1:11" x14ac:dyDescent="0.3">
      <c r="A420" t="s">
        <v>167</v>
      </c>
      <c r="B420" t="s">
        <v>11</v>
      </c>
      <c r="C420" t="s">
        <v>29</v>
      </c>
      <c r="D420">
        <v>66</v>
      </c>
      <c r="E420" t="s">
        <v>32</v>
      </c>
      <c r="F420" t="s">
        <v>18</v>
      </c>
      <c r="G420">
        <v>30</v>
      </c>
      <c r="H420">
        <v>2</v>
      </c>
      <c r="I420">
        <v>60</v>
      </c>
      <c r="J420" s="2">
        <v>45088</v>
      </c>
      <c r="K420" t="s">
        <v>381</v>
      </c>
    </row>
    <row r="421" spans="1:11" x14ac:dyDescent="0.3">
      <c r="A421" t="s">
        <v>219</v>
      </c>
      <c r="B421" t="s">
        <v>20</v>
      </c>
      <c r="C421" t="s">
        <v>21</v>
      </c>
      <c r="D421">
        <v>69</v>
      </c>
      <c r="E421" t="s">
        <v>26</v>
      </c>
      <c r="F421" t="s">
        <v>27</v>
      </c>
      <c r="G421">
        <v>200</v>
      </c>
      <c r="H421">
        <v>4</v>
      </c>
      <c r="I421">
        <v>800</v>
      </c>
      <c r="J421" s="2">
        <v>45208</v>
      </c>
      <c r="K421" t="s">
        <v>381</v>
      </c>
    </row>
    <row r="422" spans="1:11" x14ac:dyDescent="0.3">
      <c r="A422" t="s">
        <v>142</v>
      </c>
      <c r="B422" t="s">
        <v>20</v>
      </c>
      <c r="C422" t="s">
        <v>29</v>
      </c>
      <c r="D422">
        <v>66</v>
      </c>
      <c r="E422" t="s">
        <v>24</v>
      </c>
      <c r="F422" t="s">
        <v>14</v>
      </c>
      <c r="G422">
        <v>1500</v>
      </c>
      <c r="H422">
        <v>4</v>
      </c>
      <c r="I422">
        <v>6000</v>
      </c>
      <c r="J422" s="2">
        <v>45192</v>
      </c>
      <c r="K422" t="s">
        <v>375</v>
      </c>
    </row>
    <row r="423" spans="1:11" x14ac:dyDescent="0.3">
      <c r="A423" t="s">
        <v>248</v>
      </c>
      <c r="B423" t="s">
        <v>20</v>
      </c>
      <c r="C423" t="s">
        <v>16</v>
      </c>
      <c r="D423">
        <v>54</v>
      </c>
      <c r="E423" t="s">
        <v>42</v>
      </c>
      <c r="F423" t="s">
        <v>14</v>
      </c>
      <c r="G423">
        <v>1658.43232665954</v>
      </c>
      <c r="H423">
        <v>2</v>
      </c>
      <c r="I423">
        <v>1600</v>
      </c>
      <c r="J423" s="2">
        <v>45022</v>
      </c>
      <c r="K423" t="s">
        <v>375</v>
      </c>
    </row>
    <row r="424" spans="1:11" x14ac:dyDescent="0.3">
      <c r="A424" t="s">
        <v>43</v>
      </c>
      <c r="B424" t="s">
        <v>11</v>
      </c>
      <c r="C424" t="s">
        <v>21</v>
      </c>
      <c r="D424">
        <v>32</v>
      </c>
      <c r="E424" t="s">
        <v>24</v>
      </c>
      <c r="F424" t="s">
        <v>14</v>
      </c>
      <c r="G424">
        <v>1500</v>
      </c>
      <c r="H424">
        <v>3</v>
      </c>
      <c r="I424">
        <v>4500</v>
      </c>
      <c r="J424" s="2">
        <v>45247</v>
      </c>
      <c r="K424" t="s">
        <v>370</v>
      </c>
    </row>
    <row r="425" spans="1:11" x14ac:dyDescent="0.3">
      <c r="A425" t="s">
        <v>129</v>
      </c>
      <c r="B425" t="s">
        <v>20</v>
      </c>
      <c r="C425" t="s">
        <v>29</v>
      </c>
      <c r="D425">
        <v>38</v>
      </c>
      <c r="E425" t="s">
        <v>13</v>
      </c>
      <c r="F425" t="s">
        <v>14</v>
      </c>
      <c r="G425">
        <v>300</v>
      </c>
      <c r="H425">
        <v>1</v>
      </c>
      <c r="I425">
        <v>300</v>
      </c>
      <c r="J425" s="2">
        <v>44964</v>
      </c>
      <c r="K425" t="s">
        <v>370</v>
      </c>
    </row>
    <row r="426" spans="1:11" x14ac:dyDescent="0.3">
      <c r="A426" t="s">
        <v>249</v>
      </c>
      <c r="B426" t="s">
        <v>20</v>
      </c>
      <c r="D426">
        <v>37</v>
      </c>
      <c r="E426" t="s">
        <v>17</v>
      </c>
      <c r="F426" t="s">
        <v>18</v>
      </c>
      <c r="G426">
        <v>100</v>
      </c>
      <c r="H426">
        <v>3</v>
      </c>
      <c r="I426">
        <v>300</v>
      </c>
      <c r="J426" s="2">
        <v>45199</v>
      </c>
      <c r="K426" t="s">
        <v>381</v>
      </c>
    </row>
    <row r="427" spans="1:11" x14ac:dyDescent="0.3">
      <c r="A427" t="s">
        <v>69</v>
      </c>
      <c r="B427" t="s">
        <v>20</v>
      </c>
      <c r="C427" t="s">
        <v>16</v>
      </c>
      <c r="D427">
        <v>68</v>
      </c>
      <c r="E427" t="s">
        <v>26</v>
      </c>
      <c r="F427" t="s">
        <v>27</v>
      </c>
      <c r="G427">
        <v>200</v>
      </c>
      <c r="H427">
        <v>3</v>
      </c>
      <c r="I427">
        <v>600</v>
      </c>
      <c r="J427" s="2">
        <v>45156</v>
      </c>
      <c r="K427" t="s">
        <v>375</v>
      </c>
    </row>
    <row r="428" spans="1:11" x14ac:dyDescent="0.3">
      <c r="A428" t="s">
        <v>173</v>
      </c>
      <c r="B428" t="s">
        <v>20</v>
      </c>
      <c r="C428" t="s">
        <v>29</v>
      </c>
      <c r="D428">
        <v>55</v>
      </c>
      <c r="E428" t="s">
        <v>26</v>
      </c>
      <c r="F428" t="s">
        <v>27</v>
      </c>
      <c r="G428">
        <v>200</v>
      </c>
      <c r="H428">
        <v>5</v>
      </c>
      <c r="I428">
        <v>1000</v>
      </c>
      <c r="J428" s="2">
        <v>44936</v>
      </c>
      <c r="K428" t="s">
        <v>375</v>
      </c>
    </row>
    <row r="429" spans="1:11" x14ac:dyDescent="0.3">
      <c r="A429" t="s">
        <v>250</v>
      </c>
      <c r="B429" t="s">
        <v>11</v>
      </c>
      <c r="C429" t="s">
        <v>21</v>
      </c>
      <c r="D429">
        <v>50</v>
      </c>
      <c r="E429" t="s">
        <v>13</v>
      </c>
      <c r="F429" t="s">
        <v>14</v>
      </c>
      <c r="G429">
        <v>300</v>
      </c>
      <c r="H429">
        <v>3</v>
      </c>
      <c r="I429">
        <v>900</v>
      </c>
      <c r="J429" s="2">
        <v>45001</v>
      </c>
      <c r="K429" t="s">
        <v>381</v>
      </c>
    </row>
    <row r="430" spans="1:11" x14ac:dyDescent="0.3">
      <c r="A430" t="s">
        <v>111</v>
      </c>
      <c r="B430" t="s">
        <v>20</v>
      </c>
      <c r="D430">
        <v>57</v>
      </c>
      <c r="E430" t="s">
        <v>13</v>
      </c>
      <c r="F430" t="s">
        <v>14</v>
      </c>
      <c r="G430">
        <v>300</v>
      </c>
      <c r="H430">
        <v>2</v>
      </c>
      <c r="I430">
        <v>600</v>
      </c>
      <c r="J430" s="2">
        <v>45171</v>
      </c>
      <c r="K430" t="s">
        <v>370</v>
      </c>
    </row>
    <row r="431" spans="1:11" x14ac:dyDescent="0.3">
      <c r="A431" t="s">
        <v>81</v>
      </c>
      <c r="B431" t="s">
        <v>20</v>
      </c>
      <c r="C431" t="s">
        <v>29</v>
      </c>
      <c r="E431" t="s">
        <v>26</v>
      </c>
      <c r="F431" t="s">
        <v>27</v>
      </c>
      <c r="G431">
        <v>200</v>
      </c>
      <c r="H431">
        <v>3</v>
      </c>
      <c r="I431">
        <v>600</v>
      </c>
      <c r="J431" s="2">
        <v>45023</v>
      </c>
      <c r="K431" t="s">
        <v>375</v>
      </c>
    </row>
    <row r="432" spans="1:11" x14ac:dyDescent="0.3">
      <c r="A432" t="s">
        <v>56</v>
      </c>
      <c r="B432" t="s">
        <v>20</v>
      </c>
      <c r="C432" t="s">
        <v>12</v>
      </c>
      <c r="D432">
        <v>53</v>
      </c>
      <c r="E432" t="s">
        <v>13</v>
      </c>
      <c r="F432" t="s">
        <v>14</v>
      </c>
      <c r="G432">
        <v>300</v>
      </c>
      <c r="H432">
        <v>1</v>
      </c>
      <c r="I432">
        <v>300</v>
      </c>
      <c r="J432" s="2">
        <v>45154</v>
      </c>
      <c r="K432" t="s">
        <v>370</v>
      </c>
    </row>
    <row r="433" spans="1:11" x14ac:dyDescent="0.3">
      <c r="A433" t="s">
        <v>59</v>
      </c>
      <c r="B433" t="s">
        <v>20</v>
      </c>
      <c r="C433" t="s">
        <v>16</v>
      </c>
      <c r="D433">
        <v>41</v>
      </c>
      <c r="E433" t="s">
        <v>17</v>
      </c>
      <c r="F433" t="s">
        <v>18</v>
      </c>
      <c r="G433">
        <v>100</v>
      </c>
      <c r="H433">
        <v>5</v>
      </c>
      <c r="I433">
        <v>500</v>
      </c>
      <c r="J433" s="2">
        <v>45000</v>
      </c>
      <c r="K433" t="s">
        <v>381</v>
      </c>
    </row>
    <row r="434" spans="1:11" x14ac:dyDescent="0.3">
      <c r="A434" t="s">
        <v>15</v>
      </c>
      <c r="B434" t="s">
        <v>20</v>
      </c>
      <c r="C434" t="s">
        <v>12</v>
      </c>
      <c r="D434">
        <v>22</v>
      </c>
      <c r="E434" t="s">
        <v>32</v>
      </c>
      <c r="F434" t="s">
        <v>18</v>
      </c>
      <c r="G434">
        <v>30</v>
      </c>
      <c r="H434">
        <v>1</v>
      </c>
      <c r="I434">
        <v>30</v>
      </c>
      <c r="J434" s="2">
        <v>44988</v>
      </c>
      <c r="K434" t="s">
        <v>375</v>
      </c>
    </row>
    <row r="435" spans="1:11" x14ac:dyDescent="0.3">
      <c r="A435" t="s">
        <v>202</v>
      </c>
      <c r="B435" t="s">
        <v>11</v>
      </c>
      <c r="C435" t="s">
        <v>21</v>
      </c>
      <c r="D435">
        <v>44</v>
      </c>
      <c r="E435" t="s">
        <v>26</v>
      </c>
      <c r="F435" t="s">
        <v>27</v>
      </c>
      <c r="G435">
        <v>200</v>
      </c>
      <c r="H435">
        <v>4</v>
      </c>
      <c r="I435">
        <v>800</v>
      </c>
      <c r="J435" s="2">
        <v>44988</v>
      </c>
      <c r="K435" t="s">
        <v>381</v>
      </c>
    </row>
    <row r="436" spans="1:11" x14ac:dyDescent="0.3">
      <c r="A436" t="s">
        <v>194</v>
      </c>
      <c r="B436" t="s">
        <v>11</v>
      </c>
      <c r="C436" t="s">
        <v>21</v>
      </c>
      <c r="D436">
        <v>28</v>
      </c>
      <c r="E436" t="s">
        <v>17</v>
      </c>
      <c r="F436" t="s">
        <v>18</v>
      </c>
      <c r="G436">
        <v>100</v>
      </c>
      <c r="H436">
        <v>3</v>
      </c>
      <c r="I436">
        <v>300</v>
      </c>
      <c r="J436" s="2">
        <v>45148</v>
      </c>
      <c r="K436" t="s">
        <v>373</v>
      </c>
    </row>
    <row r="437" spans="1:11" x14ac:dyDescent="0.3">
      <c r="A437" t="s">
        <v>175</v>
      </c>
      <c r="B437" t="s">
        <v>11</v>
      </c>
      <c r="C437" t="s">
        <v>29</v>
      </c>
      <c r="D437">
        <v>60</v>
      </c>
      <c r="E437" t="s">
        <v>32</v>
      </c>
      <c r="F437" t="s">
        <v>18</v>
      </c>
      <c r="G437">
        <v>30</v>
      </c>
      <c r="H437">
        <v>3</v>
      </c>
      <c r="I437">
        <v>90</v>
      </c>
      <c r="J437" s="2">
        <v>44951</v>
      </c>
      <c r="K437" t="s">
        <v>381</v>
      </c>
    </row>
    <row r="438" spans="1:11" x14ac:dyDescent="0.3">
      <c r="A438" t="s">
        <v>192</v>
      </c>
      <c r="B438" t="s">
        <v>20</v>
      </c>
      <c r="E438" t="s">
        <v>32</v>
      </c>
      <c r="F438" t="s">
        <v>18</v>
      </c>
      <c r="G438">
        <v>30</v>
      </c>
      <c r="H438">
        <v>2</v>
      </c>
      <c r="I438">
        <v>60</v>
      </c>
      <c r="J438" s="2">
        <v>45188</v>
      </c>
      <c r="K438" t="s">
        <v>381</v>
      </c>
    </row>
    <row r="439" spans="1:11" x14ac:dyDescent="0.3">
      <c r="A439" t="s">
        <v>197</v>
      </c>
      <c r="B439" t="s">
        <v>20</v>
      </c>
      <c r="D439">
        <v>51</v>
      </c>
      <c r="E439" t="s">
        <v>13</v>
      </c>
      <c r="F439" t="s">
        <v>14</v>
      </c>
      <c r="G439">
        <v>300</v>
      </c>
      <c r="H439">
        <v>4</v>
      </c>
      <c r="I439">
        <v>1200</v>
      </c>
      <c r="J439" s="2">
        <v>45182</v>
      </c>
      <c r="K439" t="s">
        <v>381</v>
      </c>
    </row>
    <row r="440" spans="1:11" x14ac:dyDescent="0.3">
      <c r="A440" t="s">
        <v>251</v>
      </c>
      <c r="B440" t="s">
        <v>11</v>
      </c>
      <c r="C440" t="s">
        <v>21</v>
      </c>
      <c r="D440">
        <v>64</v>
      </c>
      <c r="E440" t="s">
        <v>31</v>
      </c>
      <c r="F440" t="s">
        <v>18</v>
      </c>
      <c r="G440">
        <v>50</v>
      </c>
      <c r="H440">
        <v>4</v>
      </c>
      <c r="I440">
        <v>200</v>
      </c>
      <c r="J440" s="2">
        <v>45236</v>
      </c>
      <c r="K440" t="s">
        <v>375</v>
      </c>
    </row>
    <row r="441" spans="1:11" x14ac:dyDescent="0.3">
      <c r="A441" t="s">
        <v>169</v>
      </c>
      <c r="B441" t="s">
        <v>11</v>
      </c>
      <c r="C441" t="s">
        <v>29</v>
      </c>
      <c r="D441">
        <v>64</v>
      </c>
      <c r="E441" t="s">
        <v>31</v>
      </c>
      <c r="F441" t="s">
        <v>18</v>
      </c>
      <c r="G441">
        <v>50</v>
      </c>
      <c r="H441">
        <v>1</v>
      </c>
      <c r="I441">
        <v>50</v>
      </c>
      <c r="J441" s="2">
        <v>45070</v>
      </c>
      <c r="K441" t="s">
        <v>381</v>
      </c>
    </row>
    <row r="442" spans="1:11" x14ac:dyDescent="0.3">
      <c r="A442" t="s">
        <v>252</v>
      </c>
      <c r="B442" t="s">
        <v>20</v>
      </c>
      <c r="C442" t="s">
        <v>29</v>
      </c>
      <c r="D442">
        <v>56</v>
      </c>
      <c r="E442" t="s">
        <v>32</v>
      </c>
      <c r="F442" t="s">
        <v>18</v>
      </c>
      <c r="G442">
        <v>30</v>
      </c>
      <c r="H442">
        <v>2</v>
      </c>
      <c r="I442">
        <v>60</v>
      </c>
      <c r="J442" s="2">
        <v>44972</v>
      </c>
      <c r="K442" t="s">
        <v>381</v>
      </c>
    </row>
    <row r="443" spans="1:11" x14ac:dyDescent="0.3">
      <c r="A443" t="s">
        <v>246</v>
      </c>
      <c r="B443" t="s">
        <v>20</v>
      </c>
      <c r="C443" t="s">
        <v>16</v>
      </c>
      <c r="D443">
        <v>23</v>
      </c>
      <c r="E443" t="s">
        <v>42</v>
      </c>
      <c r="F443" t="s">
        <v>14</v>
      </c>
      <c r="G443">
        <v>800</v>
      </c>
      <c r="H443">
        <v>2</v>
      </c>
      <c r="I443">
        <v>1600</v>
      </c>
      <c r="J443" s="2">
        <v>45218</v>
      </c>
      <c r="K443" t="s">
        <v>373</v>
      </c>
    </row>
    <row r="444" spans="1:11" x14ac:dyDescent="0.3">
      <c r="A444" t="s">
        <v>205</v>
      </c>
      <c r="B444" t="s">
        <v>20</v>
      </c>
      <c r="C444" t="s">
        <v>12</v>
      </c>
      <c r="D444">
        <v>61</v>
      </c>
      <c r="E444" t="s">
        <v>31</v>
      </c>
      <c r="F444" t="s">
        <v>18</v>
      </c>
      <c r="G444">
        <v>50</v>
      </c>
      <c r="H444">
        <v>1</v>
      </c>
      <c r="I444">
        <v>50</v>
      </c>
      <c r="J444" s="2">
        <v>45135</v>
      </c>
      <c r="K444" t="s">
        <v>375</v>
      </c>
    </row>
    <row r="445" spans="1:11" x14ac:dyDescent="0.3">
      <c r="A445" t="s">
        <v>74</v>
      </c>
      <c r="B445" t="s">
        <v>20</v>
      </c>
      <c r="C445" t="s">
        <v>21</v>
      </c>
      <c r="D445">
        <v>42</v>
      </c>
      <c r="E445" t="s">
        <v>31</v>
      </c>
      <c r="F445" t="s">
        <v>18</v>
      </c>
      <c r="G445">
        <v>50</v>
      </c>
      <c r="H445">
        <v>2</v>
      </c>
      <c r="I445">
        <v>100</v>
      </c>
      <c r="J445" s="2">
        <v>44978</v>
      </c>
      <c r="K445" t="s">
        <v>373</v>
      </c>
    </row>
    <row r="446" spans="1:11" x14ac:dyDescent="0.3">
      <c r="A446" t="s">
        <v>104</v>
      </c>
      <c r="B446" t="s">
        <v>11</v>
      </c>
      <c r="C446" t="s">
        <v>12</v>
      </c>
      <c r="D446">
        <v>30</v>
      </c>
      <c r="E446" t="s">
        <v>31</v>
      </c>
      <c r="F446" t="s">
        <v>18</v>
      </c>
      <c r="G446">
        <v>50</v>
      </c>
      <c r="H446">
        <v>1</v>
      </c>
      <c r="I446">
        <v>50</v>
      </c>
      <c r="J446" s="2">
        <v>45274</v>
      </c>
      <c r="K446" t="s">
        <v>381</v>
      </c>
    </row>
    <row r="447" spans="1:11" x14ac:dyDescent="0.3">
      <c r="A447" t="s">
        <v>138</v>
      </c>
      <c r="B447" t="s">
        <v>20</v>
      </c>
      <c r="C447" t="s">
        <v>16</v>
      </c>
      <c r="D447">
        <v>37</v>
      </c>
      <c r="E447" t="s">
        <v>17</v>
      </c>
      <c r="F447" t="s">
        <v>18</v>
      </c>
      <c r="G447">
        <v>100</v>
      </c>
      <c r="H447">
        <v>3</v>
      </c>
      <c r="I447">
        <v>300</v>
      </c>
      <c r="J447" s="2">
        <v>44992</v>
      </c>
      <c r="K447" t="s">
        <v>375</v>
      </c>
    </row>
    <row r="448" spans="1:11" x14ac:dyDescent="0.3">
      <c r="A448" t="s">
        <v>173</v>
      </c>
      <c r="B448" t="s">
        <v>20</v>
      </c>
      <c r="C448" t="s">
        <v>29</v>
      </c>
      <c r="D448">
        <v>55</v>
      </c>
      <c r="E448" t="s">
        <v>32</v>
      </c>
      <c r="F448" t="s">
        <v>18</v>
      </c>
      <c r="G448">
        <v>30</v>
      </c>
      <c r="H448">
        <v>1</v>
      </c>
      <c r="I448">
        <v>30</v>
      </c>
      <c r="J448" s="2">
        <v>45071</v>
      </c>
      <c r="K448" t="s">
        <v>373</v>
      </c>
    </row>
    <row r="449" spans="1:11" x14ac:dyDescent="0.3">
      <c r="A449" t="s">
        <v>69</v>
      </c>
      <c r="B449" t="s">
        <v>20</v>
      </c>
      <c r="C449" t="s">
        <v>12</v>
      </c>
      <c r="D449">
        <v>68</v>
      </c>
      <c r="E449" t="s">
        <v>13</v>
      </c>
      <c r="F449" t="s">
        <v>14</v>
      </c>
      <c r="G449">
        <v>300</v>
      </c>
      <c r="H449">
        <v>3</v>
      </c>
      <c r="I449">
        <v>900</v>
      </c>
      <c r="J449" s="2">
        <v>44966</v>
      </c>
      <c r="K449" t="s">
        <v>381</v>
      </c>
    </row>
    <row r="450" spans="1:11" x14ac:dyDescent="0.3">
      <c r="A450" t="s">
        <v>253</v>
      </c>
      <c r="B450" t="s">
        <v>20</v>
      </c>
      <c r="C450" t="s">
        <v>16</v>
      </c>
      <c r="D450">
        <v>51</v>
      </c>
      <c r="E450" t="s">
        <v>31</v>
      </c>
      <c r="F450" t="s">
        <v>18</v>
      </c>
      <c r="G450">
        <v>50</v>
      </c>
      <c r="H450">
        <v>3</v>
      </c>
      <c r="I450">
        <v>150</v>
      </c>
      <c r="J450" s="2">
        <v>45294</v>
      </c>
      <c r="K450" t="s">
        <v>370</v>
      </c>
    </row>
    <row r="451" spans="1:11" x14ac:dyDescent="0.3">
      <c r="A451" t="s">
        <v>175</v>
      </c>
      <c r="B451" t="s">
        <v>20</v>
      </c>
      <c r="C451" t="s">
        <v>29</v>
      </c>
      <c r="D451">
        <v>60</v>
      </c>
      <c r="E451" t="s">
        <v>13</v>
      </c>
      <c r="F451" t="s">
        <v>14</v>
      </c>
      <c r="G451">
        <v>300</v>
      </c>
      <c r="H451">
        <v>4</v>
      </c>
      <c r="I451">
        <v>1200</v>
      </c>
      <c r="J451" s="2">
        <v>45158</v>
      </c>
      <c r="K451" t="s">
        <v>373</v>
      </c>
    </row>
    <row r="452" spans="1:11" x14ac:dyDescent="0.3">
      <c r="A452" t="s">
        <v>195</v>
      </c>
      <c r="B452" t="s">
        <v>20</v>
      </c>
      <c r="C452" t="s">
        <v>29</v>
      </c>
      <c r="D452">
        <v>52</v>
      </c>
      <c r="E452" t="s">
        <v>26</v>
      </c>
      <c r="F452" t="s">
        <v>27</v>
      </c>
      <c r="G452">
        <v>200</v>
      </c>
      <c r="H452">
        <v>5</v>
      </c>
      <c r="I452">
        <v>1000</v>
      </c>
      <c r="J452" s="2">
        <v>44987</v>
      </c>
      <c r="K452" t="s">
        <v>375</v>
      </c>
    </row>
    <row r="453" spans="1:11" x14ac:dyDescent="0.3">
      <c r="A453" t="s">
        <v>134</v>
      </c>
      <c r="B453" t="s">
        <v>11</v>
      </c>
      <c r="C453" t="s">
        <v>21</v>
      </c>
      <c r="E453" t="s">
        <v>31</v>
      </c>
      <c r="F453" t="s">
        <v>18</v>
      </c>
      <c r="G453">
        <v>50</v>
      </c>
      <c r="H453">
        <v>3</v>
      </c>
      <c r="I453">
        <v>150</v>
      </c>
      <c r="J453" s="2">
        <v>45053</v>
      </c>
      <c r="K453" t="s">
        <v>373</v>
      </c>
    </row>
    <row r="454" spans="1:11" x14ac:dyDescent="0.3">
      <c r="A454" t="s">
        <v>205</v>
      </c>
      <c r="B454" t="s">
        <v>20</v>
      </c>
      <c r="C454" t="s">
        <v>29</v>
      </c>
      <c r="D454">
        <v>61</v>
      </c>
      <c r="E454" t="s">
        <v>13</v>
      </c>
      <c r="F454" t="s">
        <v>14</v>
      </c>
      <c r="G454">
        <v>300</v>
      </c>
      <c r="H454">
        <v>1</v>
      </c>
      <c r="I454">
        <v>300</v>
      </c>
      <c r="J454" s="2">
        <v>44940</v>
      </c>
      <c r="K454" t="s">
        <v>373</v>
      </c>
    </row>
    <row r="455" spans="1:11" x14ac:dyDescent="0.3">
      <c r="A455" t="s">
        <v>113</v>
      </c>
      <c r="B455" t="s">
        <v>11</v>
      </c>
      <c r="C455" t="s">
        <v>21</v>
      </c>
      <c r="D455">
        <v>58</v>
      </c>
      <c r="E455" t="s">
        <v>32</v>
      </c>
      <c r="F455" t="s">
        <v>18</v>
      </c>
      <c r="G455">
        <v>30</v>
      </c>
      <c r="H455">
        <v>1</v>
      </c>
      <c r="I455">
        <v>30</v>
      </c>
      <c r="J455" s="2">
        <v>45061</v>
      </c>
      <c r="K455" t="s">
        <v>373</v>
      </c>
    </row>
    <row r="456" spans="1:11" x14ac:dyDescent="0.3">
      <c r="A456" t="s">
        <v>254</v>
      </c>
      <c r="B456" t="s">
        <v>20</v>
      </c>
      <c r="C456" t="s">
        <v>29</v>
      </c>
      <c r="D456">
        <v>55</v>
      </c>
      <c r="E456" t="s">
        <v>31</v>
      </c>
      <c r="F456" t="s">
        <v>18</v>
      </c>
      <c r="G456">
        <v>50</v>
      </c>
      <c r="H456">
        <v>4</v>
      </c>
      <c r="I456">
        <v>200</v>
      </c>
      <c r="J456" s="2">
        <v>45151</v>
      </c>
      <c r="K456" t="s">
        <v>370</v>
      </c>
    </row>
    <row r="457" spans="1:11" x14ac:dyDescent="0.3">
      <c r="A457" t="s">
        <v>236</v>
      </c>
      <c r="B457" t="s">
        <v>20</v>
      </c>
      <c r="C457" t="s">
        <v>29</v>
      </c>
      <c r="D457">
        <v>18</v>
      </c>
      <c r="E457" t="s">
        <v>31</v>
      </c>
      <c r="F457" t="s">
        <v>18</v>
      </c>
      <c r="G457">
        <v>50</v>
      </c>
      <c r="H457">
        <v>4</v>
      </c>
      <c r="I457">
        <v>200</v>
      </c>
      <c r="J457" s="2">
        <v>45158</v>
      </c>
      <c r="K457" t="s">
        <v>375</v>
      </c>
    </row>
    <row r="458" spans="1:11" x14ac:dyDescent="0.3">
      <c r="A458" t="s">
        <v>87</v>
      </c>
      <c r="B458" t="s">
        <v>20</v>
      </c>
      <c r="C458" t="s">
        <v>21</v>
      </c>
      <c r="D458">
        <v>41</v>
      </c>
      <c r="E458" t="s">
        <v>42</v>
      </c>
      <c r="F458" t="s">
        <v>14</v>
      </c>
      <c r="G458">
        <v>800</v>
      </c>
      <c r="H458">
        <v>1</v>
      </c>
      <c r="I458">
        <v>800</v>
      </c>
      <c r="J458" s="2">
        <v>45141</v>
      </c>
      <c r="K458" t="s">
        <v>375</v>
      </c>
    </row>
    <row r="459" spans="1:11" x14ac:dyDescent="0.3">
      <c r="A459" t="s">
        <v>255</v>
      </c>
      <c r="B459" t="s">
        <v>20</v>
      </c>
      <c r="C459" t="s">
        <v>21</v>
      </c>
      <c r="D459">
        <v>56</v>
      </c>
      <c r="E459" t="s">
        <v>17</v>
      </c>
      <c r="F459" t="s">
        <v>18</v>
      </c>
      <c r="G459">
        <v>100</v>
      </c>
      <c r="H459">
        <v>3</v>
      </c>
      <c r="I459">
        <v>300</v>
      </c>
      <c r="J459" s="2">
        <v>45255</v>
      </c>
      <c r="K459" t="s">
        <v>375</v>
      </c>
    </row>
    <row r="460" spans="1:11" x14ac:dyDescent="0.3">
      <c r="A460" t="s">
        <v>256</v>
      </c>
      <c r="B460" t="s">
        <v>20</v>
      </c>
      <c r="C460" t="s">
        <v>21</v>
      </c>
      <c r="D460">
        <v>69</v>
      </c>
      <c r="E460" t="s">
        <v>24</v>
      </c>
      <c r="F460" t="s">
        <v>14</v>
      </c>
      <c r="G460">
        <v>1500</v>
      </c>
      <c r="H460">
        <v>2</v>
      </c>
      <c r="I460">
        <v>3000</v>
      </c>
      <c r="J460" s="2">
        <v>45229</v>
      </c>
      <c r="K460" t="s">
        <v>381</v>
      </c>
    </row>
    <row r="461" spans="1:11" x14ac:dyDescent="0.3">
      <c r="A461" t="s">
        <v>88</v>
      </c>
      <c r="B461" t="s">
        <v>20</v>
      </c>
      <c r="C461" t="s">
        <v>12</v>
      </c>
      <c r="D461">
        <v>61</v>
      </c>
      <c r="E461" t="s">
        <v>42</v>
      </c>
      <c r="F461" t="s">
        <v>14</v>
      </c>
      <c r="G461">
        <v>800</v>
      </c>
      <c r="H461">
        <v>5</v>
      </c>
      <c r="I461">
        <v>4000</v>
      </c>
      <c r="J461" s="2">
        <v>44994</v>
      </c>
      <c r="K461" t="s">
        <v>375</v>
      </c>
    </row>
    <row r="462" spans="1:11" x14ac:dyDescent="0.3">
      <c r="A462" t="s">
        <v>200</v>
      </c>
      <c r="B462" t="s">
        <v>11</v>
      </c>
      <c r="C462" t="s">
        <v>29</v>
      </c>
      <c r="D462">
        <v>46</v>
      </c>
      <c r="E462" t="s">
        <v>42</v>
      </c>
      <c r="F462" t="s">
        <v>14</v>
      </c>
      <c r="G462">
        <v>800</v>
      </c>
      <c r="H462">
        <v>2</v>
      </c>
      <c r="I462">
        <v>1600</v>
      </c>
      <c r="J462" s="2">
        <v>44933</v>
      </c>
      <c r="K462" t="s">
        <v>375</v>
      </c>
    </row>
    <row r="463" spans="1:11" x14ac:dyDescent="0.3">
      <c r="A463" t="s">
        <v>147</v>
      </c>
      <c r="B463" t="s">
        <v>11</v>
      </c>
      <c r="C463" t="s">
        <v>29</v>
      </c>
      <c r="D463">
        <v>30</v>
      </c>
      <c r="E463" t="s">
        <v>26</v>
      </c>
      <c r="F463" t="s">
        <v>27</v>
      </c>
      <c r="G463">
        <v>200</v>
      </c>
      <c r="H463">
        <v>2</v>
      </c>
      <c r="I463">
        <v>400</v>
      </c>
      <c r="J463" s="2">
        <v>45146</v>
      </c>
      <c r="K463" t="s">
        <v>370</v>
      </c>
    </row>
    <row r="464" spans="1:11" x14ac:dyDescent="0.3">
      <c r="A464" t="s">
        <v>64</v>
      </c>
      <c r="B464" t="s">
        <v>20</v>
      </c>
      <c r="C464" t="s">
        <v>29</v>
      </c>
      <c r="D464">
        <v>58</v>
      </c>
      <c r="E464" t="s">
        <v>42</v>
      </c>
      <c r="F464" t="s">
        <v>14</v>
      </c>
      <c r="G464">
        <v>800</v>
      </c>
      <c r="H464">
        <v>5</v>
      </c>
      <c r="I464">
        <v>4000</v>
      </c>
      <c r="J464" s="2">
        <v>45276</v>
      </c>
      <c r="K464" t="s">
        <v>381</v>
      </c>
    </row>
    <row r="465" spans="1:11" x14ac:dyDescent="0.3">
      <c r="A465" t="s">
        <v>215</v>
      </c>
      <c r="B465" t="s">
        <v>20</v>
      </c>
      <c r="C465" t="s">
        <v>21</v>
      </c>
      <c r="D465">
        <v>49</v>
      </c>
      <c r="E465" t="s">
        <v>13</v>
      </c>
      <c r="F465" t="s">
        <v>14</v>
      </c>
      <c r="G465">
        <v>300</v>
      </c>
      <c r="H465">
        <v>3</v>
      </c>
      <c r="I465">
        <v>900</v>
      </c>
      <c r="J465" s="2">
        <v>45075</v>
      </c>
      <c r="K465" t="s">
        <v>381</v>
      </c>
    </row>
    <row r="466" spans="1:11" x14ac:dyDescent="0.3">
      <c r="A466" t="s">
        <v>119</v>
      </c>
      <c r="B466" t="s">
        <v>20</v>
      </c>
      <c r="C466" t="s">
        <v>12</v>
      </c>
      <c r="D466">
        <v>29</v>
      </c>
      <c r="E466" t="s">
        <v>13</v>
      </c>
      <c r="F466" t="s">
        <v>14</v>
      </c>
      <c r="G466">
        <v>300</v>
      </c>
      <c r="H466">
        <v>4</v>
      </c>
      <c r="I466">
        <v>1200</v>
      </c>
      <c r="J466" s="2">
        <v>45173</v>
      </c>
      <c r="K466" t="s">
        <v>373</v>
      </c>
    </row>
    <row r="467" spans="1:11" x14ac:dyDescent="0.3">
      <c r="A467" t="s">
        <v>158</v>
      </c>
      <c r="B467" t="s">
        <v>20</v>
      </c>
      <c r="C467" t="s">
        <v>12</v>
      </c>
      <c r="D467">
        <v>54</v>
      </c>
      <c r="E467" t="s">
        <v>42</v>
      </c>
      <c r="F467" t="s">
        <v>14</v>
      </c>
      <c r="G467">
        <v>800</v>
      </c>
      <c r="H467">
        <v>1</v>
      </c>
      <c r="I467">
        <v>800</v>
      </c>
      <c r="J467" s="2">
        <v>45168</v>
      </c>
      <c r="K467" t="s">
        <v>381</v>
      </c>
    </row>
    <row r="468" spans="1:11" x14ac:dyDescent="0.3">
      <c r="A468" t="s">
        <v>69</v>
      </c>
      <c r="B468" t="s">
        <v>11</v>
      </c>
      <c r="C468" t="s">
        <v>16</v>
      </c>
      <c r="D468">
        <v>68</v>
      </c>
      <c r="E468" t="s">
        <v>31</v>
      </c>
      <c r="F468" t="s">
        <v>18</v>
      </c>
      <c r="G468">
        <v>50</v>
      </c>
      <c r="H468">
        <v>3</v>
      </c>
      <c r="I468">
        <v>150</v>
      </c>
      <c r="J468" s="2">
        <v>44959</v>
      </c>
      <c r="K468" t="s">
        <v>381</v>
      </c>
    </row>
    <row r="469" spans="1:11" x14ac:dyDescent="0.3">
      <c r="A469" t="s">
        <v>167</v>
      </c>
      <c r="B469" t="s">
        <v>11</v>
      </c>
      <c r="C469" t="s">
        <v>21</v>
      </c>
      <c r="D469">
        <v>66</v>
      </c>
      <c r="E469" t="s">
        <v>13</v>
      </c>
      <c r="F469" t="s">
        <v>14</v>
      </c>
      <c r="G469">
        <v>300</v>
      </c>
      <c r="H469">
        <v>4</v>
      </c>
      <c r="I469">
        <v>1200</v>
      </c>
      <c r="J469" s="2">
        <v>45181</v>
      </c>
      <c r="K469" t="s">
        <v>370</v>
      </c>
    </row>
    <row r="470" spans="1:11" x14ac:dyDescent="0.3">
      <c r="A470" t="s">
        <v>257</v>
      </c>
      <c r="B470" t="s">
        <v>11</v>
      </c>
      <c r="C470" t="s">
        <v>29</v>
      </c>
      <c r="D470">
        <v>39</v>
      </c>
      <c r="E470" t="s">
        <v>31</v>
      </c>
      <c r="F470" t="s">
        <v>18</v>
      </c>
      <c r="G470">
        <v>50</v>
      </c>
      <c r="H470">
        <v>4</v>
      </c>
      <c r="I470">
        <v>200</v>
      </c>
      <c r="J470" s="2">
        <v>45281</v>
      </c>
      <c r="K470" t="s">
        <v>375</v>
      </c>
    </row>
    <row r="471" spans="1:11" x14ac:dyDescent="0.3">
      <c r="A471" t="s">
        <v>233</v>
      </c>
      <c r="B471" t="s">
        <v>11</v>
      </c>
      <c r="C471" t="s">
        <v>21</v>
      </c>
      <c r="D471">
        <v>64</v>
      </c>
      <c r="E471" t="s">
        <v>42</v>
      </c>
      <c r="F471" t="s">
        <v>14</v>
      </c>
      <c r="G471">
        <v>800</v>
      </c>
      <c r="H471">
        <v>1</v>
      </c>
      <c r="I471">
        <v>800</v>
      </c>
      <c r="J471" s="2">
        <v>45206</v>
      </c>
      <c r="K471" t="s">
        <v>381</v>
      </c>
    </row>
    <row r="472" spans="1:11" x14ac:dyDescent="0.3">
      <c r="A472" t="s">
        <v>54</v>
      </c>
      <c r="B472" t="s">
        <v>20</v>
      </c>
      <c r="C472" t="s">
        <v>12</v>
      </c>
      <c r="D472">
        <v>57</v>
      </c>
      <c r="E472" t="s">
        <v>31</v>
      </c>
      <c r="F472" t="s">
        <v>18</v>
      </c>
      <c r="G472">
        <v>50</v>
      </c>
      <c r="H472">
        <v>2</v>
      </c>
      <c r="I472">
        <v>100</v>
      </c>
      <c r="J472" s="2">
        <v>45246</v>
      </c>
      <c r="K472" t="s">
        <v>381</v>
      </c>
    </row>
    <row r="473" spans="1:11" x14ac:dyDescent="0.3">
      <c r="A473" t="s">
        <v>33</v>
      </c>
      <c r="B473" t="s">
        <v>11</v>
      </c>
      <c r="C473" t="s">
        <v>29</v>
      </c>
      <c r="E473" t="s">
        <v>13</v>
      </c>
      <c r="F473" t="s">
        <v>14</v>
      </c>
      <c r="G473">
        <v>300</v>
      </c>
      <c r="H473">
        <v>5</v>
      </c>
      <c r="I473">
        <v>1500</v>
      </c>
      <c r="J473" s="2">
        <v>45229</v>
      </c>
      <c r="K473" t="s">
        <v>370</v>
      </c>
    </row>
    <row r="474" spans="1:11" x14ac:dyDescent="0.3">
      <c r="A474" t="s">
        <v>170</v>
      </c>
      <c r="B474" t="s">
        <v>11</v>
      </c>
      <c r="C474" t="s">
        <v>12</v>
      </c>
      <c r="D474">
        <v>42</v>
      </c>
      <c r="E474" t="s">
        <v>32</v>
      </c>
      <c r="F474" t="s">
        <v>18</v>
      </c>
      <c r="G474">
        <v>30</v>
      </c>
      <c r="H474">
        <v>5</v>
      </c>
      <c r="I474">
        <v>150</v>
      </c>
      <c r="J474" s="2">
        <v>44978</v>
      </c>
      <c r="K474" t="s">
        <v>381</v>
      </c>
    </row>
    <row r="475" spans="1:11" x14ac:dyDescent="0.3">
      <c r="A475" t="s">
        <v>194</v>
      </c>
      <c r="B475" t="s">
        <v>11</v>
      </c>
      <c r="D475">
        <v>28</v>
      </c>
      <c r="E475" t="s">
        <v>13</v>
      </c>
      <c r="F475" t="s">
        <v>14</v>
      </c>
      <c r="G475">
        <v>300</v>
      </c>
      <c r="H475">
        <v>5</v>
      </c>
      <c r="I475">
        <v>1500</v>
      </c>
      <c r="J475" s="2">
        <v>44997</v>
      </c>
      <c r="K475" t="s">
        <v>381</v>
      </c>
    </row>
    <row r="476" spans="1:11" x14ac:dyDescent="0.3">
      <c r="A476" t="s">
        <v>258</v>
      </c>
      <c r="B476" t="s">
        <v>20</v>
      </c>
      <c r="C476" t="s">
        <v>21</v>
      </c>
      <c r="D476">
        <v>36</v>
      </c>
      <c r="E476" t="s">
        <v>32</v>
      </c>
      <c r="F476" t="s">
        <v>18</v>
      </c>
      <c r="G476">
        <v>30</v>
      </c>
      <c r="H476">
        <v>5</v>
      </c>
      <c r="I476">
        <v>150</v>
      </c>
      <c r="J476" s="2">
        <v>45216</v>
      </c>
      <c r="K476" t="s">
        <v>370</v>
      </c>
    </row>
    <row r="477" spans="1:11" x14ac:dyDescent="0.3">
      <c r="A477" t="s">
        <v>167</v>
      </c>
      <c r="B477" t="s">
        <v>20</v>
      </c>
      <c r="C477" t="s">
        <v>21</v>
      </c>
      <c r="D477">
        <v>66</v>
      </c>
      <c r="E477" t="s">
        <v>32</v>
      </c>
      <c r="F477" t="s">
        <v>18</v>
      </c>
      <c r="G477">
        <v>30</v>
      </c>
      <c r="H477">
        <v>2</v>
      </c>
      <c r="I477">
        <v>60</v>
      </c>
      <c r="J477" s="2">
        <v>45082</v>
      </c>
      <c r="K477" t="s">
        <v>373</v>
      </c>
    </row>
    <row r="478" spans="1:11" x14ac:dyDescent="0.3">
      <c r="A478" t="s">
        <v>149</v>
      </c>
      <c r="B478" t="s">
        <v>11</v>
      </c>
      <c r="C478" t="s">
        <v>16</v>
      </c>
      <c r="D478">
        <v>58</v>
      </c>
      <c r="E478" t="s">
        <v>13</v>
      </c>
      <c r="F478" t="s">
        <v>14</v>
      </c>
      <c r="G478">
        <v>300</v>
      </c>
      <c r="H478">
        <v>4</v>
      </c>
      <c r="I478">
        <v>1200</v>
      </c>
      <c r="J478" s="2">
        <v>44988</v>
      </c>
      <c r="K478" t="s">
        <v>373</v>
      </c>
    </row>
    <row r="479" spans="1:11" x14ac:dyDescent="0.3">
      <c r="A479" t="s">
        <v>212</v>
      </c>
      <c r="B479" t="s">
        <v>11</v>
      </c>
      <c r="C479" t="s">
        <v>21</v>
      </c>
      <c r="D479">
        <v>54</v>
      </c>
      <c r="E479" t="s">
        <v>42</v>
      </c>
      <c r="F479" t="s">
        <v>14</v>
      </c>
      <c r="G479">
        <v>800</v>
      </c>
      <c r="H479">
        <v>5</v>
      </c>
      <c r="I479">
        <v>4000</v>
      </c>
      <c r="J479" s="2">
        <v>45119</v>
      </c>
      <c r="K479" t="s">
        <v>381</v>
      </c>
    </row>
    <row r="480" spans="1:11" x14ac:dyDescent="0.3">
      <c r="A480" t="s">
        <v>166</v>
      </c>
      <c r="B480" t="s">
        <v>20</v>
      </c>
      <c r="C480" t="s">
        <v>12</v>
      </c>
      <c r="D480">
        <v>57</v>
      </c>
      <c r="E480" t="s">
        <v>13</v>
      </c>
      <c r="F480" t="s">
        <v>14</v>
      </c>
      <c r="G480">
        <v>300</v>
      </c>
      <c r="H480">
        <v>1</v>
      </c>
      <c r="I480">
        <v>300</v>
      </c>
      <c r="J480" s="2">
        <v>44962</v>
      </c>
      <c r="K480" t="s">
        <v>381</v>
      </c>
    </row>
    <row r="481" spans="1:11" x14ac:dyDescent="0.3">
      <c r="A481" t="s">
        <v>36</v>
      </c>
      <c r="B481" t="s">
        <v>11</v>
      </c>
      <c r="C481" t="s">
        <v>16</v>
      </c>
      <c r="E481" t="s">
        <v>42</v>
      </c>
      <c r="F481" t="s">
        <v>14</v>
      </c>
      <c r="G481">
        <v>800</v>
      </c>
      <c r="H481">
        <v>3</v>
      </c>
      <c r="I481">
        <v>2400</v>
      </c>
      <c r="J481" s="2">
        <v>45191</v>
      </c>
      <c r="K481" t="s">
        <v>375</v>
      </c>
    </row>
    <row r="482" spans="1:11" x14ac:dyDescent="0.3">
      <c r="A482" t="s">
        <v>137</v>
      </c>
      <c r="B482" t="s">
        <v>11</v>
      </c>
      <c r="C482" t="s">
        <v>12</v>
      </c>
      <c r="D482">
        <v>54</v>
      </c>
      <c r="E482" t="s">
        <v>24</v>
      </c>
      <c r="F482" t="s">
        <v>14</v>
      </c>
      <c r="G482">
        <v>1500</v>
      </c>
      <c r="H482">
        <v>4</v>
      </c>
      <c r="I482">
        <v>6000</v>
      </c>
      <c r="J482" s="2">
        <v>45119</v>
      </c>
      <c r="K482" t="s">
        <v>381</v>
      </c>
    </row>
    <row r="483" spans="1:11" x14ac:dyDescent="0.3">
      <c r="A483" t="s">
        <v>45</v>
      </c>
      <c r="B483" t="s">
        <v>20</v>
      </c>
      <c r="C483" t="s">
        <v>16</v>
      </c>
      <c r="D483">
        <v>37</v>
      </c>
      <c r="E483" t="s">
        <v>24</v>
      </c>
      <c r="F483" t="s">
        <v>14</v>
      </c>
      <c r="G483">
        <v>1500</v>
      </c>
      <c r="H483">
        <v>1</v>
      </c>
      <c r="I483">
        <v>1500</v>
      </c>
      <c r="J483" s="2">
        <v>45236</v>
      </c>
      <c r="K483" t="s">
        <v>375</v>
      </c>
    </row>
    <row r="484" spans="1:11" x14ac:dyDescent="0.3">
      <c r="A484" t="s">
        <v>259</v>
      </c>
      <c r="B484" t="s">
        <v>20</v>
      </c>
      <c r="C484" t="s">
        <v>16</v>
      </c>
      <c r="D484">
        <v>58</v>
      </c>
      <c r="E484" t="s">
        <v>17</v>
      </c>
      <c r="F484" t="s">
        <v>18</v>
      </c>
      <c r="G484">
        <v>100</v>
      </c>
      <c r="H484">
        <v>5</v>
      </c>
      <c r="I484">
        <v>500</v>
      </c>
      <c r="J484" s="2">
        <v>45151</v>
      </c>
      <c r="K484" t="s">
        <v>373</v>
      </c>
    </row>
    <row r="485" spans="1:11" x14ac:dyDescent="0.3">
      <c r="A485" t="s">
        <v>101</v>
      </c>
      <c r="B485" t="s">
        <v>11</v>
      </c>
      <c r="C485" t="s">
        <v>21</v>
      </c>
      <c r="D485">
        <v>19</v>
      </c>
      <c r="E485" t="s">
        <v>42</v>
      </c>
      <c r="F485" t="s">
        <v>14</v>
      </c>
      <c r="G485">
        <v>800</v>
      </c>
      <c r="H485">
        <v>4</v>
      </c>
      <c r="I485">
        <v>3200</v>
      </c>
      <c r="J485" s="2">
        <v>44949</v>
      </c>
      <c r="K485" t="s">
        <v>381</v>
      </c>
    </row>
    <row r="486" spans="1:11" x14ac:dyDescent="0.3">
      <c r="A486" t="s">
        <v>90</v>
      </c>
      <c r="B486" t="s">
        <v>20</v>
      </c>
      <c r="C486" t="s">
        <v>21</v>
      </c>
      <c r="D486">
        <v>50</v>
      </c>
      <c r="E486" t="s">
        <v>13</v>
      </c>
      <c r="F486" t="s">
        <v>14</v>
      </c>
      <c r="G486">
        <v>300</v>
      </c>
      <c r="H486">
        <v>4</v>
      </c>
      <c r="I486">
        <v>1200</v>
      </c>
      <c r="J486" s="2">
        <v>45206</v>
      </c>
      <c r="K486" t="s">
        <v>381</v>
      </c>
    </row>
    <row r="487" spans="1:11" x14ac:dyDescent="0.3">
      <c r="A487" t="s">
        <v>90</v>
      </c>
      <c r="B487" t="s">
        <v>20</v>
      </c>
      <c r="C487" t="s">
        <v>16</v>
      </c>
      <c r="D487">
        <v>50</v>
      </c>
      <c r="E487" t="s">
        <v>32</v>
      </c>
      <c r="F487" t="s">
        <v>18</v>
      </c>
      <c r="G487">
        <v>30</v>
      </c>
      <c r="H487">
        <v>1</v>
      </c>
      <c r="I487">
        <v>30</v>
      </c>
      <c r="J487" s="2">
        <v>45245</v>
      </c>
      <c r="K487" t="s">
        <v>370</v>
      </c>
    </row>
    <row r="488" spans="1:11" x14ac:dyDescent="0.3">
      <c r="A488" t="s">
        <v>50</v>
      </c>
      <c r="B488" t="s">
        <v>20</v>
      </c>
      <c r="C488" t="s">
        <v>16</v>
      </c>
      <c r="D488">
        <v>59</v>
      </c>
      <c r="E488" t="s">
        <v>13</v>
      </c>
      <c r="F488" t="s">
        <v>14</v>
      </c>
      <c r="G488">
        <v>300</v>
      </c>
      <c r="H488">
        <v>3</v>
      </c>
      <c r="I488">
        <v>900</v>
      </c>
      <c r="J488" s="2">
        <v>45286</v>
      </c>
      <c r="K488" t="s">
        <v>381</v>
      </c>
    </row>
    <row r="489" spans="1:11" x14ac:dyDescent="0.3">
      <c r="A489" t="s">
        <v>258</v>
      </c>
      <c r="B489" t="s">
        <v>20</v>
      </c>
      <c r="C489" t="s">
        <v>16</v>
      </c>
      <c r="E489" t="s">
        <v>32</v>
      </c>
      <c r="F489" t="s">
        <v>18</v>
      </c>
      <c r="G489">
        <v>30</v>
      </c>
      <c r="H489">
        <v>5</v>
      </c>
      <c r="I489">
        <v>150</v>
      </c>
      <c r="J489" s="2">
        <v>45241</v>
      </c>
      <c r="K489" t="s">
        <v>373</v>
      </c>
    </row>
    <row r="490" spans="1:11" x14ac:dyDescent="0.3">
      <c r="A490" t="s">
        <v>223</v>
      </c>
      <c r="B490" t="s">
        <v>11</v>
      </c>
      <c r="C490" t="s">
        <v>16</v>
      </c>
      <c r="E490" t="s">
        <v>17</v>
      </c>
      <c r="F490" t="s">
        <v>18</v>
      </c>
      <c r="G490">
        <v>100</v>
      </c>
      <c r="H490">
        <v>5</v>
      </c>
      <c r="I490">
        <v>500</v>
      </c>
      <c r="J490" s="2">
        <v>45037</v>
      </c>
      <c r="K490" t="s">
        <v>381</v>
      </c>
    </row>
    <row r="491" spans="1:11" x14ac:dyDescent="0.3">
      <c r="A491" t="s">
        <v>71</v>
      </c>
      <c r="B491" t="s">
        <v>11</v>
      </c>
      <c r="C491" t="s">
        <v>16</v>
      </c>
      <c r="D491">
        <v>67</v>
      </c>
      <c r="E491" t="s">
        <v>31</v>
      </c>
      <c r="F491" t="s">
        <v>18</v>
      </c>
      <c r="G491">
        <v>50</v>
      </c>
      <c r="H491">
        <v>5</v>
      </c>
      <c r="I491">
        <v>250</v>
      </c>
      <c r="J491" s="2">
        <v>45064</v>
      </c>
      <c r="K491" t="s">
        <v>375</v>
      </c>
    </row>
    <row r="492" spans="1:11" x14ac:dyDescent="0.3">
      <c r="A492" t="s">
        <v>260</v>
      </c>
      <c r="B492" t="s">
        <v>11</v>
      </c>
      <c r="C492" t="s">
        <v>16</v>
      </c>
      <c r="D492">
        <v>55</v>
      </c>
      <c r="E492" t="s">
        <v>17</v>
      </c>
      <c r="F492" t="s">
        <v>18</v>
      </c>
      <c r="G492">
        <v>100</v>
      </c>
      <c r="H492">
        <v>5</v>
      </c>
      <c r="I492">
        <v>500</v>
      </c>
      <c r="J492" s="2">
        <v>45062</v>
      </c>
      <c r="K492" t="s">
        <v>381</v>
      </c>
    </row>
    <row r="493" spans="1:11" x14ac:dyDescent="0.3">
      <c r="A493" t="s">
        <v>261</v>
      </c>
      <c r="B493" t="s">
        <v>20</v>
      </c>
      <c r="C493" t="s">
        <v>29</v>
      </c>
      <c r="D493">
        <v>49</v>
      </c>
      <c r="E493" t="s">
        <v>32</v>
      </c>
      <c r="F493" t="s">
        <v>18</v>
      </c>
      <c r="G493">
        <v>30</v>
      </c>
      <c r="H493">
        <v>5</v>
      </c>
      <c r="I493">
        <v>150</v>
      </c>
      <c r="J493" s="2">
        <v>45180</v>
      </c>
      <c r="K493" t="s">
        <v>375</v>
      </c>
    </row>
    <row r="494" spans="1:11" x14ac:dyDescent="0.3">
      <c r="A494" t="s">
        <v>186</v>
      </c>
      <c r="B494" t="s">
        <v>11</v>
      </c>
      <c r="C494" t="s">
        <v>16</v>
      </c>
      <c r="D494">
        <v>51</v>
      </c>
      <c r="E494" t="s">
        <v>42</v>
      </c>
      <c r="F494" t="s">
        <v>14</v>
      </c>
      <c r="G494">
        <v>800</v>
      </c>
      <c r="H494">
        <v>5</v>
      </c>
      <c r="I494">
        <v>4000</v>
      </c>
      <c r="J494" s="2">
        <v>45089</v>
      </c>
      <c r="K494" t="s">
        <v>370</v>
      </c>
    </row>
    <row r="495" spans="1:11" x14ac:dyDescent="0.3">
      <c r="A495" t="s">
        <v>120</v>
      </c>
      <c r="B495" t="s">
        <v>20</v>
      </c>
      <c r="C495" t="s">
        <v>12</v>
      </c>
      <c r="D495">
        <v>37</v>
      </c>
      <c r="E495" t="s">
        <v>32</v>
      </c>
      <c r="F495" t="s">
        <v>18</v>
      </c>
      <c r="G495">
        <v>30</v>
      </c>
      <c r="H495">
        <v>4</v>
      </c>
      <c r="I495">
        <v>120</v>
      </c>
      <c r="J495" s="2">
        <v>45294</v>
      </c>
      <c r="K495" t="s">
        <v>381</v>
      </c>
    </row>
    <row r="496" spans="1:11" x14ac:dyDescent="0.3">
      <c r="A496" t="s">
        <v>229</v>
      </c>
      <c r="B496" t="s">
        <v>20</v>
      </c>
      <c r="C496" t="s">
        <v>12</v>
      </c>
      <c r="D496">
        <v>66</v>
      </c>
      <c r="E496" t="s">
        <v>42</v>
      </c>
      <c r="F496" t="s">
        <v>14</v>
      </c>
      <c r="G496">
        <v>800</v>
      </c>
      <c r="H496">
        <v>1</v>
      </c>
      <c r="I496">
        <v>800</v>
      </c>
      <c r="J496" s="2">
        <v>45195</v>
      </c>
      <c r="K496" t="s">
        <v>370</v>
      </c>
    </row>
    <row r="497" spans="1:11" x14ac:dyDescent="0.3">
      <c r="A497" t="s">
        <v>111</v>
      </c>
      <c r="B497" t="s">
        <v>20</v>
      </c>
      <c r="C497" t="s">
        <v>21</v>
      </c>
      <c r="D497">
        <v>57</v>
      </c>
      <c r="E497" t="s">
        <v>24</v>
      </c>
      <c r="F497" t="s">
        <v>14</v>
      </c>
      <c r="G497">
        <v>1500</v>
      </c>
      <c r="H497">
        <v>1</v>
      </c>
      <c r="I497">
        <v>1500</v>
      </c>
      <c r="J497" s="2">
        <v>45252</v>
      </c>
      <c r="K497" t="s">
        <v>370</v>
      </c>
    </row>
    <row r="498" spans="1:11" x14ac:dyDescent="0.3">
      <c r="A498" t="s">
        <v>232</v>
      </c>
      <c r="B498" t="s">
        <v>11</v>
      </c>
      <c r="C498" t="s">
        <v>29</v>
      </c>
      <c r="E498" t="s">
        <v>24</v>
      </c>
      <c r="F498" t="s">
        <v>14</v>
      </c>
      <c r="G498">
        <v>1500</v>
      </c>
      <c r="H498">
        <v>4</v>
      </c>
      <c r="I498">
        <v>6000</v>
      </c>
      <c r="J498" s="2">
        <v>45117</v>
      </c>
      <c r="K498" t="s">
        <v>381</v>
      </c>
    </row>
    <row r="499" spans="1:11" x14ac:dyDescent="0.3">
      <c r="A499" t="s">
        <v>100</v>
      </c>
      <c r="B499" t="s">
        <v>11</v>
      </c>
      <c r="C499" t="s">
        <v>16</v>
      </c>
      <c r="D499">
        <v>40</v>
      </c>
      <c r="E499" t="s">
        <v>31</v>
      </c>
      <c r="F499" t="s">
        <v>18</v>
      </c>
      <c r="G499">
        <v>50</v>
      </c>
      <c r="H499">
        <v>2</v>
      </c>
      <c r="I499">
        <v>100</v>
      </c>
      <c r="J499" s="2">
        <v>45253</v>
      </c>
      <c r="K499" t="s">
        <v>375</v>
      </c>
    </row>
    <row r="500" spans="1:11" x14ac:dyDescent="0.3">
      <c r="A500" t="s">
        <v>65</v>
      </c>
      <c r="B500" t="s">
        <v>20</v>
      </c>
      <c r="C500" t="s">
        <v>29</v>
      </c>
      <c r="D500">
        <v>61</v>
      </c>
      <c r="E500" t="s">
        <v>24</v>
      </c>
      <c r="F500" t="s">
        <v>14</v>
      </c>
      <c r="G500">
        <v>1500</v>
      </c>
      <c r="H500">
        <v>3</v>
      </c>
      <c r="I500">
        <v>4500</v>
      </c>
      <c r="J500" s="2">
        <v>45227</v>
      </c>
      <c r="K500" t="s">
        <v>381</v>
      </c>
    </row>
    <row r="501" spans="1:11" x14ac:dyDescent="0.3">
      <c r="A501" t="s">
        <v>230</v>
      </c>
      <c r="B501" t="s">
        <v>11</v>
      </c>
      <c r="C501" t="s">
        <v>12</v>
      </c>
      <c r="D501">
        <v>22</v>
      </c>
      <c r="E501" t="s">
        <v>31</v>
      </c>
      <c r="F501" t="s">
        <v>18</v>
      </c>
      <c r="G501">
        <v>50</v>
      </c>
      <c r="H501">
        <v>4</v>
      </c>
      <c r="I501">
        <v>200</v>
      </c>
      <c r="J501" s="2">
        <v>44931</v>
      </c>
      <c r="K501" t="s">
        <v>375</v>
      </c>
    </row>
    <row r="502" spans="1:11" x14ac:dyDescent="0.3">
      <c r="A502" t="s">
        <v>237</v>
      </c>
      <c r="B502" t="s">
        <v>11</v>
      </c>
      <c r="C502" t="s">
        <v>12</v>
      </c>
      <c r="D502">
        <v>23</v>
      </c>
      <c r="E502" t="s">
        <v>26</v>
      </c>
      <c r="F502" t="s">
        <v>27</v>
      </c>
      <c r="G502">
        <v>200</v>
      </c>
      <c r="H502">
        <v>5</v>
      </c>
      <c r="I502">
        <v>1000</v>
      </c>
      <c r="J502" s="2">
        <v>45245</v>
      </c>
      <c r="K502" t="s">
        <v>370</v>
      </c>
    </row>
    <row r="503" spans="1:11" x14ac:dyDescent="0.3">
      <c r="A503" t="s">
        <v>209</v>
      </c>
      <c r="B503" t="s">
        <v>11</v>
      </c>
      <c r="C503" t="s">
        <v>12</v>
      </c>
      <c r="D503">
        <v>63</v>
      </c>
      <c r="E503" t="s">
        <v>32</v>
      </c>
      <c r="F503" t="s">
        <v>18</v>
      </c>
      <c r="G503">
        <v>30</v>
      </c>
      <c r="H503">
        <v>4</v>
      </c>
      <c r="I503">
        <v>120</v>
      </c>
      <c r="J503" s="2">
        <v>44996</v>
      </c>
      <c r="K503" t="s">
        <v>373</v>
      </c>
    </row>
    <row r="504" spans="1:11" x14ac:dyDescent="0.3">
      <c r="A504" t="s">
        <v>101</v>
      </c>
      <c r="B504" t="s">
        <v>11</v>
      </c>
      <c r="C504" t="s">
        <v>16</v>
      </c>
      <c r="D504">
        <v>19</v>
      </c>
      <c r="E504" t="s">
        <v>32</v>
      </c>
      <c r="F504" t="s">
        <v>18</v>
      </c>
      <c r="G504">
        <v>30</v>
      </c>
      <c r="H504">
        <v>1</v>
      </c>
      <c r="I504">
        <v>30</v>
      </c>
      <c r="J504" s="2">
        <v>45169</v>
      </c>
      <c r="K504" t="s">
        <v>381</v>
      </c>
    </row>
    <row r="505" spans="1:11" x14ac:dyDescent="0.3">
      <c r="A505" t="s">
        <v>161</v>
      </c>
      <c r="B505" t="s">
        <v>11</v>
      </c>
      <c r="C505" t="s">
        <v>12</v>
      </c>
      <c r="D505">
        <v>26</v>
      </c>
      <c r="E505" t="s">
        <v>17</v>
      </c>
      <c r="F505" t="s">
        <v>18</v>
      </c>
      <c r="G505">
        <v>100</v>
      </c>
      <c r="H505">
        <v>2</v>
      </c>
      <c r="I505">
        <v>200</v>
      </c>
      <c r="J505" s="2">
        <v>45272</v>
      </c>
      <c r="K505" t="s">
        <v>373</v>
      </c>
    </row>
    <row r="506" spans="1:11" x14ac:dyDescent="0.3">
      <c r="A506" t="s">
        <v>262</v>
      </c>
      <c r="B506" t="s">
        <v>20</v>
      </c>
      <c r="C506" t="s">
        <v>12</v>
      </c>
      <c r="D506">
        <v>35</v>
      </c>
      <c r="E506" t="s">
        <v>13</v>
      </c>
      <c r="F506" t="s">
        <v>14</v>
      </c>
      <c r="G506">
        <v>300</v>
      </c>
      <c r="H506">
        <v>5</v>
      </c>
      <c r="I506">
        <v>1500</v>
      </c>
      <c r="J506" s="2">
        <v>44948</v>
      </c>
      <c r="K506" t="s">
        <v>375</v>
      </c>
    </row>
    <row r="507" spans="1:11" x14ac:dyDescent="0.3">
      <c r="A507" t="s">
        <v>162</v>
      </c>
      <c r="B507" t="s">
        <v>11</v>
      </c>
      <c r="C507" t="s">
        <v>21</v>
      </c>
      <c r="D507">
        <v>27</v>
      </c>
      <c r="E507" t="s">
        <v>31</v>
      </c>
      <c r="F507" t="s">
        <v>18</v>
      </c>
      <c r="G507">
        <v>50</v>
      </c>
      <c r="H507">
        <v>5</v>
      </c>
      <c r="I507">
        <v>250</v>
      </c>
      <c r="J507" s="2">
        <v>45291</v>
      </c>
      <c r="K507" t="s">
        <v>381</v>
      </c>
    </row>
    <row r="508" spans="1:11" x14ac:dyDescent="0.3">
      <c r="A508" t="s">
        <v>263</v>
      </c>
      <c r="B508" t="s">
        <v>20</v>
      </c>
      <c r="C508" t="s">
        <v>29</v>
      </c>
      <c r="D508">
        <v>26</v>
      </c>
      <c r="E508" t="s">
        <v>42</v>
      </c>
      <c r="F508" t="s">
        <v>14</v>
      </c>
      <c r="G508">
        <v>800</v>
      </c>
      <c r="H508">
        <v>5</v>
      </c>
      <c r="I508">
        <v>4000</v>
      </c>
      <c r="J508" s="2">
        <v>45291</v>
      </c>
      <c r="K508" t="s">
        <v>373</v>
      </c>
    </row>
    <row r="509" spans="1:11" x14ac:dyDescent="0.3">
      <c r="A509" t="s">
        <v>22</v>
      </c>
      <c r="B509" t="s">
        <v>20</v>
      </c>
      <c r="C509" t="s">
        <v>21</v>
      </c>
      <c r="D509">
        <v>23</v>
      </c>
      <c r="E509" t="s">
        <v>31</v>
      </c>
      <c r="F509" t="s">
        <v>18</v>
      </c>
      <c r="G509">
        <v>50</v>
      </c>
      <c r="H509">
        <v>5</v>
      </c>
      <c r="I509">
        <v>250</v>
      </c>
      <c r="J509" s="2">
        <v>45156</v>
      </c>
      <c r="K509" t="s">
        <v>373</v>
      </c>
    </row>
    <row r="510" spans="1:11" x14ac:dyDescent="0.3">
      <c r="A510" t="s">
        <v>35</v>
      </c>
      <c r="B510" t="s">
        <v>20</v>
      </c>
      <c r="C510" t="s">
        <v>29</v>
      </c>
      <c r="D510">
        <v>67</v>
      </c>
      <c r="E510" t="s">
        <v>24</v>
      </c>
      <c r="F510" t="s">
        <v>14</v>
      </c>
      <c r="G510">
        <v>1500</v>
      </c>
      <c r="H510">
        <v>1</v>
      </c>
      <c r="I510">
        <v>1500</v>
      </c>
      <c r="J510" s="2">
        <v>45102</v>
      </c>
      <c r="K510" t="s">
        <v>381</v>
      </c>
    </row>
    <row r="511" spans="1:11" x14ac:dyDescent="0.3">
      <c r="A511" t="s">
        <v>221</v>
      </c>
      <c r="B511" t="s">
        <v>20</v>
      </c>
      <c r="C511" t="s">
        <v>16</v>
      </c>
      <c r="D511">
        <v>41</v>
      </c>
      <c r="E511" t="s">
        <v>24</v>
      </c>
      <c r="F511" t="s">
        <v>14</v>
      </c>
      <c r="G511">
        <v>1500</v>
      </c>
      <c r="H511">
        <v>1</v>
      </c>
      <c r="I511">
        <v>1500</v>
      </c>
      <c r="J511" s="2">
        <v>45220</v>
      </c>
      <c r="K511" t="s">
        <v>373</v>
      </c>
    </row>
    <row r="512" spans="1:11" x14ac:dyDescent="0.3">
      <c r="A512" t="s">
        <v>114</v>
      </c>
      <c r="B512" t="s">
        <v>11</v>
      </c>
      <c r="C512" t="s">
        <v>16</v>
      </c>
      <c r="E512" t="s">
        <v>32</v>
      </c>
      <c r="F512" t="s">
        <v>18</v>
      </c>
      <c r="G512">
        <v>30</v>
      </c>
      <c r="H512">
        <v>2</v>
      </c>
      <c r="I512">
        <v>60</v>
      </c>
      <c r="J512" s="2">
        <v>45251</v>
      </c>
      <c r="K512" t="s">
        <v>381</v>
      </c>
    </row>
    <row r="513" spans="1:11" x14ac:dyDescent="0.3">
      <c r="A513" t="s">
        <v>221</v>
      </c>
      <c r="B513" t="s">
        <v>11</v>
      </c>
      <c r="C513" t="s">
        <v>29</v>
      </c>
      <c r="D513">
        <v>41</v>
      </c>
      <c r="E513" t="s">
        <v>17</v>
      </c>
      <c r="F513" t="s">
        <v>18</v>
      </c>
      <c r="G513">
        <v>207.30404083244301</v>
      </c>
      <c r="H513">
        <v>2</v>
      </c>
      <c r="I513">
        <v>200</v>
      </c>
      <c r="J513" s="2">
        <v>45039</v>
      </c>
      <c r="K513" t="s">
        <v>373</v>
      </c>
    </row>
    <row r="514" spans="1:11" x14ac:dyDescent="0.3">
      <c r="A514" t="s">
        <v>98</v>
      </c>
      <c r="B514" t="s">
        <v>11</v>
      </c>
      <c r="C514" t="s">
        <v>29</v>
      </c>
      <c r="D514">
        <v>64</v>
      </c>
      <c r="E514" t="s">
        <v>13</v>
      </c>
      <c r="F514" t="s">
        <v>14</v>
      </c>
      <c r="G514">
        <v>300</v>
      </c>
      <c r="H514">
        <v>4</v>
      </c>
      <c r="I514">
        <v>1200</v>
      </c>
      <c r="J514" s="2">
        <v>45178</v>
      </c>
      <c r="K514" t="s">
        <v>370</v>
      </c>
    </row>
    <row r="515" spans="1:11" x14ac:dyDescent="0.3">
      <c r="A515" t="s">
        <v>97</v>
      </c>
      <c r="B515" t="s">
        <v>11</v>
      </c>
      <c r="C515" t="s">
        <v>12</v>
      </c>
      <c r="E515" t="s">
        <v>24</v>
      </c>
      <c r="F515" t="s">
        <v>14</v>
      </c>
      <c r="G515">
        <v>1500</v>
      </c>
      <c r="H515">
        <v>2</v>
      </c>
      <c r="I515">
        <v>3000</v>
      </c>
      <c r="J515" s="2">
        <v>45031</v>
      </c>
      <c r="K515" t="s">
        <v>381</v>
      </c>
    </row>
    <row r="516" spans="1:11" x14ac:dyDescent="0.3">
      <c r="A516" t="s">
        <v>201</v>
      </c>
      <c r="B516" t="s">
        <v>20</v>
      </c>
      <c r="C516" t="s">
        <v>29</v>
      </c>
      <c r="D516">
        <v>50</v>
      </c>
      <c r="E516" t="s">
        <v>42</v>
      </c>
      <c r="F516" t="s">
        <v>14</v>
      </c>
      <c r="G516">
        <v>800</v>
      </c>
      <c r="H516">
        <v>3</v>
      </c>
      <c r="I516">
        <v>2400</v>
      </c>
      <c r="J516" s="2">
        <v>45103</v>
      </c>
      <c r="K516" t="s">
        <v>370</v>
      </c>
    </row>
    <row r="517" spans="1:11" x14ac:dyDescent="0.3">
      <c r="A517" t="s">
        <v>60</v>
      </c>
      <c r="B517" t="s">
        <v>11</v>
      </c>
      <c r="C517" t="s">
        <v>21</v>
      </c>
      <c r="D517">
        <v>64</v>
      </c>
      <c r="E517" t="s">
        <v>17</v>
      </c>
      <c r="F517" t="s">
        <v>18</v>
      </c>
      <c r="G517">
        <v>100</v>
      </c>
      <c r="H517">
        <v>2</v>
      </c>
      <c r="I517">
        <v>200</v>
      </c>
      <c r="J517" s="2">
        <v>45080</v>
      </c>
      <c r="K517" t="s">
        <v>370</v>
      </c>
    </row>
    <row r="518" spans="1:11" x14ac:dyDescent="0.3">
      <c r="A518" t="s">
        <v>264</v>
      </c>
      <c r="B518" t="s">
        <v>11</v>
      </c>
      <c r="C518" t="s">
        <v>21</v>
      </c>
      <c r="D518">
        <v>40</v>
      </c>
      <c r="E518" t="s">
        <v>24</v>
      </c>
      <c r="F518" t="s">
        <v>14</v>
      </c>
      <c r="G518">
        <v>1500</v>
      </c>
      <c r="H518">
        <v>1</v>
      </c>
      <c r="I518">
        <v>1500</v>
      </c>
      <c r="J518" s="2">
        <v>45066</v>
      </c>
      <c r="K518" t="s">
        <v>373</v>
      </c>
    </row>
    <row r="519" spans="1:11" x14ac:dyDescent="0.3">
      <c r="A519" t="s">
        <v>265</v>
      </c>
      <c r="B519" t="s">
        <v>11</v>
      </c>
      <c r="C519" t="s">
        <v>29</v>
      </c>
      <c r="D519">
        <v>64</v>
      </c>
      <c r="E519" t="s">
        <v>26</v>
      </c>
      <c r="F519" t="s">
        <v>27</v>
      </c>
      <c r="G519">
        <v>200</v>
      </c>
      <c r="H519">
        <v>3</v>
      </c>
      <c r="I519">
        <v>600</v>
      </c>
      <c r="J519" s="2">
        <v>45023</v>
      </c>
      <c r="K519" t="s">
        <v>375</v>
      </c>
    </row>
    <row r="520" spans="1:11" x14ac:dyDescent="0.3">
      <c r="A520" t="s">
        <v>120</v>
      </c>
      <c r="B520" t="s">
        <v>20</v>
      </c>
      <c r="C520" t="s">
        <v>29</v>
      </c>
      <c r="D520">
        <v>37</v>
      </c>
      <c r="E520" t="s">
        <v>26</v>
      </c>
      <c r="F520" t="s">
        <v>27</v>
      </c>
      <c r="G520">
        <v>200</v>
      </c>
      <c r="H520">
        <v>5</v>
      </c>
      <c r="I520">
        <v>1000</v>
      </c>
      <c r="J520" s="2">
        <v>45248</v>
      </c>
      <c r="K520" t="s">
        <v>370</v>
      </c>
    </row>
    <row r="521" spans="1:11" x14ac:dyDescent="0.3">
      <c r="A521" t="s">
        <v>68</v>
      </c>
      <c r="B521" t="s">
        <v>11</v>
      </c>
      <c r="C521" t="s">
        <v>21</v>
      </c>
      <c r="D521">
        <v>44</v>
      </c>
      <c r="E521" t="s">
        <v>24</v>
      </c>
      <c r="F521" t="s">
        <v>14</v>
      </c>
      <c r="G521">
        <v>1500</v>
      </c>
      <c r="H521">
        <v>3</v>
      </c>
      <c r="I521">
        <v>4500</v>
      </c>
      <c r="J521" s="2">
        <v>45047</v>
      </c>
      <c r="K521" t="s">
        <v>370</v>
      </c>
    </row>
    <row r="522" spans="1:11" x14ac:dyDescent="0.3">
      <c r="A522" t="s">
        <v>263</v>
      </c>
      <c r="B522" t="s">
        <v>11</v>
      </c>
      <c r="C522" t="s">
        <v>16</v>
      </c>
      <c r="D522">
        <v>26</v>
      </c>
      <c r="E522" t="s">
        <v>24</v>
      </c>
      <c r="F522" t="s">
        <v>14</v>
      </c>
      <c r="G522">
        <v>1500</v>
      </c>
      <c r="H522">
        <v>3</v>
      </c>
      <c r="I522">
        <v>4500</v>
      </c>
      <c r="J522" s="2">
        <v>45073</v>
      </c>
      <c r="K522" t="s">
        <v>370</v>
      </c>
    </row>
    <row r="523" spans="1:11" x14ac:dyDescent="0.3">
      <c r="A523" t="s">
        <v>107</v>
      </c>
      <c r="B523" t="s">
        <v>11</v>
      </c>
      <c r="C523" t="s">
        <v>16</v>
      </c>
      <c r="D523">
        <v>18</v>
      </c>
      <c r="E523" t="s">
        <v>24</v>
      </c>
      <c r="F523" t="s">
        <v>14</v>
      </c>
      <c r="G523">
        <v>1500</v>
      </c>
      <c r="H523">
        <v>2</v>
      </c>
      <c r="I523">
        <v>3000</v>
      </c>
      <c r="J523" s="2">
        <v>44949</v>
      </c>
      <c r="K523" t="s">
        <v>375</v>
      </c>
    </row>
    <row r="524" spans="1:11" x14ac:dyDescent="0.3">
      <c r="A524" t="s">
        <v>214</v>
      </c>
      <c r="B524" t="s">
        <v>11</v>
      </c>
      <c r="C524" t="s">
        <v>16</v>
      </c>
      <c r="E524" t="s">
        <v>31</v>
      </c>
      <c r="F524" t="s">
        <v>18</v>
      </c>
      <c r="G524">
        <v>50</v>
      </c>
      <c r="H524">
        <v>4</v>
      </c>
      <c r="I524">
        <v>200</v>
      </c>
      <c r="J524" s="2">
        <v>45207</v>
      </c>
      <c r="K524" t="s">
        <v>375</v>
      </c>
    </row>
    <row r="525" spans="1:11" x14ac:dyDescent="0.3">
      <c r="A525" t="s">
        <v>73</v>
      </c>
      <c r="B525" t="s">
        <v>11</v>
      </c>
      <c r="C525" t="s">
        <v>12</v>
      </c>
      <c r="D525">
        <v>68</v>
      </c>
      <c r="E525" t="s">
        <v>17</v>
      </c>
      <c r="F525" t="s">
        <v>18</v>
      </c>
      <c r="G525">
        <v>100</v>
      </c>
      <c r="H525">
        <v>4</v>
      </c>
      <c r="I525">
        <v>400</v>
      </c>
      <c r="J525" s="2">
        <v>45259</v>
      </c>
      <c r="K525" t="s">
        <v>370</v>
      </c>
    </row>
    <row r="526" spans="1:11" x14ac:dyDescent="0.3">
      <c r="A526" t="s">
        <v>266</v>
      </c>
      <c r="B526" t="s">
        <v>20</v>
      </c>
      <c r="C526" t="s">
        <v>21</v>
      </c>
      <c r="D526">
        <v>64</v>
      </c>
      <c r="E526" t="s">
        <v>13</v>
      </c>
      <c r="F526" t="s">
        <v>14</v>
      </c>
      <c r="G526">
        <v>300</v>
      </c>
      <c r="H526">
        <v>3</v>
      </c>
      <c r="I526">
        <v>900</v>
      </c>
      <c r="J526" s="2">
        <v>45198</v>
      </c>
      <c r="K526" t="s">
        <v>375</v>
      </c>
    </row>
    <row r="527" spans="1:11" x14ac:dyDescent="0.3">
      <c r="A527" t="s">
        <v>61</v>
      </c>
      <c r="B527" t="s">
        <v>11</v>
      </c>
      <c r="C527" t="s">
        <v>12</v>
      </c>
      <c r="D527">
        <v>68</v>
      </c>
      <c r="E527" t="s">
        <v>24</v>
      </c>
      <c r="F527" t="s">
        <v>14</v>
      </c>
      <c r="G527">
        <v>1500</v>
      </c>
      <c r="H527">
        <v>4</v>
      </c>
      <c r="I527">
        <v>6000</v>
      </c>
      <c r="J527" s="2">
        <v>45237</v>
      </c>
      <c r="K527" t="s">
        <v>375</v>
      </c>
    </row>
    <row r="528" spans="1:11" x14ac:dyDescent="0.3">
      <c r="A528" t="s">
        <v>176</v>
      </c>
      <c r="B528" t="s">
        <v>11</v>
      </c>
      <c r="C528" t="s">
        <v>16</v>
      </c>
      <c r="D528">
        <v>54</v>
      </c>
      <c r="E528" t="s">
        <v>17</v>
      </c>
      <c r="F528" t="s">
        <v>18</v>
      </c>
      <c r="G528">
        <v>100</v>
      </c>
      <c r="H528">
        <v>5</v>
      </c>
      <c r="I528">
        <v>500</v>
      </c>
      <c r="J528" s="2">
        <v>45219</v>
      </c>
      <c r="K528" t="s">
        <v>375</v>
      </c>
    </row>
    <row r="529" spans="1:11" x14ac:dyDescent="0.3">
      <c r="A529" t="s">
        <v>51</v>
      </c>
      <c r="B529" t="s">
        <v>11</v>
      </c>
      <c r="C529" t="s">
        <v>12</v>
      </c>
      <c r="D529">
        <v>25</v>
      </c>
      <c r="E529" t="s">
        <v>24</v>
      </c>
      <c r="F529" t="s">
        <v>14</v>
      </c>
      <c r="G529">
        <v>1500</v>
      </c>
      <c r="H529">
        <v>4</v>
      </c>
      <c r="I529">
        <v>6000</v>
      </c>
      <c r="J529" s="2">
        <v>45187</v>
      </c>
      <c r="K529" t="s">
        <v>381</v>
      </c>
    </row>
    <row r="530" spans="1:11" x14ac:dyDescent="0.3">
      <c r="A530" t="s">
        <v>134</v>
      </c>
      <c r="B530" t="s">
        <v>11</v>
      </c>
      <c r="D530">
        <v>33</v>
      </c>
      <c r="E530" t="s">
        <v>42</v>
      </c>
      <c r="F530" t="s">
        <v>14</v>
      </c>
      <c r="G530">
        <v>800</v>
      </c>
      <c r="H530">
        <v>4</v>
      </c>
      <c r="I530">
        <v>3200</v>
      </c>
      <c r="J530" s="2">
        <v>45130</v>
      </c>
      <c r="K530" t="s">
        <v>370</v>
      </c>
    </row>
    <row r="531" spans="1:11" x14ac:dyDescent="0.3">
      <c r="A531" t="s">
        <v>222</v>
      </c>
      <c r="B531" t="s">
        <v>11</v>
      </c>
      <c r="C531" t="s">
        <v>16</v>
      </c>
      <c r="D531">
        <v>18</v>
      </c>
      <c r="E531" t="s">
        <v>42</v>
      </c>
      <c r="F531" t="s">
        <v>14</v>
      </c>
      <c r="G531">
        <v>800</v>
      </c>
      <c r="H531">
        <v>5</v>
      </c>
      <c r="I531">
        <v>4000</v>
      </c>
      <c r="J531" s="2">
        <v>45048</v>
      </c>
      <c r="K531" t="s">
        <v>375</v>
      </c>
    </row>
    <row r="532" spans="1:11" x14ac:dyDescent="0.3">
      <c r="A532" t="s">
        <v>200</v>
      </c>
      <c r="B532" t="s">
        <v>20</v>
      </c>
      <c r="C532" t="s">
        <v>21</v>
      </c>
      <c r="E532" t="s">
        <v>17</v>
      </c>
      <c r="F532" t="s">
        <v>18</v>
      </c>
      <c r="G532">
        <v>100</v>
      </c>
      <c r="H532">
        <v>1</v>
      </c>
      <c r="I532">
        <v>100</v>
      </c>
      <c r="J532" s="2">
        <v>45264</v>
      </c>
      <c r="K532" t="s">
        <v>381</v>
      </c>
    </row>
    <row r="533" spans="1:11" x14ac:dyDescent="0.3">
      <c r="A533" t="s">
        <v>267</v>
      </c>
      <c r="B533" t="s">
        <v>11</v>
      </c>
      <c r="C533" t="s">
        <v>29</v>
      </c>
      <c r="D533">
        <v>67</v>
      </c>
      <c r="E533" t="s">
        <v>13</v>
      </c>
      <c r="F533" t="s">
        <v>14</v>
      </c>
      <c r="G533">
        <v>300</v>
      </c>
      <c r="H533">
        <v>1</v>
      </c>
      <c r="I533">
        <v>300</v>
      </c>
      <c r="J533" s="2">
        <v>45165</v>
      </c>
      <c r="K533" t="s">
        <v>373</v>
      </c>
    </row>
    <row r="534" spans="1:11" x14ac:dyDescent="0.3">
      <c r="A534" t="s">
        <v>198</v>
      </c>
      <c r="B534" t="s">
        <v>20</v>
      </c>
      <c r="C534" t="s">
        <v>16</v>
      </c>
      <c r="D534">
        <v>66</v>
      </c>
      <c r="E534" t="s">
        <v>17</v>
      </c>
      <c r="F534" t="s">
        <v>18</v>
      </c>
      <c r="G534">
        <v>100</v>
      </c>
      <c r="H534">
        <v>5</v>
      </c>
      <c r="I534">
        <v>500</v>
      </c>
      <c r="J534" s="2">
        <v>45085</v>
      </c>
      <c r="K534" t="s">
        <v>373</v>
      </c>
    </row>
    <row r="535" spans="1:11" x14ac:dyDescent="0.3">
      <c r="A535" t="s">
        <v>268</v>
      </c>
      <c r="B535" t="s">
        <v>20</v>
      </c>
      <c r="C535" t="s">
        <v>12</v>
      </c>
      <c r="D535">
        <v>55</v>
      </c>
      <c r="E535" t="s">
        <v>13</v>
      </c>
      <c r="F535" t="s">
        <v>14</v>
      </c>
      <c r="G535">
        <v>300</v>
      </c>
      <c r="H535">
        <v>1</v>
      </c>
      <c r="I535">
        <v>300</v>
      </c>
      <c r="J535" s="2">
        <v>45225</v>
      </c>
      <c r="K535" t="s">
        <v>375</v>
      </c>
    </row>
    <row r="536" spans="1:11" x14ac:dyDescent="0.3">
      <c r="A536" t="s">
        <v>253</v>
      </c>
      <c r="B536" t="s">
        <v>20</v>
      </c>
      <c r="C536" t="s">
        <v>29</v>
      </c>
      <c r="D536">
        <v>51</v>
      </c>
      <c r="E536" t="s">
        <v>24</v>
      </c>
      <c r="F536" t="s">
        <v>14</v>
      </c>
      <c r="G536">
        <v>1500</v>
      </c>
      <c r="H536">
        <v>5</v>
      </c>
      <c r="I536">
        <v>7500</v>
      </c>
      <c r="J536" s="2">
        <v>44933</v>
      </c>
      <c r="K536" t="s">
        <v>370</v>
      </c>
    </row>
    <row r="537" spans="1:11" x14ac:dyDescent="0.3">
      <c r="A537" t="s">
        <v>45</v>
      </c>
      <c r="B537" t="s">
        <v>11</v>
      </c>
      <c r="C537" t="s">
        <v>29</v>
      </c>
      <c r="D537">
        <v>37</v>
      </c>
      <c r="E537" t="s">
        <v>26</v>
      </c>
      <c r="F537" t="s">
        <v>27</v>
      </c>
      <c r="G537">
        <v>200</v>
      </c>
      <c r="H537">
        <v>5</v>
      </c>
      <c r="I537">
        <v>1000</v>
      </c>
      <c r="J537" s="2">
        <v>45039</v>
      </c>
      <c r="K537" t="s">
        <v>375</v>
      </c>
    </row>
    <row r="538" spans="1:11" x14ac:dyDescent="0.3">
      <c r="A538" t="s">
        <v>97</v>
      </c>
      <c r="B538" t="s">
        <v>11</v>
      </c>
      <c r="D538">
        <v>33</v>
      </c>
      <c r="E538" t="s">
        <v>42</v>
      </c>
      <c r="F538" t="s">
        <v>14</v>
      </c>
      <c r="G538">
        <v>800</v>
      </c>
      <c r="H538">
        <v>3</v>
      </c>
      <c r="I538">
        <v>2400</v>
      </c>
      <c r="J538" s="2">
        <v>45181</v>
      </c>
      <c r="K538" t="s">
        <v>373</v>
      </c>
    </row>
    <row r="539" spans="1:11" x14ac:dyDescent="0.3">
      <c r="A539" t="s">
        <v>58</v>
      </c>
      <c r="B539" t="s">
        <v>11</v>
      </c>
      <c r="C539" t="s">
        <v>16</v>
      </c>
      <c r="E539" t="s">
        <v>31</v>
      </c>
      <c r="F539" t="s">
        <v>18</v>
      </c>
      <c r="G539">
        <v>50</v>
      </c>
      <c r="H539">
        <v>1</v>
      </c>
      <c r="I539">
        <v>50</v>
      </c>
      <c r="J539" s="2">
        <v>44954</v>
      </c>
      <c r="K539" t="s">
        <v>370</v>
      </c>
    </row>
    <row r="540" spans="1:11" x14ac:dyDescent="0.3">
      <c r="A540" t="s">
        <v>206</v>
      </c>
      <c r="B540" t="s">
        <v>20</v>
      </c>
      <c r="C540" t="s">
        <v>21</v>
      </c>
      <c r="D540">
        <v>69</v>
      </c>
      <c r="E540" t="s">
        <v>26</v>
      </c>
      <c r="F540" t="s">
        <v>27</v>
      </c>
      <c r="G540">
        <v>200</v>
      </c>
      <c r="H540">
        <v>3</v>
      </c>
      <c r="I540">
        <v>600</v>
      </c>
      <c r="J540" s="2">
        <v>45123</v>
      </c>
      <c r="K540" t="s">
        <v>370</v>
      </c>
    </row>
    <row r="541" spans="1:11" x14ac:dyDescent="0.3">
      <c r="A541" t="s">
        <v>49</v>
      </c>
      <c r="B541" t="s">
        <v>11</v>
      </c>
      <c r="C541" t="s">
        <v>29</v>
      </c>
      <c r="D541">
        <v>57</v>
      </c>
      <c r="E541" t="s">
        <v>26</v>
      </c>
      <c r="F541" t="s">
        <v>27</v>
      </c>
      <c r="G541">
        <v>200</v>
      </c>
      <c r="H541">
        <v>5</v>
      </c>
      <c r="I541">
        <v>1000</v>
      </c>
      <c r="J541" s="2">
        <v>44930</v>
      </c>
      <c r="K541" t="s">
        <v>373</v>
      </c>
    </row>
    <row r="542" spans="1:11" x14ac:dyDescent="0.3">
      <c r="A542" t="s">
        <v>269</v>
      </c>
      <c r="B542" t="s">
        <v>11</v>
      </c>
      <c r="C542" t="s">
        <v>29</v>
      </c>
      <c r="D542">
        <v>19</v>
      </c>
      <c r="E542" t="s">
        <v>17</v>
      </c>
      <c r="F542" t="s">
        <v>18</v>
      </c>
      <c r="G542">
        <v>100</v>
      </c>
      <c r="H542">
        <v>5</v>
      </c>
      <c r="I542">
        <v>500</v>
      </c>
      <c r="J542" s="2">
        <v>45024</v>
      </c>
      <c r="K542" t="s">
        <v>381</v>
      </c>
    </row>
    <row r="543" spans="1:11" x14ac:dyDescent="0.3">
      <c r="A543" t="s">
        <v>270</v>
      </c>
      <c r="B543" t="s">
        <v>11</v>
      </c>
      <c r="C543" t="s">
        <v>21</v>
      </c>
      <c r="D543">
        <v>43</v>
      </c>
      <c r="E543" t="s">
        <v>24</v>
      </c>
      <c r="F543" t="s">
        <v>14</v>
      </c>
      <c r="G543">
        <v>1500</v>
      </c>
      <c r="H543">
        <v>5</v>
      </c>
      <c r="I543">
        <v>7500</v>
      </c>
      <c r="J543" s="2">
        <v>45049</v>
      </c>
      <c r="K543" t="s">
        <v>381</v>
      </c>
    </row>
    <row r="544" spans="1:11" x14ac:dyDescent="0.3">
      <c r="A544" t="s">
        <v>237</v>
      </c>
      <c r="B544" t="s">
        <v>20</v>
      </c>
      <c r="D544">
        <v>23</v>
      </c>
      <c r="E544" t="s">
        <v>32</v>
      </c>
      <c r="F544" t="s">
        <v>18</v>
      </c>
      <c r="G544">
        <v>30</v>
      </c>
      <c r="H544">
        <v>2</v>
      </c>
      <c r="I544">
        <v>60</v>
      </c>
      <c r="J544" s="2">
        <v>45122</v>
      </c>
      <c r="K544" t="s">
        <v>375</v>
      </c>
    </row>
    <row r="545" spans="1:11" x14ac:dyDescent="0.3">
      <c r="A545" t="s">
        <v>96</v>
      </c>
      <c r="B545" t="s">
        <v>11</v>
      </c>
      <c r="C545" t="s">
        <v>12</v>
      </c>
      <c r="D545">
        <v>45</v>
      </c>
      <c r="E545" t="s">
        <v>42</v>
      </c>
      <c r="F545" t="s">
        <v>14</v>
      </c>
      <c r="G545">
        <v>800</v>
      </c>
      <c r="H545">
        <v>4</v>
      </c>
      <c r="I545">
        <v>3200</v>
      </c>
      <c r="J545" s="2">
        <v>45197</v>
      </c>
      <c r="K545" t="s">
        <v>370</v>
      </c>
    </row>
    <row r="546" spans="1:11" x14ac:dyDescent="0.3">
      <c r="A546" t="s">
        <v>271</v>
      </c>
      <c r="B546" t="s">
        <v>20</v>
      </c>
      <c r="C546" t="s">
        <v>29</v>
      </c>
      <c r="D546">
        <v>48</v>
      </c>
      <c r="E546" t="s">
        <v>31</v>
      </c>
      <c r="F546" t="s">
        <v>18</v>
      </c>
      <c r="G546">
        <v>50</v>
      </c>
      <c r="H546">
        <v>4</v>
      </c>
      <c r="I546">
        <v>200</v>
      </c>
      <c r="J546" s="2">
        <v>45068</v>
      </c>
      <c r="K546" t="s">
        <v>375</v>
      </c>
    </row>
    <row r="547" spans="1:11" x14ac:dyDescent="0.3">
      <c r="A547" t="s">
        <v>190</v>
      </c>
      <c r="B547" t="s">
        <v>11</v>
      </c>
      <c r="C547" t="s">
        <v>21</v>
      </c>
      <c r="D547">
        <v>52</v>
      </c>
      <c r="E547" t="s">
        <v>32</v>
      </c>
      <c r="F547" t="s">
        <v>18</v>
      </c>
      <c r="G547">
        <v>30</v>
      </c>
      <c r="H547">
        <v>3</v>
      </c>
      <c r="I547">
        <v>90</v>
      </c>
      <c r="J547" s="2">
        <v>45015</v>
      </c>
      <c r="K547" t="s">
        <v>370</v>
      </c>
    </row>
    <row r="548" spans="1:11" x14ac:dyDescent="0.3">
      <c r="A548" t="s">
        <v>200</v>
      </c>
      <c r="B548" t="s">
        <v>20</v>
      </c>
      <c r="C548" t="s">
        <v>21</v>
      </c>
      <c r="D548">
        <v>46</v>
      </c>
      <c r="E548" t="s">
        <v>17</v>
      </c>
      <c r="F548" t="s">
        <v>18</v>
      </c>
      <c r="G548">
        <v>100</v>
      </c>
      <c r="H548">
        <v>5</v>
      </c>
      <c r="I548">
        <v>500</v>
      </c>
      <c r="J548" s="2">
        <v>45140</v>
      </c>
      <c r="K548" t="s">
        <v>373</v>
      </c>
    </row>
    <row r="549" spans="1:11" x14ac:dyDescent="0.3">
      <c r="A549" t="s">
        <v>10</v>
      </c>
      <c r="B549" t="s">
        <v>11</v>
      </c>
      <c r="C549" t="s">
        <v>12</v>
      </c>
      <c r="D549">
        <v>21</v>
      </c>
      <c r="E549" t="s">
        <v>31</v>
      </c>
      <c r="F549" t="s">
        <v>18</v>
      </c>
      <c r="G549">
        <v>50</v>
      </c>
      <c r="H549">
        <v>3</v>
      </c>
      <c r="I549">
        <v>150</v>
      </c>
      <c r="J549" s="2">
        <v>45066</v>
      </c>
      <c r="K549" t="s">
        <v>370</v>
      </c>
    </row>
    <row r="550" spans="1:11" x14ac:dyDescent="0.3">
      <c r="A550" t="s">
        <v>272</v>
      </c>
      <c r="B550" t="s">
        <v>20</v>
      </c>
      <c r="C550" t="s">
        <v>16</v>
      </c>
      <c r="D550">
        <v>36</v>
      </c>
      <c r="E550" t="s">
        <v>31</v>
      </c>
      <c r="F550" t="s">
        <v>18</v>
      </c>
      <c r="G550">
        <v>50</v>
      </c>
      <c r="H550">
        <v>5</v>
      </c>
      <c r="I550">
        <v>250</v>
      </c>
      <c r="J550" s="2">
        <v>45277</v>
      </c>
      <c r="K550" t="s">
        <v>370</v>
      </c>
    </row>
    <row r="551" spans="1:11" x14ac:dyDescent="0.3">
      <c r="A551" t="s">
        <v>228</v>
      </c>
      <c r="B551" t="s">
        <v>11</v>
      </c>
      <c r="C551" t="s">
        <v>16</v>
      </c>
      <c r="D551">
        <v>33</v>
      </c>
      <c r="E551" t="s">
        <v>13</v>
      </c>
      <c r="F551" t="s">
        <v>14</v>
      </c>
      <c r="G551">
        <v>300</v>
      </c>
      <c r="H551">
        <v>3</v>
      </c>
      <c r="I551">
        <v>900</v>
      </c>
      <c r="J551" s="2">
        <v>45231</v>
      </c>
      <c r="K551" t="s">
        <v>373</v>
      </c>
    </row>
    <row r="552" spans="1:11" x14ac:dyDescent="0.3">
      <c r="A552" t="s">
        <v>79</v>
      </c>
      <c r="B552" t="s">
        <v>11</v>
      </c>
      <c r="C552" t="s">
        <v>16</v>
      </c>
      <c r="D552">
        <v>54</v>
      </c>
      <c r="E552" t="s">
        <v>17</v>
      </c>
      <c r="F552" t="s">
        <v>18</v>
      </c>
      <c r="G552">
        <v>100</v>
      </c>
      <c r="H552">
        <v>2</v>
      </c>
      <c r="I552">
        <v>200</v>
      </c>
      <c r="J552" s="2">
        <v>45294</v>
      </c>
      <c r="K552" t="s">
        <v>381</v>
      </c>
    </row>
    <row r="553" spans="1:11" x14ac:dyDescent="0.3">
      <c r="A553" t="s">
        <v>92</v>
      </c>
      <c r="B553" t="s">
        <v>11</v>
      </c>
      <c r="C553" t="s">
        <v>29</v>
      </c>
      <c r="D553">
        <v>50</v>
      </c>
      <c r="E553" t="s">
        <v>13</v>
      </c>
      <c r="F553" t="s">
        <v>14</v>
      </c>
      <c r="G553">
        <v>300</v>
      </c>
      <c r="H553">
        <v>3</v>
      </c>
      <c r="I553">
        <v>900</v>
      </c>
      <c r="J553" s="2">
        <v>44934</v>
      </c>
      <c r="K553" t="s">
        <v>373</v>
      </c>
    </row>
    <row r="554" spans="1:11" x14ac:dyDescent="0.3">
      <c r="A554" t="s">
        <v>186</v>
      </c>
      <c r="B554" t="s">
        <v>20</v>
      </c>
      <c r="C554" t="s">
        <v>29</v>
      </c>
      <c r="D554">
        <v>51</v>
      </c>
      <c r="E554" t="s">
        <v>17</v>
      </c>
      <c r="F554" t="s">
        <v>18</v>
      </c>
      <c r="G554">
        <v>100</v>
      </c>
      <c r="H554">
        <v>4</v>
      </c>
      <c r="I554">
        <v>400</v>
      </c>
      <c r="J554" s="2">
        <v>45194</v>
      </c>
      <c r="K554" t="s">
        <v>370</v>
      </c>
    </row>
    <row r="555" spans="1:11" x14ac:dyDescent="0.3">
      <c r="A555" t="s">
        <v>186</v>
      </c>
      <c r="B555" t="s">
        <v>20</v>
      </c>
      <c r="C555" t="s">
        <v>29</v>
      </c>
      <c r="D555">
        <v>51</v>
      </c>
      <c r="E555" t="s">
        <v>31</v>
      </c>
      <c r="F555" t="s">
        <v>18</v>
      </c>
      <c r="G555">
        <v>50</v>
      </c>
      <c r="H555">
        <v>3</v>
      </c>
      <c r="I555">
        <v>150</v>
      </c>
      <c r="J555" s="2">
        <v>45034</v>
      </c>
      <c r="K555" t="s">
        <v>373</v>
      </c>
    </row>
    <row r="556" spans="1:11" x14ac:dyDescent="0.3">
      <c r="A556" t="s">
        <v>273</v>
      </c>
      <c r="B556" t="s">
        <v>20</v>
      </c>
      <c r="C556" t="s">
        <v>12</v>
      </c>
      <c r="E556" t="s">
        <v>26</v>
      </c>
      <c r="F556" t="s">
        <v>27</v>
      </c>
      <c r="G556">
        <v>200</v>
      </c>
      <c r="H556">
        <v>1</v>
      </c>
      <c r="I556">
        <v>200</v>
      </c>
      <c r="J556" s="2">
        <v>44976</v>
      </c>
      <c r="K556" t="s">
        <v>370</v>
      </c>
    </row>
    <row r="557" spans="1:11" x14ac:dyDescent="0.3">
      <c r="A557" t="s">
        <v>104</v>
      </c>
      <c r="B557" t="s">
        <v>20</v>
      </c>
      <c r="C557" t="s">
        <v>16</v>
      </c>
      <c r="D557">
        <v>30</v>
      </c>
      <c r="E557" t="s">
        <v>17</v>
      </c>
      <c r="F557" t="s">
        <v>18</v>
      </c>
      <c r="G557">
        <v>100</v>
      </c>
      <c r="H557">
        <v>1</v>
      </c>
      <c r="I557">
        <v>100</v>
      </c>
      <c r="J557" s="2">
        <v>45078</v>
      </c>
      <c r="K557" t="s">
        <v>381</v>
      </c>
    </row>
    <row r="558" spans="1:11" x14ac:dyDescent="0.3">
      <c r="A558" t="s">
        <v>160</v>
      </c>
      <c r="B558" t="s">
        <v>20</v>
      </c>
      <c r="C558" t="s">
        <v>21</v>
      </c>
      <c r="D558">
        <v>32</v>
      </c>
      <c r="E558" t="s">
        <v>31</v>
      </c>
      <c r="F558" t="s">
        <v>18</v>
      </c>
      <c r="G558">
        <v>50</v>
      </c>
      <c r="H558">
        <v>5</v>
      </c>
      <c r="I558">
        <v>250</v>
      </c>
      <c r="J558" s="2">
        <v>45105</v>
      </c>
      <c r="K558" t="s">
        <v>381</v>
      </c>
    </row>
    <row r="559" spans="1:11" x14ac:dyDescent="0.3">
      <c r="A559" t="s">
        <v>160</v>
      </c>
      <c r="B559" t="s">
        <v>20</v>
      </c>
      <c r="C559" t="s">
        <v>21</v>
      </c>
      <c r="D559">
        <v>32</v>
      </c>
      <c r="E559" t="s">
        <v>13</v>
      </c>
      <c r="F559" t="s">
        <v>14</v>
      </c>
      <c r="G559">
        <v>300</v>
      </c>
      <c r="H559">
        <v>1</v>
      </c>
      <c r="I559">
        <v>300</v>
      </c>
      <c r="J559" s="2">
        <v>45040</v>
      </c>
      <c r="K559" t="s">
        <v>370</v>
      </c>
    </row>
    <row r="560" spans="1:11" x14ac:dyDescent="0.3">
      <c r="A560" t="s">
        <v>209</v>
      </c>
      <c r="B560" t="s">
        <v>11</v>
      </c>
      <c r="C560" t="s">
        <v>12</v>
      </c>
      <c r="D560">
        <v>63</v>
      </c>
      <c r="E560" t="s">
        <v>42</v>
      </c>
      <c r="F560" t="s">
        <v>14</v>
      </c>
      <c r="G560">
        <v>800</v>
      </c>
      <c r="H560">
        <v>2</v>
      </c>
      <c r="I560">
        <v>1600</v>
      </c>
      <c r="J560" s="2">
        <v>45268</v>
      </c>
      <c r="K560" t="s">
        <v>381</v>
      </c>
    </row>
    <row r="561" spans="1:11" x14ac:dyDescent="0.3">
      <c r="A561" t="s">
        <v>248</v>
      </c>
      <c r="B561" t="s">
        <v>11</v>
      </c>
      <c r="C561" t="s">
        <v>16</v>
      </c>
      <c r="D561">
        <v>54</v>
      </c>
      <c r="E561" t="s">
        <v>31</v>
      </c>
      <c r="F561" t="s">
        <v>18</v>
      </c>
      <c r="G561">
        <v>50</v>
      </c>
      <c r="H561">
        <v>1</v>
      </c>
      <c r="I561">
        <v>50</v>
      </c>
      <c r="J561" s="2">
        <v>45234</v>
      </c>
      <c r="K561" t="s">
        <v>373</v>
      </c>
    </row>
    <row r="562" spans="1:11" x14ac:dyDescent="0.3">
      <c r="A562" t="s">
        <v>176</v>
      </c>
      <c r="B562" t="s">
        <v>11</v>
      </c>
      <c r="C562" t="s">
        <v>16</v>
      </c>
      <c r="D562">
        <v>54</v>
      </c>
      <c r="E562" t="s">
        <v>24</v>
      </c>
      <c r="F562" t="s">
        <v>14</v>
      </c>
      <c r="G562">
        <v>3109.5606124866499</v>
      </c>
      <c r="H562">
        <v>5</v>
      </c>
      <c r="I562">
        <v>7500</v>
      </c>
      <c r="J562" s="2">
        <v>45034</v>
      </c>
      <c r="K562" t="s">
        <v>381</v>
      </c>
    </row>
    <row r="563" spans="1:11" x14ac:dyDescent="0.3">
      <c r="A563" t="s">
        <v>265</v>
      </c>
      <c r="B563" t="s">
        <v>11</v>
      </c>
      <c r="C563" t="s">
        <v>29</v>
      </c>
      <c r="D563">
        <v>64</v>
      </c>
      <c r="E563" t="s">
        <v>26</v>
      </c>
      <c r="F563" t="s">
        <v>27</v>
      </c>
      <c r="G563">
        <v>200</v>
      </c>
      <c r="H563">
        <v>2</v>
      </c>
      <c r="I563">
        <v>400</v>
      </c>
      <c r="J563" s="2">
        <v>45193</v>
      </c>
      <c r="K563" t="s">
        <v>375</v>
      </c>
    </row>
    <row r="564" spans="1:11" x14ac:dyDescent="0.3">
      <c r="A564" t="s">
        <v>63</v>
      </c>
      <c r="B564" t="s">
        <v>20</v>
      </c>
      <c r="C564" t="s">
        <v>29</v>
      </c>
      <c r="D564">
        <v>61</v>
      </c>
      <c r="E564" t="s">
        <v>32</v>
      </c>
      <c r="F564" t="s">
        <v>18</v>
      </c>
      <c r="G564">
        <v>30</v>
      </c>
      <c r="H564">
        <v>2</v>
      </c>
      <c r="I564">
        <v>60</v>
      </c>
      <c r="J564" s="2">
        <v>45243</v>
      </c>
      <c r="K564" t="s">
        <v>381</v>
      </c>
    </row>
    <row r="565" spans="1:11" x14ac:dyDescent="0.3">
      <c r="A565" t="s">
        <v>274</v>
      </c>
      <c r="B565" t="s">
        <v>11</v>
      </c>
      <c r="C565" t="s">
        <v>29</v>
      </c>
      <c r="D565">
        <v>51</v>
      </c>
      <c r="E565" t="s">
        <v>24</v>
      </c>
      <c r="F565" t="s">
        <v>14</v>
      </c>
      <c r="G565">
        <v>1500</v>
      </c>
      <c r="H565">
        <v>1</v>
      </c>
      <c r="I565">
        <v>1500</v>
      </c>
      <c r="J565" s="2">
        <v>45209</v>
      </c>
      <c r="K565" t="s">
        <v>375</v>
      </c>
    </row>
    <row r="566" spans="1:11" x14ac:dyDescent="0.3">
      <c r="A566" t="s">
        <v>86</v>
      </c>
      <c r="B566" t="s">
        <v>20</v>
      </c>
      <c r="C566" t="s">
        <v>21</v>
      </c>
      <c r="D566">
        <v>28</v>
      </c>
      <c r="E566" t="s">
        <v>24</v>
      </c>
      <c r="F566" t="s">
        <v>14</v>
      </c>
      <c r="G566">
        <v>1500</v>
      </c>
      <c r="H566">
        <v>1</v>
      </c>
      <c r="I566">
        <v>1500</v>
      </c>
      <c r="J566" s="2">
        <v>44974</v>
      </c>
      <c r="K566" t="s">
        <v>373</v>
      </c>
    </row>
    <row r="567" spans="1:11" x14ac:dyDescent="0.3">
      <c r="A567" t="s">
        <v>197</v>
      </c>
      <c r="B567" t="s">
        <v>20</v>
      </c>
      <c r="C567" t="s">
        <v>12</v>
      </c>
      <c r="D567">
        <v>51</v>
      </c>
      <c r="E567" t="s">
        <v>17</v>
      </c>
      <c r="F567" t="s">
        <v>18</v>
      </c>
      <c r="G567">
        <v>100</v>
      </c>
      <c r="H567">
        <v>3</v>
      </c>
      <c r="I567">
        <v>300</v>
      </c>
      <c r="J567" s="2">
        <v>45005</v>
      </c>
      <c r="K567" t="s">
        <v>381</v>
      </c>
    </row>
    <row r="568" spans="1:11" x14ac:dyDescent="0.3">
      <c r="A568" t="s">
        <v>225</v>
      </c>
      <c r="B568" t="s">
        <v>20</v>
      </c>
      <c r="C568" t="s">
        <v>12</v>
      </c>
      <c r="D568">
        <v>20</v>
      </c>
      <c r="E568" t="s">
        <v>24</v>
      </c>
      <c r="F568" t="s">
        <v>14</v>
      </c>
      <c r="G568">
        <v>1500</v>
      </c>
      <c r="H568">
        <v>5</v>
      </c>
      <c r="I568">
        <v>7500</v>
      </c>
      <c r="J568" s="2">
        <v>45227</v>
      </c>
      <c r="K568" t="s">
        <v>381</v>
      </c>
    </row>
    <row r="569" spans="1:11" x14ac:dyDescent="0.3">
      <c r="A569" t="s">
        <v>275</v>
      </c>
      <c r="B569" t="s">
        <v>11</v>
      </c>
      <c r="C569" t="s">
        <v>21</v>
      </c>
      <c r="D569">
        <v>33</v>
      </c>
      <c r="E569" t="s">
        <v>13</v>
      </c>
      <c r="F569" t="s">
        <v>14</v>
      </c>
      <c r="G569">
        <v>300</v>
      </c>
      <c r="H569">
        <v>5</v>
      </c>
      <c r="I569">
        <v>1500</v>
      </c>
      <c r="J569" s="2">
        <v>44942</v>
      </c>
      <c r="K569" t="s">
        <v>381</v>
      </c>
    </row>
    <row r="570" spans="1:11" x14ac:dyDescent="0.3">
      <c r="A570" t="s">
        <v>194</v>
      </c>
      <c r="B570" t="s">
        <v>11</v>
      </c>
      <c r="C570" t="s">
        <v>16</v>
      </c>
      <c r="D570">
        <v>28</v>
      </c>
      <c r="E570" t="s">
        <v>13</v>
      </c>
      <c r="F570" t="s">
        <v>14</v>
      </c>
      <c r="G570">
        <v>300</v>
      </c>
      <c r="H570">
        <v>2</v>
      </c>
      <c r="I570">
        <v>600</v>
      </c>
      <c r="J570" s="2">
        <v>44968</v>
      </c>
      <c r="K570" t="s">
        <v>373</v>
      </c>
    </row>
    <row r="571" spans="1:11" x14ac:dyDescent="0.3">
      <c r="A571" t="s">
        <v>54</v>
      </c>
      <c r="B571" t="s">
        <v>11</v>
      </c>
      <c r="C571" t="s">
        <v>29</v>
      </c>
      <c r="D571">
        <v>57</v>
      </c>
      <c r="E571" t="s">
        <v>13</v>
      </c>
      <c r="F571" t="s">
        <v>14</v>
      </c>
      <c r="G571">
        <v>300</v>
      </c>
      <c r="H571">
        <v>2</v>
      </c>
      <c r="I571">
        <v>600</v>
      </c>
      <c r="J571" s="2">
        <v>45278</v>
      </c>
      <c r="K571" t="s">
        <v>373</v>
      </c>
    </row>
    <row r="572" spans="1:11" x14ac:dyDescent="0.3">
      <c r="A572" t="s">
        <v>154</v>
      </c>
      <c r="B572" t="s">
        <v>20</v>
      </c>
      <c r="C572" t="s">
        <v>16</v>
      </c>
      <c r="D572">
        <v>53</v>
      </c>
      <c r="E572" t="s">
        <v>31</v>
      </c>
      <c r="F572" t="s">
        <v>18</v>
      </c>
      <c r="G572">
        <v>50</v>
      </c>
      <c r="H572">
        <v>5</v>
      </c>
      <c r="I572">
        <v>250</v>
      </c>
      <c r="J572" s="2">
        <v>45170</v>
      </c>
      <c r="K572" t="s">
        <v>375</v>
      </c>
    </row>
    <row r="573" spans="1:11" x14ac:dyDescent="0.3">
      <c r="A573" t="s">
        <v>276</v>
      </c>
      <c r="B573" t="s">
        <v>20</v>
      </c>
      <c r="C573" t="s">
        <v>21</v>
      </c>
      <c r="D573">
        <v>56</v>
      </c>
      <c r="E573" t="s">
        <v>13</v>
      </c>
      <c r="F573" t="s">
        <v>14</v>
      </c>
      <c r="G573">
        <v>300</v>
      </c>
      <c r="H573">
        <v>5</v>
      </c>
      <c r="I573">
        <v>1500</v>
      </c>
      <c r="J573" s="2">
        <v>45127</v>
      </c>
      <c r="K573" t="s">
        <v>370</v>
      </c>
    </row>
    <row r="574" spans="1:11" x14ac:dyDescent="0.3">
      <c r="A574" t="s">
        <v>277</v>
      </c>
      <c r="B574" t="s">
        <v>11</v>
      </c>
      <c r="C574" t="s">
        <v>12</v>
      </c>
      <c r="D574">
        <v>34</v>
      </c>
      <c r="E574" t="s">
        <v>13</v>
      </c>
      <c r="F574" t="s">
        <v>14</v>
      </c>
      <c r="G574">
        <v>300</v>
      </c>
      <c r="H574">
        <v>2</v>
      </c>
      <c r="I574">
        <v>600</v>
      </c>
      <c r="J574" s="2">
        <v>45192</v>
      </c>
      <c r="K574" t="s">
        <v>373</v>
      </c>
    </row>
    <row r="575" spans="1:11" x14ac:dyDescent="0.3">
      <c r="A575" t="s">
        <v>278</v>
      </c>
      <c r="B575" t="s">
        <v>11</v>
      </c>
      <c r="C575" t="s">
        <v>29</v>
      </c>
      <c r="D575">
        <v>32</v>
      </c>
      <c r="E575" t="s">
        <v>13</v>
      </c>
      <c r="F575" t="s">
        <v>14</v>
      </c>
      <c r="G575">
        <v>300</v>
      </c>
      <c r="H575">
        <v>2</v>
      </c>
      <c r="I575">
        <v>600</v>
      </c>
      <c r="J575" s="2">
        <v>45121</v>
      </c>
      <c r="K575" t="s">
        <v>381</v>
      </c>
    </row>
    <row r="576" spans="1:11" x14ac:dyDescent="0.3">
      <c r="A576" t="s">
        <v>225</v>
      </c>
      <c r="B576" t="s">
        <v>11</v>
      </c>
      <c r="C576" t="s">
        <v>12</v>
      </c>
      <c r="D576">
        <v>20</v>
      </c>
      <c r="E576" t="s">
        <v>26</v>
      </c>
      <c r="F576" t="s">
        <v>27</v>
      </c>
      <c r="G576">
        <v>200</v>
      </c>
      <c r="H576">
        <v>4</v>
      </c>
      <c r="I576">
        <v>800</v>
      </c>
      <c r="J576" s="2">
        <v>45091</v>
      </c>
      <c r="K576" t="s">
        <v>375</v>
      </c>
    </row>
    <row r="577" spans="1:11" x14ac:dyDescent="0.3">
      <c r="A577" t="s">
        <v>85</v>
      </c>
      <c r="B577" t="s">
        <v>11</v>
      </c>
      <c r="D577">
        <v>36</v>
      </c>
      <c r="E577" t="s">
        <v>24</v>
      </c>
      <c r="F577" t="s">
        <v>14</v>
      </c>
      <c r="G577">
        <v>1500</v>
      </c>
      <c r="H577">
        <v>4</v>
      </c>
      <c r="I577">
        <v>6000</v>
      </c>
      <c r="J577" s="2">
        <v>45083</v>
      </c>
      <c r="K577" t="s">
        <v>381</v>
      </c>
    </row>
    <row r="578" spans="1:11" x14ac:dyDescent="0.3">
      <c r="A578" t="s">
        <v>188</v>
      </c>
      <c r="B578" t="s">
        <v>11</v>
      </c>
      <c r="C578" t="s">
        <v>12</v>
      </c>
      <c r="E578" t="s">
        <v>42</v>
      </c>
      <c r="F578" t="s">
        <v>14</v>
      </c>
      <c r="G578">
        <v>800</v>
      </c>
      <c r="H578">
        <v>2</v>
      </c>
      <c r="I578">
        <v>1600</v>
      </c>
      <c r="J578" s="2">
        <v>44935</v>
      </c>
      <c r="K578" t="s">
        <v>381</v>
      </c>
    </row>
    <row r="579" spans="1:11" x14ac:dyDescent="0.3">
      <c r="A579" t="s">
        <v>256</v>
      </c>
      <c r="B579" t="s">
        <v>11</v>
      </c>
      <c r="C579" t="s">
        <v>21</v>
      </c>
      <c r="D579">
        <v>69</v>
      </c>
      <c r="E579" t="s">
        <v>13</v>
      </c>
      <c r="F579" t="s">
        <v>14</v>
      </c>
      <c r="G579">
        <v>300</v>
      </c>
      <c r="H579">
        <v>2</v>
      </c>
      <c r="I579">
        <v>600</v>
      </c>
      <c r="J579" s="2">
        <v>45136</v>
      </c>
      <c r="K579" t="s">
        <v>373</v>
      </c>
    </row>
    <row r="580" spans="1:11" x14ac:dyDescent="0.3">
      <c r="A580" t="s">
        <v>193</v>
      </c>
      <c r="B580" t="s">
        <v>20</v>
      </c>
      <c r="C580" t="s">
        <v>12</v>
      </c>
      <c r="D580">
        <v>64</v>
      </c>
      <c r="E580" t="s">
        <v>42</v>
      </c>
      <c r="F580" t="s">
        <v>14</v>
      </c>
      <c r="G580">
        <v>800</v>
      </c>
      <c r="H580">
        <v>2</v>
      </c>
      <c r="I580">
        <v>1600</v>
      </c>
      <c r="J580" s="2">
        <v>45143</v>
      </c>
      <c r="K580" t="s">
        <v>370</v>
      </c>
    </row>
    <row r="581" spans="1:11" x14ac:dyDescent="0.3">
      <c r="A581" t="s">
        <v>54</v>
      </c>
      <c r="B581" t="s">
        <v>11</v>
      </c>
      <c r="C581" t="s">
        <v>12</v>
      </c>
      <c r="D581">
        <v>57</v>
      </c>
      <c r="E581" t="s">
        <v>31</v>
      </c>
      <c r="F581" t="s">
        <v>18</v>
      </c>
      <c r="G581">
        <v>50</v>
      </c>
      <c r="H581">
        <v>3</v>
      </c>
      <c r="I581">
        <v>150</v>
      </c>
      <c r="J581" s="2">
        <v>44978</v>
      </c>
      <c r="K581" t="s">
        <v>381</v>
      </c>
    </row>
    <row r="582" spans="1:11" x14ac:dyDescent="0.3">
      <c r="A582" t="s">
        <v>277</v>
      </c>
      <c r="B582" t="s">
        <v>11</v>
      </c>
      <c r="C582" t="s">
        <v>12</v>
      </c>
      <c r="D582">
        <v>34</v>
      </c>
      <c r="E582" t="s">
        <v>13</v>
      </c>
      <c r="F582" t="s">
        <v>14</v>
      </c>
      <c r="G582">
        <v>300</v>
      </c>
      <c r="H582">
        <v>2</v>
      </c>
      <c r="I582">
        <v>600</v>
      </c>
      <c r="J582" s="2">
        <v>45051</v>
      </c>
      <c r="K582" t="s">
        <v>373</v>
      </c>
    </row>
    <row r="583" spans="1:11" x14ac:dyDescent="0.3">
      <c r="A583" t="s">
        <v>170</v>
      </c>
      <c r="B583" t="s">
        <v>20</v>
      </c>
      <c r="C583" t="s">
        <v>16</v>
      </c>
      <c r="D583">
        <v>42</v>
      </c>
      <c r="E583" t="s">
        <v>13</v>
      </c>
      <c r="F583" t="s">
        <v>14</v>
      </c>
      <c r="G583">
        <v>300</v>
      </c>
      <c r="H583">
        <v>3</v>
      </c>
      <c r="I583">
        <v>900</v>
      </c>
      <c r="J583" s="2">
        <v>44942</v>
      </c>
      <c r="K583" t="s">
        <v>375</v>
      </c>
    </row>
    <row r="584" spans="1:11" x14ac:dyDescent="0.3">
      <c r="A584" t="s">
        <v>257</v>
      </c>
      <c r="B584" t="s">
        <v>20</v>
      </c>
      <c r="D584">
        <v>39</v>
      </c>
      <c r="E584" t="s">
        <v>17</v>
      </c>
      <c r="F584" t="s">
        <v>18</v>
      </c>
      <c r="G584">
        <v>100</v>
      </c>
      <c r="H584">
        <v>1</v>
      </c>
      <c r="I584">
        <v>100</v>
      </c>
      <c r="J584" s="2">
        <v>45103</v>
      </c>
      <c r="K584" t="s">
        <v>381</v>
      </c>
    </row>
    <row r="585" spans="1:11" x14ac:dyDescent="0.3">
      <c r="A585" t="s">
        <v>135</v>
      </c>
      <c r="B585" t="s">
        <v>11</v>
      </c>
      <c r="C585" t="s">
        <v>12</v>
      </c>
      <c r="D585">
        <v>41</v>
      </c>
      <c r="E585" t="s">
        <v>26</v>
      </c>
      <c r="F585" t="s">
        <v>27</v>
      </c>
      <c r="G585">
        <v>200</v>
      </c>
      <c r="H585">
        <v>1</v>
      </c>
      <c r="I585">
        <v>200</v>
      </c>
      <c r="J585" s="2">
        <v>45036</v>
      </c>
      <c r="K585" t="s">
        <v>375</v>
      </c>
    </row>
    <row r="586" spans="1:11" x14ac:dyDescent="0.3">
      <c r="A586" t="s">
        <v>279</v>
      </c>
      <c r="B586" t="s">
        <v>11</v>
      </c>
      <c r="C586" t="s">
        <v>12</v>
      </c>
      <c r="D586">
        <v>29</v>
      </c>
      <c r="E586" t="s">
        <v>24</v>
      </c>
      <c r="F586" t="s">
        <v>14</v>
      </c>
      <c r="G586">
        <v>1500</v>
      </c>
      <c r="H586">
        <v>5</v>
      </c>
      <c r="I586">
        <v>7500</v>
      </c>
      <c r="J586" s="2">
        <v>45229</v>
      </c>
      <c r="K586" t="s">
        <v>373</v>
      </c>
    </row>
    <row r="587" spans="1:11" x14ac:dyDescent="0.3">
      <c r="A587" t="s">
        <v>208</v>
      </c>
      <c r="B587" t="s">
        <v>20</v>
      </c>
      <c r="C587" t="s">
        <v>12</v>
      </c>
      <c r="E587" t="s">
        <v>17</v>
      </c>
      <c r="F587" t="s">
        <v>18</v>
      </c>
      <c r="G587">
        <v>100</v>
      </c>
      <c r="H587">
        <v>4</v>
      </c>
      <c r="I587">
        <v>400</v>
      </c>
      <c r="J587" s="2">
        <v>45173</v>
      </c>
      <c r="K587" t="s">
        <v>373</v>
      </c>
    </row>
    <row r="588" spans="1:11" x14ac:dyDescent="0.3">
      <c r="A588" t="s">
        <v>208</v>
      </c>
      <c r="B588" t="s">
        <v>11</v>
      </c>
      <c r="C588" t="s">
        <v>12</v>
      </c>
      <c r="D588">
        <v>45</v>
      </c>
      <c r="E588" t="s">
        <v>32</v>
      </c>
      <c r="F588" t="s">
        <v>18</v>
      </c>
      <c r="G588">
        <v>30</v>
      </c>
      <c r="H588">
        <v>3</v>
      </c>
      <c r="I588">
        <v>90</v>
      </c>
      <c r="J588" s="2">
        <v>44975</v>
      </c>
      <c r="K588" t="s">
        <v>373</v>
      </c>
    </row>
    <row r="589" spans="1:11" x14ac:dyDescent="0.3">
      <c r="A589" t="s">
        <v>40</v>
      </c>
      <c r="B589" t="s">
        <v>11</v>
      </c>
      <c r="C589" t="s">
        <v>12</v>
      </c>
      <c r="D589">
        <v>57</v>
      </c>
      <c r="E589" t="s">
        <v>32</v>
      </c>
      <c r="F589" t="s">
        <v>18</v>
      </c>
      <c r="G589">
        <v>30</v>
      </c>
      <c r="H589">
        <v>5</v>
      </c>
      <c r="I589">
        <v>150</v>
      </c>
      <c r="J589" s="2">
        <v>44933</v>
      </c>
      <c r="K589" t="s">
        <v>373</v>
      </c>
    </row>
    <row r="590" spans="1:11" x14ac:dyDescent="0.3">
      <c r="A590" t="s">
        <v>280</v>
      </c>
      <c r="B590" t="s">
        <v>11</v>
      </c>
      <c r="C590" t="s">
        <v>16</v>
      </c>
      <c r="D590">
        <v>50</v>
      </c>
      <c r="E590" t="s">
        <v>17</v>
      </c>
      <c r="F590" t="s">
        <v>18</v>
      </c>
      <c r="G590">
        <v>100</v>
      </c>
      <c r="H590">
        <v>2</v>
      </c>
      <c r="I590">
        <v>200</v>
      </c>
      <c r="J590" s="2">
        <v>45207</v>
      </c>
      <c r="K590" t="s">
        <v>373</v>
      </c>
    </row>
    <row r="591" spans="1:11" x14ac:dyDescent="0.3">
      <c r="A591" t="s">
        <v>175</v>
      </c>
      <c r="B591" t="s">
        <v>11</v>
      </c>
      <c r="C591" t="s">
        <v>16</v>
      </c>
      <c r="D591">
        <v>60</v>
      </c>
      <c r="E591" t="s">
        <v>31</v>
      </c>
      <c r="F591" t="s">
        <v>18</v>
      </c>
      <c r="G591">
        <v>50</v>
      </c>
      <c r="H591">
        <v>5</v>
      </c>
      <c r="I591">
        <v>250</v>
      </c>
      <c r="J591" s="2">
        <v>45279</v>
      </c>
      <c r="K591" t="s">
        <v>370</v>
      </c>
    </row>
    <row r="592" spans="1:11" x14ac:dyDescent="0.3">
      <c r="A592" t="s">
        <v>281</v>
      </c>
      <c r="B592" t="s">
        <v>20</v>
      </c>
      <c r="C592" t="s">
        <v>29</v>
      </c>
      <c r="D592">
        <v>38</v>
      </c>
      <c r="E592" t="s">
        <v>31</v>
      </c>
      <c r="F592" t="s">
        <v>18</v>
      </c>
      <c r="G592">
        <v>50</v>
      </c>
      <c r="H592">
        <v>3</v>
      </c>
      <c r="I592">
        <v>150</v>
      </c>
      <c r="J592" s="2">
        <v>45026</v>
      </c>
      <c r="K592" t="s">
        <v>375</v>
      </c>
    </row>
    <row r="593" spans="1:11" x14ac:dyDescent="0.3">
      <c r="A593" t="s">
        <v>244</v>
      </c>
      <c r="B593" t="s">
        <v>11</v>
      </c>
      <c r="C593" t="s">
        <v>29</v>
      </c>
      <c r="D593">
        <v>68</v>
      </c>
      <c r="E593" t="s">
        <v>24</v>
      </c>
      <c r="F593" t="s">
        <v>14</v>
      </c>
      <c r="G593">
        <v>1500</v>
      </c>
      <c r="H593">
        <v>3</v>
      </c>
      <c r="I593">
        <v>4500</v>
      </c>
      <c r="J593" s="2">
        <v>45078</v>
      </c>
      <c r="K593" t="s">
        <v>370</v>
      </c>
    </row>
    <row r="594" spans="1:11" x14ac:dyDescent="0.3">
      <c r="A594" t="s">
        <v>282</v>
      </c>
      <c r="B594" t="s">
        <v>11</v>
      </c>
      <c r="C594" t="s">
        <v>16</v>
      </c>
      <c r="D594">
        <v>26</v>
      </c>
      <c r="E594" t="s">
        <v>26</v>
      </c>
      <c r="F594" t="s">
        <v>27</v>
      </c>
      <c r="G594">
        <v>200</v>
      </c>
      <c r="H594">
        <v>5</v>
      </c>
      <c r="I594">
        <v>1000</v>
      </c>
      <c r="J594" s="2">
        <v>45110</v>
      </c>
      <c r="K594" t="s">
        <v>375</v>
      </c>
    </row>
    <row r="595" spans="1:11" x14ac:dyDescent="0.3">
      <c r="A595" t="s">
        <v>251</v>
      </c>
      <c r="B595" t="s">
        <v>20</v>
      </c>
      <c r="C595" t="s">
        <v>12</v>
      </c>
      <c r="D595">
        <v>64</v>
      </c>
      <c r="E595" t="s">
        <v>13</v>
      </c>
      <c r="F595" t="s">
        <v>14</v>
      </c>
      <c r="G595">
        <v>300</v>
      </c>
      <c r="H595">
        <v>3</v>
      </c>
      <c r="I595">
        <v>900</v>
      </c>
      <c r="J595" s="2">
        <v>45214</v>
      </c>
      <c r="K595" t="s">
        <v>381</v>
      </c>
    </row>
    <row r="596" spans="1:11" x14ac:dyDescent="0.3">
      <c r="A596" t="s">
        <v>251</v>
      </c>
      <c r="B596" t="s">
        <v>20</v>
      </c>
      <c r="C596" t="s">
        <v>29</v>
      </c>
      <c r="D596">
        <v>64</v>
      </c>
      <c r="E596" t="s">
        <v>17</v>
      </c>
      <c r="F596" t="s">
        <v>18</v>
      </c>
      <c r="G596">
        <v>100</v>
      </c>
      <c r="H596">
        <v>4</v>
      </c>
      <c r="I596">
        <v>400</v>
      </c>
      <c r="J596" s="2">
        <v>45087</v>
      </c>
      <c r="K596" t="s">
        <v>381</v>
      </c>
    </row>
    <row r="597" spans="1:11" x14ac:dyDescent="0.3">
      <c r="A597" t="s">
        <v>147</v>
      </c>
      <c r="B597" t="s">
        <v>20</v>
      </c>
      <c r="C597" t="s">
        <v>29</v>
      </c>
      <c r="D597">
        <v>30</v>
      </c>
      <c r="E597" t="s">
        <v>13</v>
      </c>
      <c r="F597" t="s">
        <v>14</v>
      </c>
      <c r="G597">
        <v>300</v>
      </c>
      <c r="H597">
        <v>4</v>
      </c>
      <c r="I597">
        <v>1200</v>
      </c>
      <c r="J597" s="2">
        <v>45172</v>
      </c>
      <c r="K597" t="s">
        <v>375</v>
      </c>
    </row>
    <row r="598" spans="1:11" x14ac:dyDescent="0.3">
      <c r="A598" t="s">
        <v>234</v>
      </c>
      <c r="B598" t="s">
        <v>11</v>
      </c>
      <c r="C598" t="s">
        <v>29</v>
      </c>
      <c r="D598">
        <v>25</v>
      </c>
      <c r="E598" t="s">
        <v>24</v>
      </c>
      <c r="F598" t="s">
        <v>14</v>
      </c>
      <c r="G598">
        <v>1500</v>
      </c>
      <c r="H598">
        <v>5</v>
      </c>
      <c r="I598">
        <v>7500</v>
      </c>
      <c r="J598" s="2">
        <v>44989</v>
      </c>
      <c r="K598" t="s">
        <v>381</v>
      </c>
    </row>
    <row r="599" spans="1:11" x14ac:dyDescent="0.3">
      <c r="A599" t="s">
        <v>81</v>
      </c>
      <c r="B599" t="s">
        <v>20</v>
      </c>
      <c r="C599" t="s">
        <v>29</v>
      </c>
      <c r="D599">
        <v>52</v>
      </c>
      <c r="E599" t="s">
        <v>17</v>
      </c>
      <c r="F599" t="s">
        <v>18</v>
      </c>
      <c r="G599">
        <v>100</v>
      </c>
      <c r="H599">
        <v>2</v>
      </c>
      <c r="I599">
        <v>200</v>
      </c>
      <c r="J599" s="2">
        <v>44950</v>
      </c>
      <c r="K599" t="s">
        <v>381</v>
      </c>
    </row>
    <row r="600" spans="1:11" x14ac:dyDescent="0.3">
      <c r="A600" t="s">
        <v>283</v>
      </c>
      <c r="B600" t="s">
        <v>11</v>
      </c>
      <c r="C600" t="s">
        <v>12</v>
      </c>
      <c r="D600">
        <v>43</v>
      </c>
      <c r="E600" t="s">
        <v>32</v>
      </c>
      <c r="F600" t="s">
        <v>18</v>
      </c>
      <c r="G600">
        <v>30</v>
      </c>
      <c r="H600">
        <v>4</v>
      </c>
      <c r="I600">
        <v>120</v>
      </c>
      <c r="J600" s="2">
        <v>45193</v>
      </c>
      <c r="K600" t="s">
        <v>381</v>
      </c>
    </row>
    <row r="601" spans="1:11" x14ac:dyDescent="0.3">
      <c r="A601" t="s">
        <v>284</v>
      </c>
      <c r="B601" t="s">
        <v>20</v>
      </c>
      <c r="C601" t="s">
        <v>21</v>
      </c>
      <c r="D601">
        <v>46</v>
      </c>
      <c r="E601" t="s">
        <v>17</v>
      </c>
      <c r="F601" t="s">
        <v>18</v>
      </c>
      <c r="G601">
        <v>100</v>
      </c>
      <c r="H601">
        <v>2</v>
      </c>
      <c r="I601">
        <v>200</v>
      </c>
      <c r="J601" s="2">
        <v>45097</v>
      </c>
      <c r="K601" t="s">
        <v>370</v>
      </c>
    </row>
    <row r="602" spans="1:11" x14ac:dyDescent="0.3">
      <c r="A602" t="s">
        <v>256</v>
      </c>
      <c r="B602" t="s">
        <v>11</v>
      </c>
      <c r="C602" t="s">
        <v>29</v>
      </c>
      <c r="D602">
        <v>69</v>
      </c>
      <c r="E602" t="s">
        <v>24</v>
      </c>
      <c r="F602" t="s">
        <v>14</v>
      </c>
      <c r="G602">
        <v>1500</v>
      </c>
      <c r="H602">
        <v>4</v>
      </c>
      <c r="I602">
        <v>6000</v>
      </c>
      <c r="J602" s="2">
        <v>45245</v>
      </c>
      <c r="K602" t="s">
        <v>370</v>
      </c>
    </row>
    <row r="603" spans="1:11" x14ac:dyDescent="0.3">
      <c r="A603" t="s">
        <v>175</v>
      </c>
      <c r="B603" t="s">
        <v>20</v>
      </c>
      <c r="C603" t="s">
        <v>29</v>
      </c>
      <c r="E603" t="s">
        <v>24</v>
      </c>
      <c r="F603" t="s">
        <v>14</v>
      </c>
      <c r="G603">
        <v>1500</v>
      </c>
      <c r="H603">
        <v>5</v>
      </c>
      <c r="I603">
        <v>7500</v>
      </c>
      <c r="J603" s="2">
        <v>45044</v>
      </c>
      <c r="K603" t="s">
        <v>373</v>
      </c>
    </row>
    <row r="604" spans="1:11" x14ac:dyDescent="0.3">
      <c r="A604" t="s">
        <v>255</v>
      </c>
      <c r="B604" t="s">
        <v>20</v>
      </c>
      <c r="C604" t="s">
        <v>29</v>
      </c>
      <c r="D604">
        <v>56</v>
      </c>
      <c r="E604" t="s">
        <v>13</v>
      </c>
      <c r="F604" t="s">
        <v>14</v>
      </c>
      <c r="G604">
        <v>300</v>
      </c>
      <c r="H604">
        <v>3</v>
      </c>
      <c r="I604">
        <v>900</v>
      </c>
      <c r="J604" s="2">
        <v>45068</v>
      </c>
      <c r="K604" t="s">
        <v>375</v>
      </c>
    </row>
    <row r="605" spans="1:11" x14ac:dyDescent="0.3">
      <c r="A605" t="s">
        <v>183</v>
      </c>
      <c r="B605" t="s">
        <v>11</v>
      </c>
      <c r="C605" t="s">
        <v>16</v>
      </c>
      <c r="D605">
        <v>29</v>
      </c>
      <c r="E605" t="s">
        <v>31</v>
      </c>
      <c r="F605" t="s">
        <v>18</v>
      </c>
      <c r="G605">
        <v>50</v>
      </c>
      <c r="H605">
        <v>3</v>
      </c>
      <c r="I605">
        <v>150</v>
      </c>
      <c r="J605" s="2">
        <v>45018</v>
      </c>
      <c r="K605" t="s">
        <v>381</v>
      </c>
    </row>
    <row r="606" spans="1:11" x14ac:dyDescent="0.3">
      <c r="A606" t="s">
        <v>210</v>
      </c>
      <c r="B606" t="s">
        <v>20</v>
      </c>
      <c r="C606" t="s">
        <v>16</v>
      </c>
      <c r="E606" t="s">
        <v>32</v>
      </c>
      <c r="F606" t="s">
        <v>18</v>
      </c>
      <c r="G606">
        <v>30</v>
      </c>
      <c r="H606">
        <v>2</v>
      </c>
      <c r="I606">
        <v>60</v>
      </c>
      <c r="J606" s="2">
        <v>45245</v>
      </c>
      <c r="K606" t="s">
        <v>375</v>
      </c>
    </row>
    <row r="607" spans="1:11" x14ac:dyDescent="0.3">
      <c r="A607" t="s">
        <v>187</v>
      </c>
      <c r="B607" t="s">
        <v>11</v>
      </c>
      <c r="C607" t="s">
        <v>12</v>
      </c>
      <c r="E607" t="s">
        <v>24</v>
      </c>
      <c r="F607" t="s">
        <v>14</v>
      </c>
      <c r="G607">
        <v>1500</v>
      </c>
      <c r="H607">
        <v>2</v>
      </c>
      <c r="I607">
        <v>3000</v>
      </c>
      <c r="J607" s="2">
        <v>45204</v>
      </c>
      <c r="K607" t="s">
        <v>373</v>
      </c>
    </row>
    <row r="608" spans="1:11" x14ac:dyDescent="0.3">
      <c r="A608" t="s">
        <v>248</v>
      </c>
      <c r="B608" t="s">
        <v>20</v>
      </c>
      <c r="C608" t="s">
        <v>12</v>
      </c>
      <c r="D608">
        <v>54</v>
      </c>
      <c r="E608" t="s">
        <v>42</v>
      </c>
      <c r="F608" t="s">
        <v>14</v>
      </c>
      <c r="G608">
        <v>800</v>
      </c>
      <c r="H608">
        <v>5</v>
      </c>
      <c r="I608">
        <v>4000</v>
      </c>
      <c r="J608" s="2">
        <v>45160</v>
      </c>
      <c r="K608" t="s">
        <v>373</v>
      </c>
    </row>
    <row r="609" spans="1:11" x14ac:dyDescent="0.3">
      <c r="A609" t="s">
        <v>50</v>
      </c>
      <c r="B609" t="s">
        <v>11</v>
      </c>
      <c r="C609" t="s">
        <v>16</v>
      </c>
      <c r="D609">
        <v>59</v>
      </c>
      <c r="E609" t="s">
        <v>31</v>
      </c>
      <c r="F609" t="s">
        <v>18</v>
      </c>
      <c r="G609">
        <v>50</v>
      </c>
      <c r="H609">
        <v>2</v>
      </c>
      <c r="I609">
        <v>100</v>
      </c>
      <c r="J609" s="2">
        <v>45123</v>
      </c>
      <c r="K609" t="s">
        <v>381</v>
      </c>
    </row>
    <row r="610" spans="1:11" x14ac:dyDescent="0.3">
      <c r="A610" t="s">
        <v>166</v>
      </c>
      <c r="B610" t="s">
        <v>11</v>
      </c>
      <c r="C610" t="s">
        <v>29</v>
      </c>
      <c r="D610">
        <v>57</v>
      </c>
      <c r="E610" t="s">
        <v>26</v>
      </c>
      <c r="F610" t="s">
        <v>27</v>
      </c>
      <c r="G610">
        <v>200</v>
      </c>
      <c r="H610">
        <v>5</v>
      </c>
      <c r="I610">
        <v>1000</v>
      </c>
      <c r="J610" s="2">
        <v>44953</v>
      </c>
      <c r="K610" t="s">
        <v>373</v>
      </c>
    </row>
    <row r="611" spans="1:11" x14ac:dyDescent="0.3">
      <c r="A611" t="s">
        <v>147</v>
      </c>
      <c r="B611" t="s">
        <v>11</v>
      </c>
      <c r="C611" t="s">
        <v>16</v>
      </c>
      <c r="D611">
        <v>30</v>
      </c>
      <c r="E611" t="s">
        <v>17</v>
      </c>
      <c r="F611" t="s">
        <v>18</v>
      </c>
      <c r="G611">
        <v>100</v>
      </c>
      <c r="H611">
        <v>1</v>
      </c>
      <c r="I611">
        <v>100</v>
      </c>
      <c r="J611" s="2">
        <v>45175</v>
      </c>
      <c r="K611" t="s">
        <v>381</v>
      </c>
    </row>
    <row r="612" spans="1:11" x14ac:dyDescent="0.3">
      <c r="A612" t="s">
        <v>150</v>
      </c>
      <c r="B612" t="s">
        <v>11</v>
      </c>
      <c r="C612" t="s">
        <v>29</v>
      </c>
      <c r="D612">
        <v>56</v>
      </c>
      <c r="E612" t="s">
        <v>42</v>
      </c>
      <c r="F612" t="s">
        <v>14</v>
      </c>
      <c r="G612">
        <v>800</v>
      </c>
      <c r="H612">
        <v>5</v>
      </c>
      <c r="I612">
        <v>4000</v>
      </c>
      <c r="J612" s="2">
        <v>45052</v>
      </c>
      <c r="K612" t="s">
        <v>373</v>
      </c>
    </row>
    <row r="613" spans="1:11" x14ac:dyDescent="0.3">
      <c r="A613" t="s">
        <v>285</v>
      </c>
      <c r="B613" t="s">
        <v>11</v>
      </c>
      <c r="C613" t="s">
        <v>29</v>
      </c>
      <c r="D613">
        <v>21</v>
      </c>
      <c r="E613" t="s">
        <v>17</v>
      </c>
      <c r="F613" t="s">
        <v>18</v>
      </c>
      <c r="G613">
        <v>100</v>
      </c>
      <c r="H613">
        <v>5</v>
      </c>
      <c r="I613">
        <v>500</v>
      </c>
      <c r="J613" s="2">
        <v>44940</v>
      </c>
      <c r="K613" t="s">
        <v>373</v>
      </c>
    </row>
    <row r="614" spans="1:11" x14ac:dyDescent="0.3">
      <c r="A614" t="s">
        <v>174</v>
      </c>
      <c r="B614" t="s">
        <v>20</v>
      </c>
      <c r="D614">
        <v>57</v>
      </c>
      <c r="E614" t="s">
        <v>24</v>
      </c>
      <c r="F614" t="s">
        <v>14</v>
      </c>
      <c r="G614">
        <v>1500</v>
      </c>
      <c r="H614">
        <v>4</v>
      </c>
      <c r="I614">
        <v>6000</v>
      </c>
      <c r="J614" s="2">
        <v>45044</v>
      </c>
      <c r="K614" t="s">
        <v>381</v>
      </c>
    </row>
    <row r="615" spans="1:11" x14ac:dyDescent="0.3">
      <c r="A615" t="s">
        <v>286</v>
      </c>
      <c r="B615" t="s">
        <v>20</v>
      </c>
      <c r="C615" t="s">
        <v>12</v>
      </c>
      <c r="D615">
        <v>45</v>
      </c>
      <c r="E615" t="s">
        <v>13</v>
      </c>
      <c r="F615" t="s">
        <v>14</v>
      </c>
      <c r="G615">
        <v>300</v>
      </c>
      <c r="H615">
        <v>4</v>
      </c>
      <c r="I615">
        <v>1200</v>
      </c>
      <c r="J615" s="2">
        <v>44928</v>
      </c>
      <c r="K615" t="s">
        <v>373</v>
      </c>
    </row>
    <row r="616" spans="1:11" x14ac:dyDescent="0.3">
      <c r="A616" t="s">
        <v>91</v>
      </c>
      <c r="B616" t="s">
        <v>11</v>
      </c>
      <c r="C616" t="s">
        <v>12</v>
      </c>
      <c r="E616" t="s">
        <v>32</v>
      </c>
      <c r="F616" t="s">
        <v>18</v>
      </c>
      <c r="G616">
        <v>30</v>
      </c>
      <c r="H616">
        <v>3</v>
      </c>
      <c r="I616">
        <v>90</v>
      </c>
      <c r="J616" s="2">
        <v>45239</v>
      </c>
      <c r="K616" t="s">
        <v>373</v>
      </c>
    </row>
    <row r="617" spans="1:11" x14ac:dyDescent="0.3">
      <c r="A617" t="s">
        <v>287</v>
      </c>
      <c r="B617" t="s">
        <v>20</v>
      </c>
      <c r="C617" t="s">
        <v>29</v>
      </c>
      <c r="D617">
        <v>44</v>
      </c>
      <c r="E617" t="s">
        <v>42</v>
      </c>
      <c r="F617" t="s">
        <v>14</v>
      </c>
      <c r="G617">
        <v>800</v>
      </c>
      <c r="H617">
        <v>5</v>
      </c>
      <c r="I617">
        <v>4000</v>
      </c>
      <c r="J617" s="2">
        <v>45110</v>
      </c>
      <c r="K617" t="s">
        <v>373</v>
      </c>
    </row>
    <row r="618" spans="1:11" x14ac:dyDescent="0.3">
      <c r="A618" t="s">
        <v>274</v>
      </c>
      <c r="B618" t="s">
        <v>11</v>
      </c>
      <c r="C618" t="s">
        <v>12</v>
      </c>
      <c r="D618">
        <v>51</v>
      </c>
      <c r="E618" t="s">
        <v>17</v>
      </c>
      <c r="F618" t="s">
        <v>18</v>
      </c>
      <c r="G618">
        <v>100</v>
      </c>
      <c r="H618">
        <v>4</v>
      </c>
      <c r="I618">
        <v>400</v>
      </c>
      <c r="J618" s="2">
        <v>44940</v>
      </c>
      <c r="K618" t="s">
        <v>375</v>
      </c>
    </row>
    <row r="619" spans="1:11" x14ac:dyDescent="0.3">
      <c r="A619" t="s">
        <v>147</v>
      </c>
      <c r="B619" t="s">
        <v>11</v>
      </c>
      <c r="D619">
        <v>30</v>
      </c>
      <c r="E619" t="s">
        <v>42</v>
      </c>
      <c r="F619" t="s">
        <v>14</v>
      </c>
      <c r="G619">
        <v>800</v>
      </c>
      <c r="H619">
        <v>1</v>
      </c>
      <c r="I619">
        <v>800</v>
      </c>
      <c r="J619" s="2">
        <v>44980</v>
      </c>
      <c r="K619" t="s">
        <v>370</v>
      </c>
    </row>
    <row r="620" spans="1:11" x14ac:dyDescent="0.3">
      <c r="A620" t="s">
        <v>36</v>
      </c>
      <c r="B620" t="s">
        <v>11</v>
      </c>
      <c r="C620" t="s">
        <v>12</v>
      </c>
      <c r="D620">
        <v>41</v>
      </c>
      <c r="E620" t="s">
        <v>13</v>
      </c>
      <c r="F620" t="s">
        <v>14</v>
      </c>
      <c r="G620">
        <v>300</v>
      </c>
      <c r="H620">
        <v>1</v>
      </c>
      <c r="I620">
        <v>300</v>
      </c>
      <c r="J620" s="2">
        <v>45088</v>
      </c>
      <c r="K620" t="s">
        <v>375</v>
      </c>
    </row>
    <row r="621" spans="1:11" x14ac:dyDescent="0.3">
      <c r="A621" t="s">
        <v>288</v>
      </c>
      <c r="B621" t="s">
        <v>20</v>
      </c>
      <c r="C621" t="s">
        <v>16</v>
      </c>
      <c r="D621">
        <v>19</v>
      </c>
      <c r="E621" t="s">
        <v>13</v>
      </c>
      <c r="F621" t="s">
        <v>14</v>
      </c>
      <c r="G621">
        <v>300</v>
      </c>
      <c r="H621">
        <v>3</v>
      </c>
      <c r="I621">
        <v>900</v>
      </c>
      <c r="J621" s="2">
        <v>45062</v>
      </c>
      <c r="K621" t="s">
        <v>373</v>
      </c>
    </row>
    <row r="622" spans="1:11" x14ac:dyDescent="0.3">
      <c r="A622" t="s">
        <v>56</v>
      </c>
      <c r="B622" t="s">
        <v>11</v>
      </c>
      <c r="C622" t="s">
        <v>21</v>
      </c>
      <c r="D622">
        <v>53</v>
      </c>
      <c r="E622" t="s">
        <v>42</v>
      </c>
      <c r="F622" t="s">
        <v>14</v>
      </c>
      <c r="G622">
        <v>800</v>
      </c>
      <c r="H622">
        <v>1</v>
      </c>
      <c r="I622">
        <v>800</v>
      </c>
      <c r="J622" s="2">
        <v>45001</v>
      </c>
      <c r="K622" t="s">
        <v>370</v>
      </c>
    </row>
    <row r="623" spans="1:11" x14ac:dyDescent="0.3">
      <c r="A623" t="s">
        <v>64</v>
      </c>
      <c r="B623" t="s">
        <v>11</v>
      </c>
      <c r="C623" t="s">
        <v>16</v>
      </c>
      <c r="D623">
        <v>58</v>
      </c>
      <c r="E623" t="s">
        <v>42</v>
      </c>
      <c r="F623" t="s">
        <v>14</v>
      </c>
      <c r="G623">
        <v>800</v>
      </c>
      <c r="H623">
        <v>5</v>
      </c>
      <c r="I623">
        <v>4000</v>
      </c>
      <c r="J623" s="2">
        <v>44929</v>
      </c>
      <c r="K623" t="s">
        <v>375</v>
      </c>
    </row>
    <row r="624" spans="1:11" x14ac:dyDescent="0.3">
      <c r="A624" t="s">
        <v>242</v>
      </c>
      <c r="B624" t="s">
        <v>20</v>
      </c>
      <c r="D624">
        <v>27</v>
      </c>
      <c r="E624" t="s">
        <v>31</v>
      </c>
      <c r="F624" t="s">
        <v>18</v>
      </c>
      <c r="G624">
        <v>50</v>
      </c>
      <c r="H624">
        <v>2</v>
      </c>
      <c r="I624">
        <v>100</v>
      </c>
      <c r="J624" s="2">
        <v>45079</v>
      </c>
      <c r="K624" t="s">
        <v>375</v>
      </c>
    </row>
    <row r="625" spans="1:11" x14ac:dyDescent="0.3">
      <c r="A625" t="s">
        <v>223</v>
      </c>
      <c r="B625" t="s">
        <v>11</v>
      </c>
      <c r="C625" t="s">
        <v>21</v>
      </c>
      <c r="D625">
        <v>37</v>
      </c>
      <c r="E625" t="s">
        <v>26</v>
      </c>
      <c r="F625" t="s">
        <v>27</v>
      </c>
      <c r="G625">
        <v>200</v>
      </c>
      <c r="H625">
        <v>2</v>
      </c>
      <c r="I625">
        <v>400</v>
      </c>
      <c r="J625" s="2">
        <v>45083</v>
      </c>
      <c r="K625" t="s">
        <v>375</v>
      </c>
    </row>
    <row r="626" spans="1:11" x14ac:dyDescent="0.3">
      <c r="A626" t="s">
        <v>43</v>
      </c>
      <c r="B626" t="s">
        <v>20</v>
      </c>
      <c r="C626" t="s">
        <v>29</v>
      </c>
      <c r="D626">
        <v>32</v>
      </c>
      <c r="E626" t="s">
        <v>24</v>
      </c>
      <c r="F626" t="s">
        <v>14</v>
      </c>
      <c r="G626">
        <v>1500</v>
      </c>
      <c r="H626">
        <v>5</v>
      </c>
      <c r="I626">
        <v>7500</v>
      </c>
      <c r="J626" s="2">
        <v>45227</v>
      </c>
      <c r="K626" t="s">
        <v>381</v>
      </c>
    </row>
    <row r="627" spans="1:11" x14ac:dyDescent="0.3">
      <c r="A627" t="s">
        <v>273</v>
      </c>
      <c r="B627" t="s">
        <v>11</v>
      </c>
      <c r="C627" t="s">
        <v>16</v>
      </c>
      <c r="D627">
        <v>65</v>
      </c>
      <c r="E627" t="s">
        <v>13</v>
      </c>
      <c r="F627" t="s">
        <v>14</v>
      </c>
      <c r="G627">
        <v>300</v>
      </c>
      <c r="H627">
        <v>4</v>
      </c>
      <c r="I627">
        <v>1200</v>
      </c>
      <c r="J627" s="2">
        <v>44957</v>
      </c>
      <c r="K627" t="s">
        <v>373</v>
      </c>
    </row>
    <row r="628" spans="1:11" x14ac:dyDescent="0.3">
      <c r="A628" t="s">
        <v>137</v>
      </c>
      <c r="B628" t="s">
        <v>11</v>
      </c>
      <c r="C628" t="s">
        <v>12</v>
      </c>
      <c r="D628">
        <v>54</v>
      </c>
      <c r="E628" t="s">
        <v>24</v>
      </c>
      <c r="F628" t="s">
        <v>14</v>
      </c>
      <c r="G628">
        <v>1500</v>
      </c>
      <c r="H628">
        <v>4</v>
      </c>
      <c r="I628">
        <v>6000</v>
      </c>
      <c r="J628" s="2">
        <v>45044</v>
      </c>
      <c r="K628" t="s">
        <v>373</v>
      </c>
    </row>
    <row r="629" spans="1:11" x14ac:dyDescent="0.3">
      <c r="A629" t="s">
        <v>289</v>
      </c>
      <c r="B629" t="s">
        <v>20</v>
      </c>
      <c r="C629" t="s">
        <v>16</v>
      </c>
      <c r="D629">
        <v>20</v>
      </c>
      <c r="E629" t="s">
        <v>32</v>
      </c>
      <c r="F629" t="s">
        <v>18</v>
      </c>
      <c r="G629">
        <v>30</v>
      </c>
      <c r="H629">
        <v>4</v>
      </c>
      <c r="I629">
        <v>120</v>
      </c>
      <c r="J629" s="2">
        <v>45129</v>
      </c>
      <c r="K629" t="s">
        <v>370</v>
      </c>
    </row>
    <row r="630" spans="1:11" x14ac:dyDescent="0.3">
      <c r="A630" t="s">
        <v>202</v>
      </c>
      <c r="B630" t="s">
        <v>11</v>
      </c>
      <c r="D630">
        <v>44</v>
      </c>
      <c r="E630" t="s">
        <v>31</v>
      </c>
      <c r="F630" t="s">
        <v>18</v>
      </c>
      <c r="G630">
        <v>50</v>
      </c>
      <c r="H630">
        <v>1</v>
      </c>
      <c r="I630">
        <v>50</v>
      </c>
      <c r="J630" s="2">
        <v>45089</v>
      </c>
      <c r="K630" t="s">
        <v>375</v>
      </c>
    </row>
    <row r="631" spans="1:11" x14ac:dyDescent="0.3">
      <c r="A631" t="s">
        <v>213</v>
      </c>
      <c r="B631" t="s">
        <v>11</v>
      </c>
      <c r="C631" t="s">
        <v>21</v>
      </c>
      <c r="D631">
        <v>66</v>
      </c>
      <c r="E631" t="s">
        <v>24</v>
      </c>
      <c r="F631" t="s">
        <v>14</v>
      </c>
      <c r="G631">
        <v>1500</v>
      </c>
      <c r="H631">
        <v>4</v>
      </c>
      <c r="I631">
        <v>6000</v>
      </c>
      <c r="J631" s="2">
        <v>45005</v>
      </c>
      <c r="K631" t="s">
        <v>373</v>
      </c>
    </row>
    <row r="632" spans="1:11" x14ac:dyDescent="0.3">
      <c r="A632" t="s">
        <v>212</v>
      </c>
      <c r="B632" t="s">
        <v>20</v>
      </c>
      <c r="D632">
        <v>54</v>
      </c>
      <c r="E632" t="s">
        <v>24</v>
      </c>
      <c r="F632" t="s">
        <v>14</v>
      </c>
      <c r="G632">
        <v>1500</v>
      </c>
      <c r="H632">
        <v>4</v>
      </c>
      <c r="I632">
        <v>6000</v>
      </c>
      <c r="J632" s="2">
        <v>45030</v>
      </c>
      <c r="K632" t="s">
        <v>375</v>
      </c>
    </row>
    <row r="633" spans="1:11" x14ac:dyDescent="0.3">
      <c r="A633" t="s">
        <v>148</v>
      </c>
      <c r="B633" t="s">
        <v>11</v>
      </c>
      <c r="C633" t="s">
        <v>12</v>
      </c>
      <c r="D633">
        <v>68</v>
      </c>
      <c r="E633" t="s">
        <v>32</v>
      </c>
      <c r="F633" t="s">
        <v>18</v>
      </c>
      <c r="G633">
        <v>30</v>
      </c>
      <c r="H633">
        <v>2</v>
      </c>
      <c r="I633">
        <v>60</v>
      </c>
      <c r="J633" s="2">
        <v>45050</v>
      </c>
      <c r="K633" t="s">
        <v>373</v>
      </c>
    </row>
    <row r="634" spans="1:11" x14ac:dyDescent="0.3">
      <c r="A634" t="s">
        <v>102</v>
      </c>
      <c r="B634" t="s">
        <v>20</v>
      </c>
      <c r="C634" t="s">
        <v>21</v>
      </c>
      <c r="D634">
        <v>48</v>
      </c>
      <c r="E634" t="s">
        <v>31</v>
      </c>
      <c r="F634" t="s">
        <v>18</v>
      </c>
      <c r="G634">
        <v>50</v>
      </c>
      <c r="H634">
        <v>5</v>
      </c>
      <c r="I634">
        <v>250</v>
      </c>
      <c r="J634" s="2">
        <v>45197</v>
      </c>
      <c r="K634" t="s">
        <v>375</v>
      </c>
    </row>
    <row r="635" spans="1:11" x14ac:dyDescent="0.3">
      <c r="A635" t="s">
        <v>241</v>
      </c>
      <c r="B635" t="s">
        <v>11</v>
      </c>
      <c r="C635" t="s">
        <v>21</v>
      </c>
      <c r="D635">
        <v>56</v>
      </c>
      <c r="E635" t="s">
        <v>13</v>
      </c>
      <c r="F635" t="s">
        <v>14</v>
      </c>
      <c r="G635">
        <v>300</v>
      </c>
      <c r="H635">
        <v>2</v>
      </c>
      <c r="I635">
        <v>600</v>
      </c>
      <c r="J635" s="2">
        <v>45139</v>
      </c>
      <c r="K635" t="s">
        <v>373</v>
      </c>
    </row>
    <row r="636" spans="1:11" x14ac:dyDescent="0.3">
      <c r="A636" t="s">
        <v>40</v>
      </c>
      <c r="B636" t="s">
        <v>11</v>
      </c>
      <c r="C636" t="s">
        <v>12</v>
      </c>
      <c r="D636">
        <v>57</v>
      </c>
      <c r="E636" t="s">
        <v>13</v>
      </c>
      <c r="F636" t="s">
        <v>14</v>
      </c>
      <c r="G636">
        <v>300</v>
      </c>
      <c r="H636">
        <v>1</v>
      </c>
      <c r="I636">
        <v>300</v>
      </c>
      <c r="J636" s="2">
        <v>45195</v>
      </c>
      <c r="K636" t="s">
        <v>370</v>
      </c>
    </row>
    <row r="637" spans="1:11" x14ac:dyDescent="0.3">
      <c r="A637" t="s">
        <v>264</v>
      </c>
      <c r="B637" t="s">
        <v>11</v>
      </c>
      <c r="C637" t="s">
        <v>16</v>
      </c>
      <c r="D637">
        <v>40</v>
      </c>
      <c r="E637" t="s">
        <v>32</v>
      </c>
      <c r="F637" t="s">
        <v>18</v>
      </c>
      <c r="G637">
        <v>30</v>
      </c>
      <c r="H637">
        <v>5</v>
      </c>
      <c r="I637">
        <v>150</v>
      </c>
      <c r="J637" s="2">
        <v>45244</v>
      </c>
      <c r="K637" t="s">
        <v>375</v>
      </c>
    </row>
    <row r="638" spans="1:11" x14ac:dyDescent="0.3">
      <c r="A638" t="s">
        <v>224</v>
      </c>
      <c r="B638" t="s">
        <v>11</v>
      </c>
      <c r="C638" t="s">
        <v>12</v>
      </c>
      <c r="D638">
        <v>67</v>
      </c>
      <c r="E638" t="s">
        <v>24</v>
      </c>
      <c r="F638" t="s">
        <v>14</v>
      </c>
      <c r="G638">
        <v>1500</v>
      </c>
      <c r="H638">
        <v>4</v>
      </c>
      <c r="I638">
        <v>6000</v>
      </c>
      <c r="J638" s="2">
        <v>45231</v>
      </c>
      <c r="K638" t="s">
        <v>373</v>
      </c>
    </row>
    <row r="639" spans="1:11" x14ac:dyDescent="0.3">
      <c r="A639" t="s">
        <v>134</v>
      </c>
      <c r="B639" t="s">
        <v>20</v>
      </c>
      <c r="C639" t="s">
        <v>21</v>
      </c>
      <c r="D639">
        <v>33</v>
      </c>
      <c r="E639" t="s">
        <v>17</v>
      </c>
      <c r="F639" t="s">
        <v>18</v>
      </c>
      <c r="G639">
        <v>100</v>
      </c>
      <c r="H639">
        <v>5</v>
      </c>
      <c r="I639">
        <v>500</v>
      </c>
      <c r="J639" s="2">
        <v>45107</v>
      </c>
      <c r="K639" t="s">
        <v>370</v>
      </c>
    </row>
    <row r="640" spans="1:11" x14ac:dyDescent="0.3">
      <c r="A640" t="s">
        <v>290</v>
      </c>
      <c r="B640" t="s">
        <v>20</v>
      </c>
      <c r="C640" t="s">
        <v>16</v>
      </c>
      <c r="D640">
        <v>66</v>
      </c>
      <c r="E640" t="s">
        <v>24</v>
      </c>
      <c r="F640" t="s">
        <v>14</v>
      </c>
      <c r="G640">
        <v>1500</v>
      </c>
      <c r="H640">
        <v>2</v>
      </c>
      <c r="I640">
        <v>3000</v>
      </c>
      <c r="J640" s="2">
        <v>45209</v>
      </c>
      <c r="K640" t="s">
        <v>370</v>
      </c>
    </row>
    <row r="641" spans="1:11" x14ac:dyDescent="0.3">
      <c r="A641" t="s">
        <v>200</v>
      </c>
      <c r="B641" t="s">
        <v>11</v>
      </c>
      <c r="C641" t="s">
        <v>16</v>
      </c>
      <c r="D641">
        <v>46</v>
      </c>
      <c r="E641" t="s">
        <v>13</v>
      </c>
      <c r="F641" t="s">
        <v>14</v>
      </c>
      <c r="G641">
        <v>300</v>
      </c>
      <c r="H641">
        <v>3</v>
      </c>
      <c r="I641">
        <v>900</v>
      </c>
      <c r="J641" s="2">
        <v>45188</v>
      </c>
      <c r="K641" t="s">
        <v>373</v>
      </c>
    </row>
    <row r="642" spans="1:11" x14ac:dyDescent="0.3">
      <c r="A642" t="s">
        <v>245</v>
      </c>
      <c r="B642" t="s">
        <v>20</v>
      </c>
      <c r="C642" t="s">
        <v>29</v>
      </c>
      <c r="E642" t="s">
        <v>13</v>
      </c>
      <c r="F642" t="s">
        <v>14</v>
      </c>
      <c r="G642">
        <v>300</v>
      </c>
      <c r="H642">
        <v>1</v>
      </c>
      <c r="I642">
        <v>300</v>
      </c>
      <c r="J642" s="2">
        <v>45294</v>
      </c>
      <c r="K642" t="s">
        <v>375</v>
      </c>
    </row>
    <row r="643" spans="1:11" x14ac:dyDescent="0.3">
      <c r="A643" t="s">
        <v>108</v>
      </c>
      <c r="B643" t="s">
        <v>11</v>
      </c>
      <c r="C643" t="s">
        <v>29</v>
      </c>
      <c r="D643">
        <v>42</v>
      </c>
      <c r="E643" t="s">
        <v>24</v>
      </c>
      <c r="F643" t="s">
        <v>14</v>
      </c>
      <c r="G643">
        <v>1500</v>
      </c>
      <c r="H643">
        <v>2</v>
      </c>
      <c r="I643">
        <v>3000</v>
      </c>
      <c r="J643" s="2">
        <v>44935</v>
      </c>
      <c r="K643" t="s">
        <v>381</v>
      </c>
    </row>
    <row r="644" spans="1:11" x14ac:dyDescent="0.3">
      <c r="A644" t="s">
        <v>160</v>
      </c>
      <c r="B644" t="s">
        <v>11</v>
      </c>
      <c r="C644" t="s">
        <v>12</v>
      </c>
      <c r="D644">
        <v>32</v>
      </c>
      <c r="E644" t="s">
        <v>24</v>
      </c>
      <c r="F644" t="s">
        <v>14</v>
      </c>
      <c r="G644">
        <v>1500</v>
      </c>
      <c r="H644">
        <v>1</v>
      </c>
      <c r="I644">
        <v>1500</v>
      </c>
      <c r="J644" s="2">
        <v>45149</v>
      </c>
      <c r="K644" t="s">
        <v>370</v>
      </c>
    </row>
    <row r="645" spans="1:11" x14ac:dyDescent="0.3">
      <c r="A645" t="s">
        <v>255</v>
      </c>
      <c r="B645" t="s">
        <v>11</v>
      </c>
      <c r="C645" t="s">
        <v>16</v>
      </c>
      <c r="D645">
        <v>56</v>
      </c>
      <c r="E645" t="s">
        <v>13</v>
      </c>
      <c r="F645" t="s">
        <v>14</v>
      </c>
      <c r="G645">
        <v>300</v>
      </c>
      <c r="H645">
        <v>1</v>
      </c>
      <c r="I645">
        <v>300</v>
      </c>
      <c r="J645" s="2">
        <v>45132</v>
      </c>
      <c r="K645" t="s">
        <v>370</v>
      </c>
    </row>
    <row r="646" spans="1:11" x14ac:dyDescent="0.3">
      <c r="A646" t="s">
        <v>224</v>
      </c>
      <c r="B646" t="s">
        <v>20</v>
      </c>
      <c r="C646" t="s">
        <v>21</v>
      </c>
      <c r="D646">
        <v>67</v>
      </c>
      <c r="E646" t="s">
        <v>26</v>
      </c>
      <c r="F646" t="s">
        <v>27</v>
      </c>
      <c r="G646">
        <v>200</v>
      </c>
      <c r="H646">
        <v>1</v>
      </c>
      <c r="I646">
        <v>200</v>
      </c>
      <c r="J646" s="2">
        <v>45199</v>
      </c>
      <c r="K646" t="s">
        <v>373</v>
      </c>
    </row>
    <row r="647" spans="1:11" x14ac:dyDescent="0.3">
      <c r="A647" t="s">
        <v>30</v>
      </c>
      <c r="B647" t="s">
        <v>11</v>
      </c>
      <c r="C647" t="s">
        <v>12</v>
      </c>
      <c r="E647" t="s">
        <v>17</v>
      </c>
      <c r="F647" t="s">
        <v>18</v>
      </c>
      <c r="G647">
        <v>100</v>
      </c>
      <c r="H647">
        <v>2</v>
      </c>
      <c r="I647">
        <v>200</v>
      </c>
      <c r="J647" s="2">
        <v>45225</v>
      </c>
      <c r="K647" t="s">
        <v>381</v>
      </c>
    </row>
    <row r="648" spans="1:11" x14ac:dyDescent="0.3">
      <c r="A648" t="s">
        <v>180</v>
      </c>
      <c r="B648" t="s">
        <v>11</v>
      </c>
      <c r="C648" t="s">
        <v>21</v>
      </c>
      <c r="D648">
        <v>30</v>
      </c>
      <c r="E648" t="s">
        <v>17</v>
      </c>
      <c r="F648" t="s">
        <v>18</v>
      </c>
      <c r="G648">
        <v>100</v>
      </c>
      <c r="H648">
        <v>4</v>
      </c>
      <c r="I648">
        <v>400</v>
      </c>
      <c r="J648" s="2">
        <v>45282</v>
      </c>
      <c r="K648" t="s">
        <v>381</v>
      </c>
    </row>
    <row r="649" spans="1:11" x14ac:dyDescent="0.3">
      <c r="A649" t="s">
        <v>165</v>
      </c>
      <c r="B649" t="s">
        <v>11</v>
      </c>
      <c r="C649" t="s">
        <v>29</v>
      </c>
      <c r="D649">
        <v>21</v>
      </c>
      <c r="E649" t="s">
        <v>17</v>
      </c>
      <c r="F649" t="s">
        <v>18</v>
      </c>
      <c r="G649">
        <v>100</v>
      </c>
      <c r="H649">
        <v>4</v>
      </c>
      <c r="I649">
        <v>400</v>
      </c>
      <c r="J649" s="2">
        <v>45182</v>
      </c>
      <c r="K649" t="s">
        <v>381</v>
      </c>
    </row>
    <row r="650" spans="1:11" x14ac:dyDescent="0.3">
      <c r="A650" t="s">
        <v>129</v>
      </c>
      <c r="B650" t="s">
        <v>20</v>
      </c>
      <c r="C650" t="s">
        <v>21</v>
      </c>
      <c r="D650">
        <v>38</v>
      </c>
      <c r="E650" t="s">
        <v>31</v>
      </c>
      <c r="F650" t="s">
        <v>18</v>
      </c>
      <c r="G650">
        <v>50</v>
      </c>
      <c r="H650">
        <v>4</v>
      </c>
      <c r="I650">
        <v>200</v>
      </c>
      <c r="J650" s="2">
        <v>45286</v>
      </c>
      <c r="K650" t="s">
        <v>373</v>
      </c>
    </row>
    <row r="651" spans="1:11" x14ac:dyDescent="0.3">
      <c r="A651" t="s">
        <v>162</v>
      </c>
      <c r="B651" t="s">
        <v>11</v>
      </c>
      <c r="C651" t="s">
        <v>16</v>
      </c>
      <c r="D651">
        <v>27</v>
      </c>
      <c r="E651" t="s">
        <v>24</v>
      </c>
      <c r="F651" t="s">
        <v>14</v>
      </c>
      <c r="G651">
        <v>1500</v>
      </c>
      <c r="H651">
        <v>2</v>
      </c>
      <c r="I651">
        <v>3000</v>
      </c>
      <c r="J651" s="2">
        <v>45175</v>
      </c>
      <c r="K651" t="s">
        <v>375</v>
      </c>
    </row>
    <row r="652" spans="1:11" x14ac:dyDescent="0.3">
      <c r="A652" t="s">
        <v>206</v>
      </c>
      <c r="B652" t="s">
        <v>11</v>
      </c>
      <c r="C652" t="s">
        <v>12</v>
      </c>
      <c r="D652">
        <v>69</v>
      </c>
      <c r="E652" t="s">
        <v>13</v>
      </c>
      <c r="F652" t="s">
        <v>14</v>
      </c>
      <c r="G652">
        <v>300</v>
      </c>
      <c r="H652">
        <v>5</v>
      </c>
      <c r="I652">
        <v>1500</v>
      </c>
      <c r="J652" s="2">
        <v>45244</v>
      </c>
      <c r="K652" t="s">
        <v>370</v>
      </c>
    </row>
    <row r="653" spans="1:11" x14ac:dyDescent="0.3">
      <c r="A653" t="s">
        <v>256</v>
      </c>
      <c r="B653" t="s">
        <v>20</v>
      </c>
      <c r="C653" t="s">
        <v>16</v>
      </c>
      <c r="D653">
        <v>69</v>
      </c>
      <c r="E653" t="s">
        <v>42</v>
      </c>
      <c r="F653" t="s">
        <v>14</v>
      </c>
      <c r="G653">
        <v>800</v>
      </c>
      <c r="H653">
        <v>3</v>
      </c>
      <c r="I653">
        <v>2400</v>
      </c>
      <c r="J653" s="2">
        <v>45041</v>
      </c>
      <c r="K653" t="s">
        <v>373</v>
      </c>
    </row>
    <row r="654" spans="1:11" x14ac:dyDescent="0.3">
      <c r="A654" t="s">
        <v>267</v>
      </c>
      <c r="B654" t="s">
        <v>20</v>
      </c>
      <c r="C654" t="s">
        <v>21</v>
      </c>
      <c r="D654">
        <v>67</v>
      </c>
      <c r="E654" t="s">
        <v>24</v>
      </c>
      <c r="F654" t="s">
        <v>14</v>
      </c>
      <c r="G654">
        <v>1500</v>
      </c>
      <c r="H654">
        <v>1</v>
      </c>
      <c r="I654">
        <v>1500</v>
      </c>
      <c r="J654" s="2">
        <v>45133</v>
      </c>
      <c r="K654" t="s">
        <v>381</v>
      </c>
    </row>
    <row r="655" spans="1:11" x14ac:dyDescent="0.3">
      <c r="A655" t="s">
        <v>95</v>
      </c>
      <c r="B655" t="s">
        <v>11</v>
      </c>
      <c r="C655" t="s">
        <v>16</v>
      </c>
      <c r="D655">
        <v>47</v>
      </c>
      <c r="E655" t="s">
        <v>26</v>
      </c>
      <c r="F655" t="s">
        <v>27</v>
      </c>
      <c r="G655">
        <v>200</v>
      </c>
      <c r="H655">
        <v>3</v>
      </c>
      <c r="I655">
        <v>600</v>
      </c>
      <c r="J655" s="2">
        <v>45092</v>
      </c>
      <c r="K655" t="s">
        <v>370</v>
      </c>
    </row>
    <row r="656" spans="1:11" x14ac:dyDescent="0.3">
      <c r="A656" t="s">
        <v>278</v>
      </c>
      <c r="B656" t="s">
        <v>11</v>
      </c>
      <c r="C656" t="s">
        <v>16</v>
      </c>
      <c r="D656">
        <v>32</v>
      </c>
      <c r="E656" t="s">
        <v>13</v>
      </c>
      <c r="F656" t="s">
        <v>14</v>
      </c>
      <c r="G656">
        <v>300</v>
      </c>
      <c r="H656">
        <v>3</v>
      </c>
      <c r="I656">
        <v>900</v>
      </c>
      <c r="J656" s="2">
        <v>45068</v>
      </c>
      <c r="K656" t="s">
        <v>370</v>
      </c>
    </row>
    <row r="657" spans="1:11" x14ac:dyDescent="0.3">
      <c r="A657" t="s">
        <v>211</v>
      </c>
      <c r="B657" t="s">
        <v>20</v>
      </c>
      <c r="C657" t="s">
        <v>16</v>
      </c>
      <c r="D657">
        <v>41</v>
      </c>
      <c r="E657" t="s">
        <v>24</v>
      </c>
      <c r="F657" t="s">
        <v>14</v>
      </c>
      <c r="G657">
        <v>1500</v>
      </c>
      <c r="H657">
        <v>3</v>
      </c>
      <c r="I657">
        <v>4500</v>
      </c>
      <c r="J657" s="2">
        <v>45267</v>
      </c>
      <c r="K657" t="s">
        <v>381</v>
      </c>
    </row>
    <row r="658" spans="1:11" x14ac:dyDescent="0.3">
      <c r="A658" t="s">
        <v>144</v>
      </c>
      <c r="B658" t="s">
        <v>20</v>
      </c>
      <c r="C658" t="s">
        <v>29</v>
      </c>
      <c r="D658">
        <v>29</v>
      </c>
      <c r="E658" t="s">
        <v>32</v>
      </c>
      <c r="F658" t="s">
        <v>18</v>
      </c>
      <c r="G658">
        <v>30</v>
      </c>
      <c r="H658">
        <v>1</v>
      </c>
      <c r="I658">
        <v>30</v>
      </c>
      <c r="J658" s="2">
        <v>44985</v>
      </c>
      <c r="K658" t="s">
        <v>381</v>
      </c>
    </row>
    <row r="659" spans="1:11" x14ac:dyDescent="0.3">
      <c r="A659" t="s">
        <v>163</v>
      </c>
      <c r="B659" t="s">
        <v>11</v>
      </c>
      <c r="C659" t="s">
        <v>12</v>
      </c>
      <c r="D659">
        <v>65</v>
      </c>
      <c r="E659" t="s">
        <v>13</v>
      </c>
      <c r="F659" t="s">
        <v>14</v>
      </c>
      <c r="G659">
        <v>300</v>
      </c>
      <c r="H659">
        <v>4</v>
      </c>
      <c r="I659">
        <v>1200</v>
      </c>
      <c r="J659" s="2">
        <v>45294</v>
      </c>
      <c r="K659" t="s">
        <v>370</v>
      </c>
    </row>
    <row r="660" spans="1:11" x14ac:dyDescent="0.3">
      <c r="A660" t="s">
        <v>189</v>
      </c>
      <c r="B660" t="s">
        <v>20</v>
      </c>
      <c r="C660" t="s">
        <v>29</v>
      </c>
      <c r="D660">
        <v>48</v>
      </c>
      <c r="E660" t="s">
        <v>26</v>
      </c>
      <c r="F660" t="s">
        <v>27</v>
      </c>
      <c r="G660">
        <v>200</v>
      </c>
      <c r="H660">
        <v>5</v>
      </c>
      <c r="I660">
        <v>1000</v>
      </c>
      <c r="J660" s="2">
        <v>45050</v>
      </c>
      <c r="K660" t="s">
        <v>370</v>
      </c>
    </row>
    <row r="661" spans="1:11" x14ac:dyDescent="0.3">
      <c r="A661" t="s">
        <v>73</v>
      </c>
      <c r="B661" t="s">
        <v>11</v>
      </c>
      <c r="C661" t="s">
        <v>29</v>
      </c>
      <c r="D661">
        <v>68</v>
      </c>
      <c r="E661" t="s">
        <v>24</v>
      </c>
      <c r="F661" t="s">
        <v>14</v>
      </c>
      <c r="G661">
        <v>1500</v>
      </c>
      <c r="H661">
        <v>1</v>
      </c>
      <c r="I661">
        <v>1500</v>
      </c>
      <c r="J661" s="2">
        <v>45165</v>
      </c>
      <c r="K661" t="s">
        <v>375</v>
      </c>
    </row>
    <row r="662" spans="1:11" x14ac:dyDescent="0.3">
      <c r="A662" t="s">
        <v>232</v>
      </c>
      <c r="B662" t="s">
        <v>20</v>
      </c>
      <c r="C662" t="s">
        <v>12</v>
      </c>
      <c r="D662">
        <v>42</v>
      </c>
      <c r="E662" t="s">
        <v>32</v>
      </c>
      <c r="F662" t="s">
        <v>18</v>
      </c>
      <c r="G662">
        <v>30</v>
      </c>
      <c r="H662">
        <v>5</v>
      </c>
      <c r="I662">
        <v>150</v>
      </c>
      <c r="J662" s="2">
        <v>45244</v>
      </c>
      <c r="K662" t="s">
        <v>375</v>
      </c>
    </row>
    <row r="663" spans="1:11" x14ac:dyDescent="0.3">
      <c r="A663" t="s">
        <v>37</v>
      </c>
      <c r="B663" t="s">
        <v>11</v>
      </c>
      <c r="D663">
        <v>60</v>
      </c>
      <c r="E663" t="s">
        <v>24</v>
      </c>
      <c r="F663" t="s">
        <v>14</v>
      </c>
      <c r="G663">
        <v>1500</v>
      </c>
      <c r="H663">
        <v>1</v>
      </c>
      <c r="I663">
        <v>1500</v>
      </c>
      <c r="J663" s="2">
        <v>45175</v>
      </c>
      <c r="K663" t="s">
        <v>373</v>
      </c>
    </row>
    <row r="664" spans="1:11" x14ac:dyDescent="0.3">
      <c r="A664" t="s">
        <v>138</v>
      </c>
      <c r="B664" t="s">
        <v>20</v>
      </c>
      <c r="C664" t="s">
        <v>12</v>
      </c>
      <c r="D664">
        <v>37</v>
      </c>
      <c r="E664" t="s">
        <v>42</v>
      </c>
      <c r="F664" t="s">
        <v>14</v>
      </c>
      <c r="G664">
        <v>800</v>
      </c>
      <c r="H664">
        <v>1</v>
      </c>
      <c r="I664">
        <v>800</v>
      </c>
      <c r="J664" s="2">
        <v>44929</v>
      </c>
      <c r="K664" t="s">
        <v>370</v>
      </c>
    </row>
    <row r="665" spans="1:11" x14ac:dyDescent="0.3">
      <c r="A665" t="s">
        <v>176</v>
      </c>
      <c r="B665" t="s">
        <v>20</v>
      </c>
      <c r="C665" t="s">
        <v>21</v>
      </c>
      <c r="D665">
        <v>54</v>
      </c>
      <c r="E665" t="s">
        <v>24</v>
      </c>
      <c r="F665" t="s">
        <v>14</v>
      </c>
      <c r="G665">
        <v>1500</v>
      </c>
      <c r="H665">
        <v>4</v>
      </c>
      <c r="I665">
        <v>6000</v>
      </c>
      <c r="J665" s="2">
        <v>44977</v>
      </c>
      <c r="K665" t="s">
        <v>375</v>
      </c>
    </row>
    <row r="666" spans="1:11" x14ac:dyDescent="0.3">
      <c r="A666" t="s">
        <v>172</v>
      </c>
      <c r="B666" t="s">
        <v>20</v>
      </c>
      <c r="C666" t="s">
        <v>21</v>
      </c>
      <c r="D666">
        <v>57</v>
      </c>
      <c r="E666" t="s">
        <v>13</v>
      </c>
      <c r="F666" t="s">
        <v>14</v>
      </c>
      <c r="G666">
        <v>300</v>
      </c>
      <c r="H666">
        <v>1</v>
      </c>
      <c r="I666">
        <v>300</v>
      </c>
      <c r="J666" s="2">
        <v>45029</v>
      </c>
      <c r="K666" t="s">
        <v>370</v>
      </c>
    </row>
    <row r="667" spans="1:11" x14ac:dyDescent="0.3">
      <c r="A667" t="s">
        <v>45</v>
      </c>
      <c r="B667" t="s">
        <v>20</v>
      </c>
      <c r="C667" t="s">
        <v>29</v>
      </c>
      <c r="D667">
        <v>37</v>
      </c>
      <c r="E667" t="s">
        <v>31</v>
      </c>
      <c r="F667" t="s">
        <v>18</v>
      </c>
      <c r="G667">
        <v>50</v>
      </c>
      <c r="H667">
        <v>4</v>
      </c>
      <c r="I667">
        <v>200</v>
      </c>
      <c r="J667" s="2">
        <v>44931</v>
      </c>
      <c r="K667" t="s">
        <v>381</v>
      </c>
    </row>
    <row r="668" spans="1:11" x14ac:dyDescent="0.3">
      <c r="A668" t="s">
        <v>193</v>
      </c>
      <c r="B668" t="s">
        <v>20</v>
      </c>
      <c r="C668" t="s">
        <v>12</v>
      </c>
      <c r="D668">
        <v>64</v>
      </c>
      <c r="E668" t="s">
        <v>24</v>
      </c>
      <c r="F668" t="s">
        <v>14</v>
      </c>
      <c r="G668">
        <v>1500</v>
      </c>
      <c r="H668">
        <v>1</v>
      </c>
      <c r="I668">
        <v>1500</v>
      </c>
      <c r="J668" s="2">
        <v>45068</v>
      </c>
      <c r="K668" t="s">
        <v>375</v>
      </c>
    </row>
    <row r="669" spans="1:11" x14ac:dyDescent="0.3">
      <c r="A669" t="s">
        <v>93</v>
      </c>
      <c r="B669" t="s">
        <v>11</v>
      </c>
      <c r="C669" t="s">
        <v>21</v>
      </c>
      <c r="D669">
        <v>54</v>
      </c>
      <c r="E669" t="s">
        <v>26</v>
      </c>
      <c r="F669" t="s">
        <v>27</v>
      </c>
      <c r="G669">
        <v>200</v>
      </c>
      <c r="H669">
        <v>3</v>
      </c>
      <c r="I669">
        <v>600</v>
      </c>
      <c r="J669" s="2">
        <v>45148</v>
      </c>
      <c r="K669" t="s">
        <v>381</v>
      </c>
    </row>
    <row r="670" spans="1:11" x14ac:dyDescent="0.3">
      <c r="A670" t="s">
        <v>291</v>
      </c>
      <c r="B670" t="s">
        <v>11</v>
      </c>
      <c r="C670" t="s">
        <v>16</v>
      </c>
      <c r="D670">
        <v>67</v>
      </c>
      <c r="E670" t="s">
        <v>24</v>
      </c>
      <c r="F670" t="s">
        <v>14</v>
      </c>
      <c r="G670">
        <v>1500</v>
      </c>
      <c r="H670">
        <v>4</v>
      </c>
      <c r="I670">
        <v>6000</v>
      </c>
      <c r="J670" s="2">
        <v>45088</v>
      </c>
      <c r="K670" t="s">
        <v>381</v>
      </c>
    </row>
    <row r="671" spans="1:11" x14ac:dyDescent="0.3">
      <c r="A671" t="s">
        <v>144</v>
      </c>
      <c r="B671" t="s">
        <v>20</v>
      </c>
      <c r="C671" t="s">
        <v>29</v>
      </c>
      <c r="D671">
        <v>29</v>
      </c>
      <c r="E671" t="s">
        <v>26</v>
      </c>
      <c r="F671" t="s">
        <v>27</v>
      </c>
      <c r="G671">
        <v>200</v>
      </c>
      <c r="H671">
        <v>4</v>
      </c>
      <c r="I671">
        <v>800</v>
      </c>
      <c r="J671" s="2">
        <v>44982</v>
      </c>
      <c r="K671" t="s">
        <v>381</v>
      </c>
    </row>
    <row r="672" spans="1:11" x14ac:dyDescent="0.3">
      <c r="A672" t="s">
        <v>148</v>
      </c>
      <c r="B672" t="s">
        <v>20</v>
      </c>
      <c r="C672" t="s">
        <v>21</v>
      </c>
      <c r="D672">
        <v>68</v>
      </c>
      <c r="E672" t="s">
        <v>17</v>
      </c>
      <c r="F672" t="s">
        <v>18</v>
      </c>
      <c r="G672">
        <v>100</v>
      </c>
      <c r="H672">
        <v>2</v>
      </c>
      <c r="I672">
        <v>200</v>
      </c>
      <c r="J672" s="2">
        <v>45082</v>
      </c>
      <c r="K672" t="s">
        <v>373</v>
      </c>
    </row>
    <row r="673" spans="1:11" x14ac:dyDescent="0.3">
      <c r="A673" t="s">
        <v>138</v>
      </c>
      <c r="B673" t="s">
        <v>11</v>
      </c>
      <c r="C673" t="s">
        <v>16</v>
      </c>
      <c r="D673">
        <v>37</v>
      </c>
      <c r="E673" t="s">
        <v>32</v>
      </c>
      <c r="F673" t="s">
        <v>18</v>
      </c>
      <c r="G673">
        <v>30</v>
      </c>
      <c r="H673">
        <v>3</v>
      </c>
      <c r="I673">
        <v>90</v>
      </c>
      <c r="J673" s="2">
        <v>45216</v>
      </c>
      <c r="K673" t="s">
        <v>381</v>
      </c>
    </row>
    <row r="674" spans="1:11" x14ac:dyDescent="0.3">
      <c r="A674" t="s">
        <v>292</v>
      </c>
      <c r="B674" t="s">
        <v>11</v>
      </c>
      <c r="C674" t="s">
        <v>12</v>
      </c>
      <c r="D674">
        <v>22</v>
      </c>
      <c r="E674" t="s">
        <v>32</v>
      </c>
      <c r="F674" t="s">
        <v>18</v>
      </c>
      <c r="G674">
        <v>30</v>
      </c>
      <c r="H674">
        <v>5</v>
      </c>
      <c r="I674">
        <v>150</v>
      </c>
      <c r="J674" s="2">
        <v>44951</v>
      </c>
      <c r="K674" t="s">
        <v>373</v>
      </c>
    </row>
    <row r="675" spans="1:11" x14ac:dyDescent="0.3">
      <c r="A675" t="s">
        <v>121</v>
      </c>
      <c r="B675" t="s">
        <v>11</v>
      </c>
      <c r="D675">
        <v>18</v>
      </c>
      <c r="E675" t="s">
        <v>13</v>
      </c>
      <c r="F675" t="s">
        <v>14</v>
      </c>
      <c r="G675">
        <v>300</v>
      </c>
      <c r="H675">
        <v>2</v>
      </c>
      <c r="I675">
        <v>600</v>
      </c>
      <c r="J675" s="2">
        <v>44936</v>
      </c>
      <c r="K675" t="s">
        <v>370</v>
      </c>
    </row>
    <row r="676" spans="1:11" x14ac:dyDescent="0.3">
      <c r="A676" t="s">
        <v>223</v>
      </c>
      <c r="B676" t="s">
        <v>20</v>
      </c>
      <c r="C676" t="s">
        <v>16</v>
      </c>
      <c r="E676" t="s">
        <v>24</v>
      </c>
      <c r="F676" t="s">
        <v>14</v>
      </c>
      <c r="G676">
        <v>1500</v>
      </c>
      <c r="H676">
        <v>3</v>
      </c>
      <c r="I676">
        <v>4500</v>
      </c>
      <c r="J676" s="2">
        <v>45287</v>
      </c>
      <c r="K676" t="s">
        <v>370</v>
      </c>
    </row>
    <row r="677" spans="1:11" x14ac:dyDescent="0.3">
      <c r="A677" t="s">
        <v>291</v>
      </c>
      <c r="B677" t="s">
        <v>11</v>
      </c>
      <c r="C677" t="s">
        <v>21</v>
      </c>
      <c r="E677" t="s">
        <v>31</v>
      </c>
      <c r="F677" t="s">
        <v>18</v>
      </c>
      <c r="G677">
        <v>50</v>
      </c>
      <c r="H677">
        <v>5</v>
      </c>
      <c r="I677">
        <v>250</v>
      </c>
      <c r="J677" s="2">
        <v>45233</v>
      </c>
      <c r="K677" t="s">
        <v>375</v>
      </c>
    </row>
    <row r="678" spans="1:11" x14ac:dyDescent="0.3">
      <c r="A678" t="s">
        <v>284</v>
      </c>
      <c r="B678" t="s">
        <v>11</v>
      </c>
      <c r="C678" t="s">
        <v>16</v>
      </c>
      <c r="E678" t="s">
        <v>26</v>
      </c>
      <c r="F678" t="s">
        <v>27</v>
      </c>
      <c r="G678">
        <v>200</v>
      </c>
      <c r="H678">
        <v>2</v>
      </c>
      <c r="I678">
        <v>400</v>
      </c>
      <c r="J678" s="2">
        <v>45026</v>
      </c>
      <c r="K678" t="s">
        <v>375</v>
      </c>
    </row>
    <row r="679" spans="1:11" x14ac:dyDescent="0.3">
      <c r="A679" t="s">
        <v>264</v>
      </c>
      <c r="B679" t="s">
        <v>11</v>
      </c>
      <c r="C679" t="s">
        <v>12</v>
      </c>
      <c r="D679">
        <v>40</v>
      </c>
      <c r="E679" t="s">
        <v>26</v>
      </c>
      <c r="F679" t="s">
        <v>27</v>
      </c>
      <c r="G679">
        <v>200</v>
      </c>
      <c r="H679">
        <v>4</v>
      </c>
      <c r="I679">
        <v>800</v>
      </c>
      <c r="J679" s="2">
        <v>45287</v>
      </c>
      <c r="K679" t="s">
        <v>373</v>
      </c>
    </row>
    <row r="680" spans="1:11" x14ac:dyDescent="0.3">
      <c r="A680" t="s">
        <v>23</v>
      </c>
      <c r="B680" t="s">
        <v>11</v>
      </c>
      <c r="C680" t="s">
        <v>21</v>
      </c>
      <c r="D680">
        <v>65</v>
      </c>
      <c r="E680" t="s">
        <v>24</v>
      </c>
      <c r="F680" t="s">
        <v>14</v>
      </c>
      <c r="G680">
        <v>1500</v>
      </c>
      <c r="H680">
        <v>3</v>
      </c>
      <c r="I680">
        <v>4500</v>
      </c>
      <c r="J680" s="2">
        <v>45282</v>
      </c>
      <c r="K680" t="s">
        <v>370</v>
      </c>
    </row>
    <row r="681" spans="1:11" x14ac:dyDescent="0.3">
      <c r="A681" t="s">
        <v>49</v>
      </c>
      <c r="B681" t="s">
        <v>20</v>
      </c>
      <c r="C681" t="s">
        <v>29</v>
      </c>
      <c r="D681">
        <v>57</v>
      </c>
      <c r="E681" t="s">
        <v>42</v>
      </c>
      <c r="F681" t="s">
        <v>14</v>
      </c>
      <c r="G681">
        <v>800</v>
      </c>
      <c r="H681">
        <v>2</v>
      </c>
      <c r="I681">
        <v>1600</v>
      </c>
      <c r="J681" s="2">
        <v>45238</v>
      </c>
      <c r="K681" t="s">
        <v>375</v>
      </c>
    </row>
    <row r="682" spans="1:11" x14ac:dyDescent="0.3">
      <c r="A682" t="s">
        <v>201</v>
      </c>
      <c r="B682" t="s">
        <v>20</v>
      </c>
      <c r="C682" t="s">
        <v>21</v>
      </c>
      <c r="D682">
        <v>50</v>
      </c>
      <c r="E682" t="s">
        <v>17</v>
      </c>
      <c r="F682" t="s">
        <v>18</v>
      </c>
      <c r="G682">
        <v>100</v>
      </c>
      <c r="H682">
        <v>3</v>
      </c>
      <c r="I682">
        <v>300</v>
      </c>
      <c r="J682" s="2">
        <v>45267</v>
      </c>
      <c r="K682" t="s">
        <v>375</v>
      </c>
    </row>
    <row r="683" spans="1:11" x14ac:dyDescent="0.3">
      <c r="A683" t="s">
        <v>269</v>
      </c>
      <c r="B683" t="s">
        <v>11</v>
      </c>
      <c r="C683" t="s">
        <v>16</v>
      </c>
      <c r="D683">
        <v>19</v>
      </c>
      <c r="E683" t="s">
        <v>13</v>
      </c>
      <c r="F683" t="s">
        <v>14</v>
      </c>
      <c r="G683">
        <v>300</v>
      </c>
      <c r="H683">
        <v>1</v>
      </c>
      <c r="I683">
        <v>300</v>
      </c>
      <c r="J683" s="2">
        <v>44991</v>
      </c>
      <c r="K683" t="s">
        <v>375</v>
      </c>
    </row>
    <row r="684" spans="1:11" x14ac:dyDescent="0.3">
      <c r="A684" t="s">
        <v>216</v>
      </c>
      <c r="B684" t="s">
        <v>11</v>
      </c>
      <c r="C684" t="s">
        <v>21</v>
      </c>
      <c r="E684" t="s">
        <v>32</v>
      </c>
      <c r="F684" t="s">
        <v>18</v>
      </c>
      <c r="G684">
        <v>30</v>
      </c>
      <c r="H684">
        <v>1</v>
      </c>
      <c r="I684">
        <v>30</v>
      </c>
      <c r="J684" s="2">
        <v>45053</v>
      </c>
      <c r="K684" t="s">
        <v>370</v>
      </c>
    </row>
    <row r="685" spans="1:11" x14ac:dyDescent="0.3">
      <c r="A685" t="s">
        <v>50</v>
      </c>
      <c r="B685" t="s">
        <v>20</v>
      </c>
      <c r="C685" t="s">
        <v>21</v>
      </c>
      <c r="E685" t="s">
        <v>32</v>
      </c>
      <c r="F685" t="s">
        <v>18</v>
      </c>
      <c r="G685">
        <v>30</v>
      </c>
      <c r="H685">
        <v>5</v>
      </c>
      <c r="I685">
        <v>150</v>
      </c>
      <c r="J685" s="2">
        <v>45267</v>
      </c>
      <c r="K685" t="s">
        <v>375</v>
      </c>
    </row>
    <row r="686" spans="1:11" x14ac:dyDescent="0.3">
      <c r="A686" t="s">
        <v>268</v>
      </c>
      <c r="B686" t="s">
        <v>20</v>
      </c>
      <c r="C686" t="s">
        <v>21</v>
      </c>
      <c r="D686">
        <v>55</v>
      </c>
      <c r="E686" t="s">
        <v>42</v>
      </c>
      <c r="F686" t="s">
        <v>14</v>
      </c>
      <c r="G686">
        <v>800</v>
      </c>
      <c r="H686">
        <v>4</v>
      </c>
      <c r="I686">
        <v>3200</v>
      </c>
      <c r="J686" s="2">
        <v>45182</v>
      </c>
      <c r="K686" t="s">
        <v>370</v>
      </c>
    </row>
    <row r="687" spans="1:11" x14ac:dyDescent="0.3">
      <c r="A687" t="s">
        <v>40</v>
      </c>
      <c r="B687" t="s">
        <v>20</v>
      </c>
      <c r="D687">
        <v>57</v>
      </c>
      <c r="E687" t="s">
        <v>42</v>
      </c>
      <c r="F687" t="s">
        <v>14</v>
      </c>
      <c r="G687">
        <v>800</v>
      </c>
      <c r="H687">
        <v>3</v>
      </c>
      <c r="I687">
        <v>2400</v>
      </c>
      <c r="J687" s="2">
        <v>45291</v>
      </c>
      <c r="K687" t="s">
        <v>381</v>
      </c>
    </row>
    <row r="688" spans="1:11" x14ac:dyDescent="0.3">
      <c r="A688" t="s">
        <v>97</v>
      </c>
      <c r="B688" t="s">
        <v>20</v>
      </c>
      <c r="C688" t="s">
        <v>21</v>
      </c>
      <c r="D688">
        <v>33</v>
      </c>
      <c r="E688" t="s">
        <v>31</v>
      </c>
      <c r="F688" t="s">
        <v>18</v>
      </c>
      <c r="G688">
        <v>50</v>
      </c>
      <c r="H688">
        <v>2</v>
      </c>
      <c r="I688">
        <v>100</v>
      </c>
      <c r="J688" s="2">
        <v>45036</v>
      </c>
      <c r="K688" t="s">
        <v>381</v>
      </c>
    </row>
    <row r="689" spans="1:11" x14ac:dyDescent="0.3">
      <c r="A689" t="s">
        <v>293</v>
      </c>
      <c r="B689" t="s">
        <v>20</v>
      </c>
      <c r="C689" t="s">
        <v>12</v>
      </c>
      <c r="D689">
        <v>53</v>
      </c>
      <c r="E689" t="s">
        <v>13</v>
      </c>
      <c r="F689" t="s">
        <v>14</v>
      </c>
      <c r="G689">
        <v>300</v>
      </c>
      <c r="H689">
        <v>4</v>
      </c>
      <c r="I689">
        <v>1200</v>
      </c>
      <c r="J689" s="2">
        <v>45016</v>
      </c>
      <c r="K689" t="s">
        <v>381</v>
      </c>
    </row>
    <row r="690" spans="1:11" x14ac:dyDescent="0.3">
      <c r="A690" t="s">
        <v>284</v>
      </c>
      <c r="B690" t="s">
        <v>11</v>
      </c>
      <c r="C690" t="s">
        <v>29</v>
      </c>
      <c r="D690">
        <v>46</v>
      </c>
      <c r="E690" t="s">
        <v>13</v>
      </c>
      <c r="F690" t="s">
        <v>14</v>
      </c>
      <c r="G690">
        <v>300</v>
      </c>
      <c r="H690">
        <v>4</v>
      </c>
      <c r="I690">
        <v>1200</v>
      </c>
      <c r="J690" s="2">
        <v>45250</v>
      </c>
      <c r="K690" t="s">
        <v>373</v>
      </c>
    </row>
    <row r="691" spans="1:11" x14ac:dyDescent="0.3">
      <c r="A691" t="s">
        <v>137</v>
      </c>
      <c r="B691" t="s">
        <v>20</v>
      </c>
      <c r="C691" t="s">
        <v>16</v>
      </c>
      <c r="D691">
        <v>54</v>
      </c>
      <c r="E691" t="s">
        <v>32</v>
      </c>
      <c r="F691" t="s">
        <v>18</v>
      </c>
      <c r="G691">
        <v>30</v>
      </c>
      <c r="H691">
        <v>3</v>
      </c>
      <c r="I691">
        <v>90</v>
      </c>
      <c r="J691" s="2">
        <v>45269</v>
      </c>
      <c r="K691" t="s">
        <v>370</v>
      </c>
    </row>
    <row r="692" spans="1:11" x14ac:dyDescent="0.3">
      <c r="A692" t="s">
        <v>294</v>
      </c>
      <c r="B692" t="s">
        <v>11</v>
      </c>
      <c r="C692" t="s">
        <v>16</v>
      </c>
      <c r="D692">
        <v>41</v>
      </c>
      <c r="E692" t="s">
        <v>26</v>
      </c>
      <c r="F692" t="s">
        <v>27</v>
      </c>
      <c r="G692">
        <v>200</v>
      </c>
      <c r="H692">
        <v>1</v>
      </c>
      <c r="I692">
        <v>200</v>
      </c>
      <c r="J692" s="2">
        <v>45083</v>
      </c>
      <c r="K692" t="s">
        <v>375</v>
      </c>
    </row>
    <row r="693" spans="1:11" x14ac:dyDescent="0.3">
      <c r="A693" t="s">
        <v>148</v>
      </c>
      <c r="B693" t="s">
        <v>11</v>
      </c>
      <c r="C693" t="s">
        <v>16</v>
      </c>
      <c r="D693">
        <v>68</v>
      </c>
      <c r="E693" t="s">
        <v>32</v>
      </c>
      <c r="F693" t="s">
        <v>18</v>
      </c>
      <c r="G693">
        <v>30</v>
      </c>
      <c r="H693">
        <v>5</v>
      </c>
      <c r="I693">
        <v>150</v>
      </c>
      <c r="J693" s="2">
        <v>45272</v>
      </c>
      <c r="K693" t="s">
        <v>373</v>
      </c>
    </row>
    <row r="694" spans="1:11" x14ac:dyDescent="0.3">
      <c r="A694" t="s">
        <v>40</v>
      </c>
      <c r="B694" t="s">
        <v>11</v>
      </c>
      <c r="C694" t="s">
        <v>16</v>
      </c>
      <c r="D694">
        <v>57</v>
      </c>
      <c r="E694" t="s">
        <v>24</v>
      </c>
      <c r="F694" t="s">
        <v>14</v>
      </c>
      <c r="G694">
        <v>1500</v>
      </c>
      <c r="H694">
        <v>5</v>
      </c>
      <c r="I694">
        <v>7500</v>
      </c>
      <c r="J694" s="2">
        <v>45137</v>
      </c>
      <c r="K694" t="s">
        <v>373</v>
      </c>
    </row>
    <row r="695" spans="1:11" x14ac:dyDescent="0.3">
      <c r="A695" t="s">
        <v>232</v>
      </c>
      <c r="B695" t="s">
        <v>11</v>
      </c>
      <c r="C695" t="s">
        <v>16</v>
      </c>
      <c r="D695">
        <v>42</v>
      </c>
      <c r="E695" t="s">
        <v>17</v>
      </c>
      <c r="F695" t="s">
        <v>18</v>
      </c>
      <c r="G695">
        <v>100</v>
      </c>
      <c r="H695">
        <v>5</v>
      </c>
      <c r="I695">
        <v>500</v>
      </c>
      <c r="J695" s="2">
        <v>45223</v>
      </c>
      <c r="K695" t="s">
        <v>381</v>
      </c>
    </row>
    <row r="696" spans="1:11" x14ac:dyDescent="0.3">
      <c r="A696" t="s">
        <v>206</v>
      </c>
      <c r="B696" t="s">
        <v>11</v>
      </c>
      <c r="C696" t="s">
        <v>29</v>
      </c>
      <c r="D696">
        <v>69</v>
      </c>
      <c r="E696" t="s">
        <v>26</v>
      </c>
      <c r="F696" t="s">
        <v>27</v>
      </c>
      <c r="G696">
        <v>200</v>
      </c>
      <c r="H696">
        <v>5</v>
      </c>
      <c r="I696">
        <v>1000</v>
      </c>
      <c r="J696" s="2">
        <v>45224</v>
      </c>
      <c r="K696" t="s">
        <v>370</v>
      </c>
    </row>
    <row r="697" spans="1:11" x14ac:dyDescent="0.3">
      <c r="A697" t="s">
        <v>295</v>
      </c>
      <c r="B697" t="s">
        <v>11</v>
      </c>
      <c r="C697" t="s">
        <v>21</v>
      </c>
      <c r="E697" t="s">
        <v>31</v>
      </c>
      <c r="F697" t="s">
        <v>18</v>
      </c>
      <c r="G697">
        <v>50</v>
      </c>
      <c r="H697">
        <v>2</v>
      </c>
      <c r="I697">
        <v>100</v>
      </c>
      <c r="J697" s="2">
        <v>45120</v>
      </c>
      <c r="K697" t="s">
        <v>375</v>
      </c>
    </row>
    <row r="698" spans="1:11" x14ac:dyDescent="0.3">
      <c r="A698" t="s">
        <v>55</v>
      </c>
      <c r="B698" t="s">
        <v>11</v>
      </c>
      <c r="C698" t="s">
        <v>12</v>
      </c>
      <c r="E698" t="s">
        <v>31</v>
      </c>
      <c r="F698" t="s">
        <v>18</v>
      </c>
      <c r="G698">
        <v>50</v>
      </c>
      <c r="H698">
        <v>3</v>
      </c>
      <c r="I698">
        <v>150</v>
      </c>
      <c r="J698" s="2">
        <v>45074</v>
      </c>
      <c r="K698" t="s">
        <v>373</v>
      </c>
    </row>
    <row r="699" spans="1:11" x14ac:dyDescent="0.3">
      <c r="A699" t="s">
        <v>90</v>
      </c>
      <c r="B699" t="s">
        <v>11</v>
      </c>
      <c r="C699" t="s">
        <v>21</v>
      </c>
      <c r="D699">
        <v>50</v>
      </c>
      <c r="E699" t="s">
        <v>13</v>
      </c>
      <c r="F699" t="s">
        <v>14</v>
      </c>
      <c r="G699">
        <v>300</v>
      </c>
      <c r="H699">
        <v>5</v>
      </c>
      <c r="I699">
        <v>1500</v>
      </c>
      <c r="J699" s="2">
        <v>45294</v>
      </c>
      <c r="K699" t="s">
        <v>375</v>
      </c>
    </row>
    <row r="700" spans="1:11" x14ac:dyDescent="0.3">
      <c r="A700" t="s">
        <v>135</v>
      </c>
      <c r="B700" t="s">
        <v>20</v>
      </c>
      <c r="C700" t="s">
        <v>29</v>
      </c>
      <c r="D700">
        <v>41</v>
      </c>
      <c r="E700" t="s">
        <v>13</v>
      </c>
      <c r="F700" t="s">
        <v>14</v>
      </c>
      <c r="G700">
        <v>300</v>
      </c>
      <c r="H700">
        <v>1</v>
      </c>
      <c r="I700">
        <v>300</v>
      </c>
      <c r="J700" s="2">
        <v>45210</v>
      </c>
      <c r="K700" t="s">
        <v>381</v>
      </c>
    </row>
    <row r="701" spans="1:11" x14ac:dyDescent="0.3">
      <c r="A701" t="s">
        <v>195</v>
      </c>
      <c r="B701" t="s">
        <v>20</v>
      </c>
      <c r="C701" t="s">
        <v>21</v>
      </c>
      <c r="E701" t="s">
        <v>13</v>
      </c>
      <c r="F701" t="s">
        <v>14</v>
      </c>
      <c r="G701">
        <v>300</v>
      </c>
      <c r="H701">
        <v>3</v>
      </c>
      <c r="I701">
        <v>900</v>
      </c>
      <c r="J701" s="2">
        <v>44985</v>
      </c>
      <c r="K701" t="s">
        <v>370</v>
      </c>
    </row>
    <row r="702" spans="1:11" x14ac:dyDescent="0.3">
      <c r="A702" t="s">
        <v>70</v>
      </c>
      <c r="B702" t="s">
        <v>11</v>
      </c>
      <c r="C702" t="s">
        <v>12</v>
      </c>
      <c r="D702">
        <v>44</v>
      </c>
      <c r="E702" t="s">
        <v>26</v>
      </c>
      <c r="F702" t="s">
        <v>27</v>
      </c>
      <c r="G702">
        <v>200</v>
      </c>
      <c r="H702">
        <v>3</v>
      </c>
      <c r="I702">
        <v>600</v>
      </c>
      <c r="J702" s="2">
        <v>45034</v>
      </c>
      <c r="K702" t="s">
        <v>375</v>
      </c>
    </row>
    <row r="703" spans="1:11" x14ac:dyDescent="0.3">
      <c r="A703" t="s">
        <v>57</v>
      </c>
      <c r="B703" t="s">
        <v>11</v>
      </c>
      <c r="C703" t="s">
        <v>21</v>
      </c>
      <c r="D703">
        <v>58</v>
      </c>
      <c r="E703" t="s">
        <v>42</v>
      </c>
      <c r="F703" t="s">
        <v>14</v>
      </c>
      <c r="G703">
        <v>800</v>
      </c>
      <c r="H703">
        <v>2</v>
      </c>
      <c r="I703">
        <v>1600</v>
      </c>
      <c r="J703" s="2">
        <v>45241</v>
      </c>
      <c r="K703" t="s">
        <v>375</v>
      </c>
    </row>
    <row r="704" spans="1:11" x14ac:dyDescent="0.3">
      <c r="A704" t="s">
        <v>65</v>
      </c>
      <c r="B704" t="s">
        <v>11</v>
      </c>
      <c r="C704" t="s">
        <v>16</v>
      </c>
      <c r="D704">
        <v>61</v>
      </c>
      <c r="E704" t="s">
        <v>24</v>
      </c>
      <c r="F704" t="s">
        <v>14</v>
      </c>
      <c r="G704">
        <v>3109.5606124866499</v>
      </c>
      <c r="H704">
        <v>1</v>
      </c>
      <c r="I704">
        <v>1500</v>
      </c>
      <c r="J704" s="2">
        <v>45170</v>
      </c>
      <c r="K704" t="s">
        <v>373</v>
      </c>
    </row>
    <row r="705" spans="1:11" x14ac:dyDescent="0.3">
      <c r="A705" t="s">
        <v>104</v>
      </c>
      <c r="B705" t="s">
        <v>20</v>
      </c>
      <c r="C705" t="s">
        <v>16</v>
      </c>
      <c r="D705">
        <v>30</v>
      </c>
      <c r="E705" t="s">
        <v>32</v>
      </c>
      <c r="F705" t="s">
        <v>18</v>
      </c>
      <c r="G705">
        <v>30</v>
      </c>
      <c r="H705">
        <v>3</v>
      </c>
      <c r="I705">
        <v>90</v>
      </c>
      <c r="J705" s="2">
        <v>45152</v>
      </c>
      <c r="K705" t="s">
        <v>375</v>
      </c>
    </row>
    <row r="706" spans="1:11" x14ac:dyDescent="0.3">
      <c r="A706" t="s">
        <v>112</v>
      </c>
      <c r="B706" t="s">
        <v>20</v>
      </c>
      <c r="C706" t="s">
        <v>29</v>
      </c>
      <c r="D706">
        <v>38</v>
      </c>
      <c r="E706" t="s">
        <v>24</v>
      </c>
      <c r="F706" t="s">
        <v>14</v>
      </c>
      <c r="G706">
        <v>1500</v>
      </c>
      <c r="H706">
        <v>3</v>
      </c>
      <c r="I706">
        <v>4500</v>
      </c>
      <c r="J706" s="2">
        <v>44960</v>
      </c>
      <c r="K706" t="s">
        <v>370</v>
      </c>
    </row>
    <row r="707" spans="1:11" x14ac:dyDescent="0.3">
      <c r="A707" t="s">
        <v>296</v>
      </c>
      <c r="B707" t="s">
        <v>20</v>
      </c>
      <c r="D707">
        <v>49</v>
      </c>
      <c r="E707" t="s">
        <v>32</v>
      </c>
      <c r="F707" t="s">
        <v>18</v>
      </c>
      <c r="G707">
        <v>30</v>
      </c>
      <c r="H707">
        <v>2</v>
      </c>
      <c r="I707">
        <v>60</v>
      </c>
      <c r="J707" s="2">
        <v>44962</v>
      </c>
      <c r="K707" t="s">
        <v>370</v>
      </c>
    </row>
    <row r="708" spans="1:11" x14ac:dyDescent="0.3">
      <c r="A708" t="s">
        <v>296</v>
      </c>
      <c r="B708" t="s">
        <v>11</v>
      </c>
      <c r="C708" t="s">
        <v>21</v>
      </c>
      <c r="D708">
        <v>49</v>
      </c>
      <c r="E708" t="s">
        <v>13</v>
      </c>
      <c r="F708" t="s">
        <v>14</v>
      </c>
      <c r="G708">
        <v>300</v>
      </c>
      <c r="H708">
        <v>3</v>
      </c>
      <c r="I708">
        <v>900</v>
      </c>
      <c r="J708" s="2">
        <v>44946</v>
      </c>
      <c r="K708" t="s">
        <v>375</v>
      </c>
    </row>
    <row r="709" spans="1:11" x14ac:dyDescent="0.3">
      <c r="A709" t="s">
        <v>297</v>
      </c>
      <c r="B709" t="s">
        <v>11</v>
      </c>
      <c r="C709" t="s">
        <v>16</v>
      </c>
      <c r="E709" t="s">
        <v>42</v>
      </c>
      <c r="F709" t="s">
        <v>14</v>
      </c>
      <c r="G709">
        <v>800</v>
      </c>
      <c r="H709">
        <v>3</v>
      </c>
      <c r="I709">
        <v>2400</v>
      </c>
      <c r="J709" s="2">
        <v>44975</v>
      </c>
      <c r="K709" t="s">
        <v>373</v>
      </c>
    </row>
    <row r="710" spans="1:11" x14ac:dyDescent="0.3">
      <c r="A710" t="s">
        <v>147</v>
      </c>
      <c r="B710" t="s">
        <v>20</v>
      </c>
      <c r="C710" t="s">
        <v>21</v>
      </c>
      <c r="D710">
        <v>30</v>
      </c>
      <c r="E710" t="s">
        <v>13</v>
      </c>
      <c r="F710" t="s">
        <v>14</v>
      </c>
      <c r="G710">
        <v>300</v>
      </c>
      <c r="H710">
        <v>1</v>
      </c>
      <c r="I710">
        <v>300</v>
      </c>
      <c r="J710" s="2">
        <v>45136</v>
      </c>
      <c r="K710" t="s">
        <v>373</v>
      </c>
    </row>
    <row r="711" spans="1:11" x14ac:dyDescent="0.3">
      <c r="A711" t="s">
        <v>95</v>
      </c>
      <c r="B711" t="s">
        <v>20</v>
      </c>
      <c r="C711" t="s">
        <v>29</v>
      </c>
      <c r="D711">
        <v>47</v>
      </c>
      <c r="E711" t="s">
        <v>24</v>
      </c>
      <c r="F711" t="s">
        <v>14</v>
      </c>
      <c r="G711">
        <v>1500</v>
      </c>
      <c r="H711">
        <v>3</v>
      </c>
      <c r="I711">
        <v>4500</v>
      </c>
      <c r="J711" s="2">
        <v>45132</v>
      </c>
      <c r="K711" t="s">
        <v>381</v>
      </c>
    </row>
    <row r="712" spans="1:11" x14ac:dyDescent="0.3">
      <c r="A712" t="s">
        <v>73</v>
      </c>
      <c r="B712" t="s">
        <v>11</v>
      </c>
      <c r="C712" t="s">
        <v>29</v>
      </c>
      <c r="D712">
        <v>68</v>
      </c>
      <c r="E712" t="s">
        <v>13</v>
      </c>
      <c r="F712" t="s">
        <v>14</v>
      </c>
      <c r="G712">
        <v>300</v>
      </c>
      <c r="H712">
        <v>3</v>
      </c>
      <c r="I712">
        <v>900</v>
      </c>
      <c r="J712" s="2">
        <v>45276</v>
      </c>
      <c r="K712" t="s">
        <v>370</v>
      </c>
    </row>
    <row r="713" spans="1:11" x14ac:dyDescent="0.3">
      <c r="A713" t="s">
        <v>216</v>
      </c>
      <c r="B713" t="s">
        <v>11</v>
      </c>
      <c r="C713" t="s">
        <v>16</v>
      </c>
      <c r="D713">
        <v>67</v>
      </c>
      <c r="E713" t="s">
        <v>24</v>
      </c>
      <c r="F713" t="s">
        <v>14</v>
      </c>
      <c r="G713">
        <v>1500</v>
      </c>
      <c r="H713">
        <v>2</v>
      </c>
      <c r="I713">
        <v>3000</v>
      </c>
      <c r="J713" s="2">
        <v>45015</v>
      </c>
      <c r="K713" t="s">
        <v>381</v>
      </c>
    </row>
    <row r="714" spans="1:11" x14ac:dyDescent="0.3">
      <c r="A714" t="s">
        <v>101</v>
      </c>
      <c r="B714" t="s">
        <v>11</v>
      </c>
      <c r="C714" t="s">
        <v>29</v>
      </c>
      <c r="D714">
        <v>19</v>
      </c>
      <c r="E714" t="s">
        <v>17</v>
      </c>
      <c r="F714" t="s">
        <v>18</v>
      </c>
      <c r="G714">
        <v>100</v>
      </c>
      <c r="H714">
        <v>2</v>
      </c>
      <c r="I714">
        <v>200</v>
      </c>
      <c r="J714" s="2">
        <v>44948</v>
      </c>
      <c r="K714" t="s">
        <v>373</v>
      </c>
    </row>
    <row r="715" spans="1:11" x14ac:dyDescent="0.3">
      <c r="A715" t="s">
        <v>67</v>
      </c>
      <c r="B715" t="s">
        <v>11</v>
      </c>
      <c r="C715" t="s">
        <v>12</v>
      </c>
      <c r="D715">
        <v>38</v>
      </c>
      <c r="E715" t="s">
        <v>13</v>
      </c>
      <c r="F715" t="s">
        <v>14</v>
      </c>
      <c r="G715">
        <v>300</v>
      </c>
      <c r="H715">
        <v>2</v>
      </c>
      <c r="I715">
        <v>600</v>
      </c>
      <c r="J715" s="2">
        <v>44945</v>
      </c>
      <c r="K715" t="s">
        <v>381</v>
      </c>
    </row>
    <row r="716" spans="1:11" x14ac:dyDescent="0.3">
      <c r="A716" t="s">
        <v>238</v>
      </c>
      <c r="B716" t="s">
        <v>11</v>
      </c>
      <c r="C716" t="s">
        <v>21</v>
      </c>
      <c r="D716">
        <v>57</v>
      </c>
      <c r="E716" t="s">
        <v>26</v>
      </c>
      <c r="F716" t="s">
        <v>27</v>
      </c>
      <c r="G716">
        <v>200</v>
      </c>
      <c r="H716">
        <v>4</v>
      </c>
      <c r="I716">
        <v>800</v>
      </c>
      <c r="J716" s="2">
        <v>45273</v>
      </c>
      <c r="K716" t="s">
        <v>373</v>
      </c>
    </row>
    <row r="717" spans="1:11" x14ac:dyDescent="0.3">
      <c r="A717" t="s">
        <v>72</v>
      </c>
      <c r="B717" t="s">
        <v>11</v>
      </c>
      <c r="C717" t="s">
        <v>21</v>
      </c>
      <c r="D717">
        <v>23</v>
      </c>
      <c r="E717" t="s">
        <v>42</v>
      </c>
      <c r="F717" t="s">
        <v>14</v>
      </c>
      <c r="G717">
        <v>800</v>
      </c>
      <c r="H717">
        <v>1</v>
      </c>
      <c r="I717">
        <v>800</v>
      </c>
      <c r="J717" s="2">
        <v>45113</v>
      </c>
      <c r="K717" t="s">
        <v>381</v>
      </c>
    </row>
    <row r="718" spans="1:11" x14ac:dyDescent="0.3">
      <c r="A718" t="s">
        <v>188</v>
      </c>
      <c r="B718" t="s">
        <v>20</v>
      </c>
      <c r="C718" t="s">
        <v>16</v>
      </c>
      <c r="D718">
        <v>40</v>
      </c>
      <c r="E718" t="s">
        <v>13</v>
      </c>
      <c r="F718" t="s">
        <v>14</v>
      </c>
      <c r="G718">
        <v>300</v>
      </c>
      <c r="H718">
        <v>1</v>
      </c>
      <c r="I718">
        <v>300</v>
      </c>
      <c r="J718" s="2">
        <v>45129</v>
      </c>
      <c r="K718" t="s">
        <v>381</v>
      </c>
    </row>
    <row r="719" spans="1:11" x14ac:dyDescent="0.3">
      <c r="A719" t="s">
        <v>167</v>
      </c>
      <c r="B719" t="s">
        <v>20</v>
      </c>
      <c r="C719" t="s">
        <v>12</v>
      </c>
      <c r="D719">
        <v>66</v>
      </c>
      <c r="E719" t="s">
        <v>31</v>
      </c>
      <c r="F719" t="s">
        <v>18</v>
      </c>
      <c r="G719">
        <v>50</v>
      </c>
      <c r="H719">
        <v>4</v>
      </c>
      <c r="I719">
        <v>200</v>
      </c>
      <c r="J719" s="2">
        <v>45083</v>
      </c>
      <c r="K719" t="s">
        <v>370</v>
      </c>
    </row>
    <row r="720" spans="1:11" x14ac:dyDescent="0.3">
      <c r="A720" t="s">
        <v>186</v>
      </c>
      <c r="B720" t="s">
        <v>11</v>
      </c>
      <c r="C720" t="s">
        <v>12</v>
      </c>
      <c r="D720">
        <v>51</v>
      </c>
      <c r="E720" t="s">
        <v>13</v>
      </c>
      <c r="F720" t="s">
        <v>14</v>
      </c>
      <c r="G720">
        <v>300</v>
      </c>
      <c r="H720">
        <v>5</v>
      </c>
      <c r="I720">
        <v>1500</v>
      </c>
      <c r="J720" s="2">
        <v>45141</v>
      </c>
      <c r="K720" t="s">
        <v>370</v>
      </c>
    </row>
    <row r="721" spans="1:11" x14ac:dyDescent="0.3">
      <c r="A721" t="s">
        <v>175</v>
      </c>
      <c r="B721" t="s">
        <v>11</v>
      </c>
      <c r="C721" t="s">
        <v>12</v>
      </c>
      <c r="D721">
        <v>60</v>
      </c>
      <c r="E721" t="s">
        <v>13</v>
      </c>
      <c r="F721" t="s">
        <v>14</v>
      </c>
      <c r="G721">
        <v>300</v>
      </c>
      <c r="H721">
        <v>2</v>
      </c>
      <c r="I721">
        <v>600</v>
      </c>
      <c r="J721" s="2">
        <v>44938</v>
      </c>
      <c r="K721" t="s">
        <v>381</v>
      </c>
    </row>
    <row r="722" spans="1:11" x14ac:dyDescent="0.3">
      <c r="A722" t="s">
        <v>224</v>
      </c>
      <c r="B722" t="s">
        <v>11</v>
      </c>
      <c r="C722" t="s">
        <v>29</v>
      </c>
      <c r="D722">
        <v>67</v>
      </c>
      <c r="E722" t="s">
        <v>31</v>
      </c>
      <c r="F722" t="s">
        <v>18</v>
      </c>
      <c r="G722">
        <v>50</v>
      </c>
      <c r="H722">
        <v>1</v>
      </c>
      <c r="I722">
        <v>50</v>
      </c>
      <c r="J722" s="2">
        <v>45136</v>
      </c>
      <c r="K722" t="s">
        <v>373</v>
      </c>
    </row>
    <row r="723" spans="1:11" x14ac:dyDescent="0.3">
      <c r="A723" t="s">
        <v>195</v>
      </c>
      <c r="B723" t="s">
        <v>11</v>
      </c>
      <c r="D723">
        <v>52</v>
      </c>
      <c r="E723" t="s">
        <v>42</v>
      </c>
      <c r="F723" t="s">
        <v>14</v>
      </c>
      <c r="G723">
        <v>800</v>
      </c>
      <c r="H723">
        <v>4</v>
      </c>
      <c r="I723">
        <v>3200</v>
      </c>
      <c r="J723" s="2">
        <v>45158</v>
      </c>
      <c r="K723" t="s">
        <v>373</v>
      </c>
    </row>
    <row r="724" spans="1:11" x14ac:dyDescent="0.3">
      <c r="A724" t="s">
        <v>92</v>
      </c>
      <c r="B724" t="s">
        <v>11</v>
      </c>
      <c r="C724" t="s">
        <v>16</v>
      </c>
      <c r="D724">
        <v>50</v>
      </c>
      <c r="E724" t="s">
        <v>32</v>
      </c>
      <c r="F724" t="s">
        <v>18</v>
      </c>
      <c r="G724">
        <v>30</v>
      </c>
      <c r="H724">
        <v>4</v>
      </c>
      <c r="I724">
        <v>120</v>
      </c>
      <c r="J724" s="2">
        <v>44994</v>
      </c>
      <c r="K724" t="s">
        <v>370</v>
      </c>
    </row>
    <row r="725" spans="1:11" x14ac:dyDescent="0.3">
      <c r="A725" t="s">
        <v>66</v>
      </c>
      <c r="B725" t="s">
        <v>11</v>
      </c>
      <c r="C725" t="s">
        <v>21</v>
      </c>
      <c r="D725">
        <v>19</v>
      </c>
      <c r="E725" t="s">
        <v>26</v>
      </c>
      <c r="F725" t="s">
        <v>27</v>
      </c>
      <c r="G725">
        <v>200</v>
      </c>
      <c r="H725">
        <v>3</v>
      </c>
      <c r="I725">
        <v>600</v>
      </c>
      <c r="J725" s="2">
        <v>45248</v>
      </c>
      <c r="K725" t="s">
        <v>370</v>
      </c>
    </row>
    <row r="726" spans="1:11" x14ac:dyDescent="0.3">
      <c r="A726" t="s">
        <v>23</v>
      </c>
      <c r="B726" t="s">
        <v>11</v>
      </c>
      <c r="C726" t="s">
        <v>16</v>
      </c>
      <c r="D726">
        <v>65</v>
      </c>
      <c r="E726" t="s">
        <v>32</v>
      </c>
      <c r="F726" t="s">
        <v>18</v>
      </c>
      <c r="G726">
        <v>30</v>
      </c>
      <c r="H726">
        <v>5</v>
      </c>
      <c r="I726">
        <v>150</v>
      </c>
      <c r="J726" s="2">
        <v>45169</v>
      </c>
      <c r="K726" t="s">
        <v>375</v>
      </c>
    </row>
    <row r="727" spans="1:11" x14ac:dyDescent="0.3">
      <c r="A727" t="s">
        <v>85</v>
      </c>
      <c r="B727" t="s">
        <v>20</v>
      </c>
      <c r="C727" t="s">
        <v>29</v>
      </c>
      <c r="D727">
        <v>36</v>
      </c>
      <c r="E727" t="s">
        <v>13</v>
      </c>
      <c r="F727" t="s">
        <v>14</v>
      </c>
      <c r="G727">
        <v>300</v>
      </c>
      <c r="H727">
        <v>4</v>
      </c>
      <c r="I727">
        <v>1200</v>
      </c>
      <c r="J727" s="2">
        <v>45155</v>
      </c>
      <c r="K727" t="s">
        <v>370</v>
      </c>
    </row>
    <row r="728" spans="1:11" x14ac:dyDescent="0.3">
      <c r="A728" t="s">
        <v>253</v>
      </c>
      <c r="B728" t="s">
        <v>11</v>
      </c>
      <c r="C728" t="s">
        <v>21</v>
      </c>
      <c r="D728">
        <v>51</v>
      </c>
      <c r="E728" t="s">
        <v>31</v>
      </c>
      <c r="F728" t="s">
        <v>18</v>
      </c>
      <c r="G728">
        <v>50</v>
      </c>
      <c r="H728">
        <v>5</v>
      </c>
      <c r="I728">
        <v>250</v>
      </c>
      <c r="J728" s="2">
        <v>45145</v>
      </c>
      <c r="K728" t="s">
        <v>373</v>
      </c>
    </row>
    <row r="729" spans="1:11" x14ac:dyDescent="0.3">
      <c r="A729" t="s">
        <v>298</v>
      </c>
      <c r="B729" t="s">
        <v>20</v>
      </c>
      <c r="C729" t="s">
        <v>29</v>
      </c>
      <c r="D729">
        <v>65</v>
      </c>
      <c r="E729" t="s">
        <v>31</v>
      </c>
      <c r="F729" t="s">
        <v>18</v>
      </c>
      <c r="G729">
        <v>50</v>
      </c>
      <c r="H729">
        <v>3</v>
      </c>
      <c r="I729">
        <v>150</v>
      </c>
      <c r="J729" s="2">
        <v>45247</v>
      </c>
      <c r="K729" t="s">
        <v>370</v>
      </c>
    </row>
    <row r="730" spans="1:11" x14ac:dyDescent="0.3">
      <c r="A730" t="s">
        <v>240</v>
      </c>
      <c r="B730" t="s">
        <v>20</v>
      </c>
      <c r="C730" t="s">
        <v>21</v>
      </c>
      <c r="D730">
        <v>58</v>
      </c>
      <c r="E730" t="s">
        <v>13</v>
      </c>
      <c r="F730" t="s">
        <v>14</v>
      </c>
      <c r="G730">
        <v>300</v>
      </c>
      <c r="H730">
        <v>4</v>
      </c>
      <c r="I730">
        <v>1200</v>
      </c>
      <c r="J730" s="2">
        <v>45016</v>
      </c>
      <c r="K730" t="s">
        <v>375</v>
      </c>
    </row>
    <row r="731" spans="1:11" x14ac:dyDescent="0.3">
      <c r="A731" t="s">
        <v>292</v>
      </c>
      <c r="B731" t="s">
        <v>20</v>
      </c>
      <c r="C731" t="s">
        <v>21</v>
      </c>
      <c r="D731">
        <v>22</v>
      </c>
      <c r="E731" t="s">
        <v>17</v>
      </c>
      <c r="F731" t="s">
        <v>18</v>
      </c>
      <c r="G731">
        <v>100</v>
      </c>
      <c r="H731">
        <v>3</v>
      </c>
      <c r="I731">
        <v>300</v>
      </c>
      <c r="J731" s="2">
        <v>45127</v>
      </c>
      <c r="K731" t="s">
        <v>381</v>
      </c>
    </row>
    <row r="732" spans="1:11" x14ac:dyDescent="0.3">
      <c r="A732" t="s">
        <v>172</v>
      </c>
      <c r="B732" t="s">
        <v>11</v>
      </c>
      <c r="C732" t="s">
        <v>12</v>
      </c>
      <c r="D732">
        <v>57</v>
      </c>
      <c r="E732" t="s">
        <v>32</v>
      </c>
      <c r="F732" t="s">
        <v>18</v>
      </c>
      <c r="G732">
        <v>30</v>
      </c>
      <c r="H732">
        <v>4</v>
      </c>
      <c r="I732">
        <v>120</v>
      </c>
      <c r="J732" s="2">
        <v>45089</v>
      </c>
      <c r="K732" t="s">
        <v>381</v>
      </c>
    </row>
    <row r="733" spans="1:11" x14ac:dyDescent="0.3">
      <c r="A733" t="s">
        <v>291</v>
      </c>
      <c r="B733" t="s">
        <v>20</v>
      </c>
      <c r="C733" t="s">
        <v>21</v>
      </c>
      <c r="D733">
        <v>67</v>
      </c>
      <c r="E733" t="s">
        <v>17</v>
      </c>
      <c r="F733" t="s">
        <v>18</v>
      </c>
      <c r="G733">
        <v>100</v>
      </c>
      <c r="H733">
        <v>5</v>
      </c>
      <c r="I733">
        <v>500</v>
      </c>
      <c r="J733" s="2">
        <v>45085</v>
      </c>
      <c r="K733" t="s">
        <v>373</v>
      </c>
    </row>
    <row r="734" spans="1:11" x14ac:dyDescent="0.3">
      <c r="A734" t="s">
        <v>274</v>
      </c>
      <c r="B734" t="s">
        <v>11</v>
      </c>
      <c r="C734" t="s">
        <v>12</v>
      </c>
      <c r="E734" t="s">
        <v>17</v>
      </c>
      <c r="F734" t="s">
        <v>18</v>
      </c>
      <c r="G734">
        <v>100</v>
      </c>
      <c r="H734">
        <v>4</v>
      </c>
      <c r="I734">
        <v>400</v>
      </c>
      <c r="J734" s="2">
        <v>45268</v>
      </c>
      <c r="K734" t="s">
        <v>375</v>
      </c>
    </row>
    <row r="735" spans="1:11" x14ac:dyDescent="0.3">
      <c r="A735" t="s">
        <v>299</v>
      </c>
      <c r="B735" t="s">
        <v>20</v>
      </c>
      <c r="D735">
        <v>44</v>
      </c>
      <c r="E735" t="s">
        <v>24</v>
      </c>
      <c r="F735" t="s">
        <v>14</v>
      </c>
      <c r="G735">
        <v>1500</v>
      </c>
      <c r="H735">
        <v>5</v>
      </c>
      <c r="I735">
        <v>7500</v>
      </c>
      <c r="J735" s="2">
        <v>45237</v>
      </c>
      <c r="K735" t="s">
        <v>381</v>
      </c>
    </row>
    <row r="736" spans="1:11" x14ac:dyDescent="0.3">
      <c r="A736" t="s">
        <v>37</v>
      </c>
      <c r="B736" t="s">
        <v>11</v>
      </c>
      <c r="C736" t="s">
        <v>29</v>
      </c>
      <c r="D736">
        <v>60</v>
      </c>
      <c r="E736" t="s">
        <v>26</v>
      </c>
      <c r="F736" t="s">
        <v>27</v>
      </c>
      <c r="G736">
        <v>200</v>
      </c>
      <c r="H736">
        <v>1</v>
      </c>
      <c r="I736">
        <v>200</v>
      </c>
      <c r="J736" s="2">
        <v>45262</v>
      </c>
      <c r="K736" t="s">
        <v>381</v>
      </c>
    </row>
    <row r="737" spans="1:11" x14ac:dyDescent="0.3">
      <c r="A737" t="s">
        <v>189</v>
      </c>
      <c r="B737" t="s">
        <v>20</v>
      </c>
      <c r="C737" t="s">
        <v>16</v>
      </c>
      <c r="D737">
        <v>48</v>
      </c>
      <c r="E737" t="s">
        <v>31</v>
      </c>
      <c r="F737" t="s">
        <v>18</v>
      </c>
      <c r="G737">
        <v>50</v>
      </c>
      <c r="H737">
        <v>3</v>
      </c>
      <c r="I737">
        <v>150</v>
      </c>
      <c r="J737" s="2">
        <v>45230</v>
      </c>
      <c r="K737" t="s">
        <v>370</v>
      </c>
    </row>
    <row r="738" spans="1:11" x14ac:dyDescent="0.3">
      <c r="A738" t="s">
        <v>279</v>
      </c>
      <c r="B738" t="s">
        <v>20</v>
      </c>
      <c r="C738" t="s">
        <v>21</v>
      </c>
      <c r="D738">
        <v>29</v>
      </c>
      <c r="E738" t="s">
        <v>13</v>
      </c>
      <c r="F738" t="s">
        <v>14</v>
      </c>
      <c r="G738">
        <v>300</v>
      </c>
      <c r="H738">
        <v>5</v>
      </c>
      <c r="I738">
        <v>1500</v>
      </c>
      <c r="J738" s="2">
        <v>45175</v>
      </c>
      <c r="K738" t="s">
        <v>381</v>
      </c>
    </row>
    <row r="739" spans="1:11" x14ac:dyDescent="0.3">
      <c r="A739" t="s">
        <v>140</v>
      </c>
      <c r="B739" t="s">
        <v>20</v>
      </c>
      <c r="C739" t="s">
        <v>21</v>
      </c>
      <c r="E739" t="s">
        <v>31</v>
      </c>
      <c r="F739" t="s">
        <v>18</v>
      </c>
      <c r="G739">
        <v>50</v>
      </c>
      <c r="H739">
        <v>3</v>
      </c>
      <c r="I739">
        <v>150</v>
      </c>
      <c r="J739" s="2">
        <v>44990</v>
      </c>
      <c r="K739" t="s">
        <v>373</v>
      </c>
    </row>
    <row r="740" spans="1:11" x14ac:dyDescent="0.3">
      <c r="A740" t="s">
        <v>300</v>
      </c>
      <c r="B740" t="s">
        <v>20</v>
      </c>
      <c r="C740" t="s">
        <v>21</v>
      </c>
      <c r="D740">
        <v>35</v>
      </c>
      <c r="E740" t="s">
        <v>42</v>
      </c>
      <c r="F740" t="s">
        <v>14</v>
      </c>
      <c r="G740">
        <v>800</v>
      </c>
      <c r="H740">
        <v>1</v>
      </c>
      <c r="I740">
        <v>800</v>
      </c>
      <c r="J740" s="2">
        <v>45053</v>
      </c>
      <c r="K740" t="s">
        <v>381</v>
      </c>
    </row>
    <row r="741" spans="1:11" x14ac:dyDescent="0.3">
      <c r="A741" t="s">
        <v>299</v>
      </c>
      <c r="B741" t="s">
        <v>11</v>
      </c>
      <c r="C741" t="s">
        <v>29</v>
      </c>
      <c r="D741">
        <v>44</v>
      </c>
      <c r="E741" t="s">
        <v>32</v>
      </c>
      <c r="F741" t="s">
        <v>18</v>
      </c>
      <c r="G741">
        <v>30</v>
      </c>
      <c r="H741">
        <v>3</v>
      </c>
      <c r="I741">
        <v>90</v>
      </c>
      <c r="J741" s="2">
        <v>45219</v>
      </c>
      <c r="K741" t="s">
        <v>373</v>
      </c>
    </row>
    <row r="742" spans="1:11" x14ac:dyDescent="0.3">
      <c r="A742" t="s">
        <v>254</v>
      </c>
      <c r="B742" t="s">
        <v>20</v>
      </c>
      <c r="C742" t="s">
        <v>21</v>
      </c>
      <c r="D742">
        <v>55</v>
      </c>
      <c r="E742" t="s">
        <v>26</v>
      </c>
      <c r="F742" t="s">
        <v>27</v>
      </c>
      <c r="G742">
        <v>200</v>
      </c>
      <c r="H742">
        <v>4</v>
      </c>
      <c r="I742">
        <v>800</v>
      </c>
      <c r="J742" s="2">
        <v>45001</v>
      </c>
      <c r="K742" t="s">
        <v>373</v>
      </c>
    </row>
    <row r="743" spans="1:11" x14ac:dyDescent="0.3">
      <c r="A743" t="s">
        <v>232</v>
      </c>
      <c r="B743" t="s">
        <v>20</v>
      </c>
      <c r="C743" t="s">
        <v>16</v>
      </c>
      <c r="D743">
        <v>42</v>
      </c>
      <c r="E743" t="s">
        <v>31</v>
      </c>
      <c r="F743" t="s">
        <v>18</v>
      </c>
      <c r="G743">
        <v>50</v>
      </c>
      <c r="H743">
        <v>1</v>
      </c>
      <c r="I743">
        <v>50</v>
      </c>
      <c r="J743" s="2">
        <v>45120</v>
      </c>
      <c r="K743" t="s">
        <v>370</v>
      </c>
    </row>
    <row r="744" spans="1:11" x14ac:dyDescent="0.3">
      <c r="A744" t="s">
        <v>30</v>
      </c>
      <c r="B744" t="s">
        <v>20</v>
      </c>
      <c r="C744" t="s">
        <v>12</v>
      </c>
      <c r="D744">
        <v>18</v>
      </c>
      <c r="E744" t="s">
        <v>24</v>
      </c>
      <c r="F744" t="s">
        <v>14</v>
      </c>
      <c r="G744">
        <v>1500</v>
      </c>
      <c r="H744">
        <v>1</v>
      </c>
      <c r="I744">
        <v>1500</v>
      </c>
      <c r="J744" s="2">
        <v>44947</v>
      </c>
      <c r="K744" t="s">
        <v>375</v>
      </c>
    </row>
    <row r="745" spans="1:11" x14ac:dyDescent="0.3">
      <c r="A745" t="s">
        <v>107</v>
      </c>
      <c r="B745" t="s">
        <v>11</v>
      </c>
      <c r="C745" t="s">
        <v>16</v>
      </c>
      <c r="D745">
        <v>18</v>
      </c>
      <c r="E745" t="s">
        <v>24</v>
      </c>
      <c r="F745" t="s">
        <v>14</v>
      </c>
      <c r="G745">
        <v>1500</v>
      </c>
      <c r="H745">
        <v>3</v>
      </c>
      <c r="I745">
        <v>4500</v>
      </c>
      <c r="J745" s="2">
        <v>45157</v>
      </c>
      <c r="K745" t="s">
        <v>373</v>
      </c>
    </row>
    <row r="746" spans="1:11" x14ac:dyDescent="0.3">
      <c r="A746" t="s">
        <v>140</v>
      </c>
      <c r="B746" t="s">
        <v>20</v>
      </c>
      <c r="C746" t="s">
        <v>12</v>
      </c>
      <c r="D746">
        <v>44</v>
      </c>
      <c r="E746" t="s">
        <v>13</v>
      </c>
      <c r="F746" t="s">
        <v>14</v>
      </c>
      <c r="G746">
        <v>300</v>
      </c>
      <c r="H746">
        <v>2</v>
      </c>
      <c r="I746">
        <v>600</v>
      </c>
      <c r="J746" s="2">
        <v>45199</v>
      </c>
      <c r="K746" t="s">
        <v>381</v>
      </c>
    </row>
    <row r="747" spans="1:11" x14ac:dyDescent="0.3">
      <c r="A747" t="s">
        <v>286</v>
      </c>
      <c r="B747" t="s">
        <v>20</v>
      </c>
      <c r="C747" t="s">
        <v>21</v>
      </c>
      <c r="E747" t="s">
        <v>26</v>
      </c>
      <c r="F747" t="s">
        <v>27</v>
      </c>
      <c r="G747">
        <v>200</v>
      </c>
      <c r="H747">
        <v>5</v>
      </c>
      <c r="I747">
        <v>1000</v>
      </c>
      <c r="J747" s="2">
        <v>45230</v>
      </c>
      <c r="K747" t="s">
        <v>381</v>
      </c>
    </row>
    <row r="748" spans="1:11" x14ac:dyDescent="0.3">
      <c r="A748" t="s">
        <v>105</v>
      </c>
      <c r="B748" t="s">
        <v>11</v>
      </c>
      <c r="C748" t="s">
        <v>16</v>
      </c>
      <c r="D748">
        <v>63</v>
      </c>
      <c r="E748" t="s">
        <v>31</v>
      </c>
      <c r="F748" t="s">
        <v>18</v>
      </c>
      <c r="G748">
        <v>50</v>
      </c>
      <c r="H748">
        <v>2</v>
      </c>
      <c r="I748">
        <v>100</v>
      </c>
      <c r="J748" s="2">
        <v>45006</v>
      </c>
      <c r="K748" t="s">
        <v>373</v>
      </c>
    </row>
    <row r="749" spans="1:11" x14ac:dyDescent="0.3">
      <c r="A749" t="s">
        <v>258</v>
      </c>
      <c r="B749" t="s">
        <v>20</v>
      </c>
      <c r="C749" t="s">
        <v>29</v>
      </c>
      <c r="D749">
        <v>36</v>
      </c>
      <c r="E749" t="s">
        <v>31</v>
      </c>
      <c r="F749" t="s">
        <v>18</v>
      </c>
      <c r="G749">
        <v>50</v>
      </c>
      <c r="H749">
        <v>4</v>
      </c>
      <c r="I749">
        <v>200</v>
      </c>
      <c r="J749" s="2">
        <v>45116</v>
      </c>
      <c r="K749" t="s">
        <v>381</v>
      </c>
    </row>
    <row r="750" spans="1:11" x14ac:dyDescent="0.3">
      <c r="A750" t="s">
        <v>110</v>
      </c>
      <c r="B750" t="s">
        <v>11</v>
      </c>
      <c r="C750" t="s">
        <v>16</v>
      </c>
      <c r="D750">
        <v>25</v>
      </c>
      <c r="E750" t="s">
        <v>31</v>
      </c>
      <c r="F750" t="s">
        <v>18</v>
      </c>
      <c r="G750">
        <v>50</v>
      </c>
      <c r="H750">
        <v>1</v>
      </c>
      <c r="I750">
        <v>50</v>
      </c>
      <c r="J750" s="2">
        <v>45267</v>
      </c>
      <c r="K750" t="s">
        <v>370</v>
      </c>
    </row>
    <row r="751" spans="1:11" x14ac:dyDescent="0.3">
      <c r="A751" t="s">
        <v>56</v>
      </c>
      <c r="B751" t="s">
        <v>20</v>
      </c>
      <c r="C751" t="s">
        <v>12</v>
      </c>
      <c r="E751" t="s">
        <v>17</v>
      </c>
      <c r="F751" t="s">
        <v>18</v>
      </c>
      <c r="G751">
        <v>100</v>
      </c>
      <c r="H751">
        <v>5</v>
      </c>
      <c r="I751">
        <v>500</v>
      </c>
      <c r="J751" s="2">
        <v>45079</v>
      </c>
      <c r="K751" t="s">
        <v>381</v>
      </c>
    </row>
    <row r="752" spans="1:11" x14ac:dyDescent="0.3">
      <c r="A752" t="s">
        <v>34</v>
      </c>
      <c r="B752" t="s">
        <v>11</v>
      </c>
      <c r="C752" t="s">
        <v>16</v>
      </c>
      <c r="D752">
        <v>49</v>
      </c>
      <c r="E752" t="s">
        <v>42</v>
      </c>
      <c r="F752" t="s">
        <v>14</v>
      </c>
      <c r="G752">
        <v>800</v>
      </c>
      <c r="H752">
        <v>1</v>
      </c>
      <c r="I752">
        <v>800</v>
      </c>
      <c r="J752" s="2">
        <v>45076</v>
      </c>
      <c r="K752" t="s">
        <v>370</v>
      </c>
    </row>
    <row r="753" spans="1:11" x14ac:dyDescent="0.3">
      <c r="A753" t="s">
        <v>54</v>
      </c>
      <c r="B753" t="s">
        <v>11</v>
      </c>
      <c r="D753">
        <v>57</v>
      </c>
      <c r="E753" t="s">
        <v>42</v>
      </c>
      <c r="F753" t="s">
        <v>14</v>
      </c>
      <c r="G753">
        <v>800</v>
      </c>
      <c r="H753">
        <v>2</v>
      </c>
      <c r="I753">
        <v>1600</v>
      </c>
      <c r="J753" s="2">
        <v>45078</v>
      </c>
      <c r="K753" t="s">
        <v>373</v>
      </c>
    </row>
    <row r="754" spans="1:11" x14ac:dyDescent="0.3">
      <c r="A754" t="s">
        <v>38</v>
      </c>
      <c r="B754" t="s">
        <v>20</v>
      </c>
      <c r="C754" t="s">
        <v>21</v>
      </c>
      <c r="D754">
        <v>66</v>
      </c>
      <c r="E754" t="s">
        <v>24</v>
      </c>
      <c r="F754" t="s">
        <v>14</v>
      </c>
      <c r="G754">
        <v>1500</v>
      </c>
      <c r="H754">
        <v>3</v>
      </c>
      <c r="I754">
        <v>4500</v>
      </c>
      <c r="J754" s="2">
        <v>45261</v>
      </c>
      <c r="K754" t="s">
        <v>373</v>
      </c>
    </row>
    <row r="755" spans="1:11" x14ac:dyDescent="0.3">
      <c r="A755" t="s">
        <v>34</v>
      </c>
      <c r="B755" t="s">
        <v>20</v>
      </c>
      <c r="C755" t="s">
        <v>12</v>
      </c>
      <c r="D755">
        <v>49</v>
      </c>
      <c r="E755" t="s">
        <v>26</v>
      </c>
      <c r="F755" t="s">
        <v>27</v>
      </c>
      <c r="G755">
        <v>200</v>
      </c>
      <c r="H755">
        <v>3</v>
      </c>
      <c r="I755">
        <v>600</v>
      </c>
      <c r="J755" s="2">
        <v>45222</v>
      </c>
      <c r="K755" t="s">
        <v>373</v>
      </c>
    </row>
    <row r="756" spans="1:11" x14ac:dyDescent="0.3">
      <c r="A756" t="s">
        <v>301</v>
      </c>
      <c r="B756" t="s">
        <v>20</v>
      </c>
      <c r="C756" t="s">
        <v>29</v>
      </c>
      <c r="D756">
        <v>40</v>
      </c>
      <c r="E756" t="s">
        <v>31</v>
      </c>
      <c r="F756" t="s">
        <v>18</v>
      </c>
      <c r="G756">
        <v>50</v>
      </c>
      <c r="H756">
        <v>4</v>
      </c>
      <c r="I756">
        <v>200</v>
      </c>
      <c r="J756" s="2">
        <v>45094</v>
      </c>
      <c r="K756" t="s">
        <v>370</v>
      </c>
    </row>
    <row r="757" spans="1:11" x14ac:dyDescent="0.3">
      <c r="A757" t="s">
        <v>293</v>
      </c>
      <c r="B757" t="s">
        <v>20</v>
      </c>
      <c r="C757" t="s">
        <v>29</v>
      </c>
      <c r="D757">
        <v>53</v>
      </c>
      <c r="E757" t="s">
        <v>26</v>
      </c>
      <c r="F757" t="s">
        <v>27</v>
      </c>
      <c r="G757">
        <v>200</v>
      </c>
      <c r="H757">
        <v>4</v>
      </c>
      <c r="I757">
        <v>800</v>
      </c>
      <c r="J757" s="2">
        <v>45235</v>
      </c>
      <c r="K757" t="s">
        <v>381</v>
      </c>
    </row>
    <row r="758" spans="1:11" x14ac:dyDescent="0.3">
      <c r="A758" t="s">
        <v>136</v>
      </c>
      <c r="B758" t="s">
        <v>20</v>
      </c>
      <c r="C758" t="s">
        <v>16</v>
      </c>
      <c r="D758">
        <v>46</v>
      </c>
      <c r="E758" t="s">
        <v>24</v>
      </c>
      <c r="F758" t="s">
        <v>14</v>
      </c>
      <c r="G758">
        <v>3109.5606124866499</v>
      </c>
      <c r="H758">
        <v>2</v>
      </c>
      <c r="I758">
        <v>3000</v>
      </c>
      <c r="J758" s="2">
        <v>45268</v>
      </c>
      <c r="K758" t="s">
        <v>370</v>
      </c>
    </row>
    <row r="759" spans="1:11" x14ac:dyDescent="0.3">
      <c r="A759" t="s">
        <v>289</v>
      </c>
      <c r="B759" t="s">
        <v>20</v>
      </c>
      <c r="C759" t="s">
        <v>21</v>
      </c>
      <c r="D759">
        <v>20</v>
      </c>
      <c r="E759" t="s">
        <v>31</v>
      </c>
      <c r="F759" t="s">
        <v>18</v>
      </c>
      <c r="G759">
        <v>50</v>
      </c>
      <c r="H759">
        <v>3</v>
      </c>
      <c r="I759">
        <v>150</v>
      </c>
      <c r="J759" s="2">
        <v>45185</v>
      </c>
      <c r="K759" t="s">
        <v>381</v>
      </c>
    </row>
    <row r="760" spans="1:11" x14ac:dyDescent="0.3">
      <c r="A760" t="s">
        <v>182</v>
      </c>
      <c r="B760" t="s">
        <v>20</v>
      </c>
      <c r="C760" t="s">
        <v>21</v>
      </c>
      <c r="D760">
        <v>55</v>
      </c>
      <c r="E760" t="s">
        <v>32</v>
      </c>
      <c r="F760" t="s">
        <v>18</v>
      </c>
      <c r="G760">
        <v>30</v>
      </c>
      <c r="H760">
        <v>3</v>
      </c>
      <c r="I760">
        <v>90</v>
      </c>
      <c r="J760" s="2">
        <v>45178</v>
      </c>
      <c r="K760" t="s">
        <v>381</v>
      </c>
    </row>
    <row r="761" spans="1:11" x14ac:dyDescent="0.3">
      <c r="A761" t="s">
        <v>110</v>
      </c>
      <c r="B761" t="s">
        <v>20</v>
      </c>
      <c r="C761" t="s">
        <v>16</v>
      </c>
      <c r="D761">
        <v>25</v>
      </c>
      <c r="E761" t="s">
        <v>42</v>
      </c>
      <c r="F761" t="s">
        <v>14</v>
      </c>
      <c r="G761">
        <v>800</v>
      </c>
      <c r="H761">
        <v>1</v>
      </c>
      <c r="I761">
        <v>800</v>
      </c>
      <c r="J761" s="2">
        <v>44994</v>
      </c>
      <c r="K761" t="s">
        <v>370</v>
      </c>
    </row>
    <row r="762" spans="1:11" x14ac:dyDescent="0.3">
      <c r="A762" t="s">
        <v>302</v>
      </c>
      <c r="B762" t="s">
        <v>20</v>
      </c>
      <c r="D762">
        <v>41</v>
      </c>
      <c r="E762" t="s">
        <v>24</v>
      </c>
      <c r="F762" t="s">
        <v>14</v>
      </c>
      <c r="G762">
        <v>1500</v>
      </c>
      <c r="H762">
        <v>4</v>
      </c>
      <c r="I762">
        <v>6000</v>
      </c>
      <c r="J762" s="2">
        <v>45139</v>
      </c>
      <c r="K762" t="s">
        <v>375</v>
      </c>
    </row>
    <row r="763" spans="1:11" x14ac:dyDescent="0.3">
      <c r="A763" t="s">
        <v>296</v>
      </c>
      <c r="B763" t="s">
        <v>20</v>
      </c>
      <c r="C763" t="s">
        <v>12</v>
      </c>
      <c r="E763" t="s">
        <v>17</v>
      </c>
      <c r="F763" t="s">
        <v>18</v>
      </c>
      <c r="G763">
        <v>100</v>
      </c>
      <c r="H763">
        <v>2</v>
      </c>
      <c r="I763">
        <v>200</v>
      </c>
      <c r="J763" s="2">
        <v>45054</v>
      </c>
      <c r="K763" t="s">
        <v>373</v>
      </c>
    </row>
    <row r="764" spans="1:11" x14ac:dyDescent="0.3">
      <c r="A764" t="s">
        <v>72</v>
      </c>
      <c r="B764" t="s">
        <v>20</v>
      </c>
      <c r="C764" t="s">
        <v>16</v>
      </c>
      <c r="D764">
        <v>23</v>
      </c>
      <c r="E764" t="s">
        <v>24</v>
      </c>
      <c r="F764" t="s">
        <v>14</v>
      </c>
      <c r="G764">
        <v>1500</v>
      </c>
      <c r="H764">
        <v>5</v>
      </c>
      <c r="I764">
        <v>7500</v>
      </c>
      <c r="J764" s="2">
        <v>45281</v>
      </c>
      <c r="K764" t="s">
        <v>381</v>
      </c>
    </row>
    <row r="765" spans="1:11" x14ac:dyDescent="0.3">
      <c r="A765" t="s">
        <v>198</v>
      </c>
      <c r="B765" t="s">
        <v>11</v>
      </c>
      <c r="C765" t="s">
        <v>16</v>
      </c>
      <c r="D765">
        <v>66</v>
      </c>
      <c r="E765" t="s">
        <v>13</v>
      </c>
      <c r="F765" t="s">
        <v>14</v>
      </c>
      <c r="G765">
        <v>300</v>
      </c>
      <c r="H765">
        <v>1</v>
      </c>
      <c r="I765">
        <v>300</v>
      </c>
      <c r="J765" s="2">
        <v>45268</v>
      </c>
      <c r="K765" t="s">
        <v>381</v>
      </c>
    </row>
    <row r="766" spans="1:11" x14ac:dyDescent="0.3">
      <c r="A766" t="s">
        <v>303</v>
      </c>
      <c r="B766" t="s">
        <v>20</v>
      </c>
      <c r="C766" t="s">
        <v>21</v>
      </c>
      <c r="D766">
        <v>60</v>
      </c>
      <c r="E766" t="s">
        <v>42</v>
      </c>
      <c r="F766" t="s">
        <v>14</v>
      </c>
      <c r="G766">
        <v>800</v>
      </c>
      <c r="H766">
        <v>4</v>
      </c>
      <c r="I766">
        <v>3200</v>
      </c>
      <c r="J766" s="2">
        <v>45106</v>
      </c>
      <c r="K766" t="s">
        <v>370</v>
      </c>
    </row>
    <row r="767" spans="1:11" x14ac:dyDescent="0.3">
      <c r="A767" t="s">
        <v>178</v>
      </c>
      <c r="B767" t="s">
        <v>11</v>
      </c>
      <c r="C767" t="s">
        <v>21</v>
      </c>
      <c r="D767">
        <v>20</v>
      </c>
      <c r="E767" t="s">
        <v>13</v>
      </c>
      <c r="F767" t="s">
        <v>14</v>
      </c>
      <c r="G767">
        <v>300</v>
      </c>
      <c r="H767">
        <v>2</v>
      </c>
      <c r="I767">
        <v>600</v>
      </c>
      <c r="J767" s="2">
        <v>45193</v>
      </c>
      <c r="K767" t="s">
        <v>375</v>
      </c>
    </row>
    <row r="768" spans="1:11" x14ac:dyDescent="0.3">
      <c r="A768" t="s">
        <v>103</v>
      </c>
      <c r="B768" t="s">
        <v>20</v>
      </c>
      <c r="C768" t="s">
        <v>16</v>
      </c>
      <c r="D768">
        <v>51</v>
      </c>
      <c r="E768" t="s">
        <v>42</v>
      </c>
      <c r="F768" t="s">
        <v>14</v>
      </c>
      <c r="G768">
        <v>800</v>
      </c>
      <c r="H768">
        <v>3</v>
      </c>
      <c r="I768">
        <v>2400</v>
      </c>
      <c r="J768" s="2">
        <v>45068</v>
      </c>
      <c r="K768" t="s">
        <v>373</v>
      </c>
    </row>
    <row r="769" spans="1:11" x14ac:dyDescent="0.3">
      <c r="A769" t="s">
        <v>262</v>
      </c>
      <c r="B769" t="s">
        <v>20</v>
      </c>
      <c r="C769" t="s">
        <v>29</v>
      </c>
      <c r="D769">
        <v>35</v>
      </c>
      <c r="E769" t="s">
        <v>32</v>
      </c>
      <c r="F769" t="s">
        <v>18</v>
      </c>
      <c r="G769">
        <v>30</v>
      </c>
      <c r="H769">
        <v>3</v>
      </c>
      <c r="I769">
        <v>90</v>
      </c>
      <c r="J769" s="2">
        <v>45136</v>
      </c>
      <c r="K769" t="s">
        <v>375</v>
      </c>
    </row>
    <row r="770" spans="1:11" x14ac:dyDescent="0.3">
      <c r="A770" t="s">
        <v>301</v>
      </c>
      <c r="B770" t="s">
        <v>11</v>
      </c>
      <c r="C770" t="s">
        <v>16</v>
      </c>
      <c r="D770">
        <v>40</v>
      </c>
      <c r="E770" t="s">
        <v>31</v>
      </c>
      <c r="F770" t="s">
        <v>18</v>
      </c>
      <c r="G770">
        <v>50</v>
      </c>
      <c r="H770">
        <v>4</v>
      </c>
      <c r="I770">
        <v>200</v>
      </c>
      <c r="J770" s="2">
        <v>45218</v>
      </c>
      <c r="K770" t="s">
        <v>373</v>
      </c>
    </row>
    <row r="771" spans="1:11" x14ac:dyDescent="0.3">
      <c r="A771" t="s">
        <v>137</v>
      </c>
      <c r="B771" t="s">
        <v>11</v>
      </c>
      <c r="C771" t="s">
        <v>12</v>
      </c>
      <c r="D771">
        <v>54</v>
      </c>
      <c r="E771" t="s">
        <v>42</v>
      </c>
      <c r="F771" t="s">
        <v>14</v>
      </c>
      <c r="G771">
        <v>800</v>
      </c>
      <c r="H771">
        <v>5</v>
      </c>
      <c r="I771">
        <v>4000</v>
      </c>
      <c r="J771" s="2">
        <v>45171</v>
      </c>
      <c r="K771" t="s">
        <v>381</v>
      </c>
    </row>
    <row r="772" spans="1:11" x14ac:dyDescent="0.3">
      <c r="A772" t="s">
        <v>57</v>
      </c>
      <c r="B772" t="s">
        <v>20</v>
      </c>
      <c r="C772" t="s">
        <v>29</v>
      </c>
      <c r="D772">
        <v>58</v>
      </c>
      <c r="E772" t="s">
        <v>32</v>
      </c>
      <c r="F772" t="s">
        <v>18</v>
      </c>
      <c r="G772">
        <v>30</v>
      </c>
      <c r="H772">
        <v>4</v>
      </c>
      <c r="I772">
        <v>120</v>
      </c>
      <c r="J772" s="2">
        <v>45098</v>
      </c>
      <c r="K772" t="s">
        <v>381</v>
      </c>
    </row>
    <row r="773" spans="1:11" x14ac:dyDescent="0.3">
      <c r="A773" t="s">
        <v>304</v>
      </c>
      <c r="B773" t="s">
        <v>11</v>
      </c>
      <c r="C773" t="s">
        <v>21</v>
      </c>
      <c r="D773">
        <v>26</v>
      </c>
      <c r="E773" t="s">
        <v>31</v>
      </c>
      <c r="F773" t="s">
        <v>18</v>
      </c>
      <c r="G773">
        <v>50</v>
      </c>
      <c r="H773">
        <v>2</v>
      </c>
      <c r="I773">
        <v>100</v>
      </c>
      <c r="J773" s="2">
        <v>45090</v>
      </c>
      <c r="K773" t="s">
        <v>370</v>
      </c>
    </row>
    <row r="774" spans="1:11" x14ac:dyDescent="0.3">
      <c r="A774" t="s">
        <v>283</v>
      </c>
      <c r="B774" t="s">
        <v>20</v>
      </c>
      <c r="C774" t="s">
        <v>29</v>
      </c>
      <c r="D774">
        <v>43</v>
      </c>
      <c r="E774" t="s">
        <v>26</v>
      </c>
      <c r="F774" t="s">
        <v>27</v>
      </c>
      <c r="G774">
        <v>200</v>
      </c>
      <c r="H774">
        <v>1</v>
      </c>
      <c r="I774">
        <v>200</v>
      </c>
      <c r="J774" s="2">
        <v>45288</v>
      </c>
      <c r="K774" t="s">
        <v>370</v>
      </c>
    </row>
    <row r="775" spans="1:11" x14ac:dyDescent="0.3">
      <c r="A775" t="s">
        <v>219</v>
      </c>
      <c r="B775" t="s">
        <v>11</v>
      </c>
      <c r="C775" t="s">
        <v>29</v>
      </c>
      <c r="D775">
        <v>69</v>
      </c>
      <c r="E775" t="s">
        <v>24</v>
      </c>
      <c r="F775" t="s">
        <v>14</v>
      </c>
      <c r="G775">
        <v>1500</v>
      </c>
      <c r="H775">
        <v>3</v>
      </c>
      <c r="I775">
        <v>4500</v>
      </c>
      <c r="J775" s="2">
        <v>45113</v>
      </c>
      <c r="K775" t="s">
        <v>375</v>
      </c>
    </row>
    <row r="776" spans="1:11" x14ac:dyDescent="0.3">
      <c r="A776" t="s">
        <v>305</v>
      </c>
      <c r="B776" t="s">
        <v>11</v>
      </c>
      <c r="C776" t="s">
        <v>16</v>
      </c>
      <c r="D776">
        <v>61</v>
      </c>
      <c r="E776" t="s">
        <v>24</v>
      </c>
      <c r="F776" t="s">
        <v>14</v>
      </c>
      <c r="G776">
        <v>1500</v>
      </c>
      <c r="H776">
        <v>4</v>
      </c>
      <c r="I776">
        <v>6000</v>
      </c>
      <c r="J776" s="2">
        <v>45090</v>
      </c>
      <c r="K776" t="s">
        <v>375</v>
      </c>
    </row>
    <row r="777" spans="1:11" x14ac:dyDescent="0.3">
      <c r="A777" t="s">
        <v>65</v>
      </c>
      <c r="B777" t="s">
        <v>20</v>
      </c>
      <c r="C777" t="s">
        <v>16</v>
      </c>
      <c r="D777">
        <v>61</v>
      </c>
      <c r="E777" t="s">
        <v>17</v>
      </c>
      <c r="F777" t="s">
        <v>18</v>
      </c>
      <c r="G777">
        <v>100</v>
      </c>
      <c r="H777">
        <v>1</v>
      </c>
      <c r="I777">
        <v>100</v>
      </c>
      <c r="J777" s="2">
        <v>45005</v>
      </c>
      <c r="K777" t="s">
        <v>373</v>
      </c>
    </row>
    <row r="778" spans="1:11" x14ac:dyDescent="0.3">
      <c r="A778" t="s">
        <v>214</v>
      </c>
      <c r="B778" t="s">
        <v>20</v>
      </c>
      <c r="C778" t="s">
        <v>12</v>
      </c>
      <c r="D778">
        <v>67</v>
      </c>
      <c r="E778" t="s">
        <v>32</v>
      </c>
      <c r="F778" t="s">
        <v>18</v>
      </c>
      <c r="G778">
        <v>30</v>
      </c>
      <c r="H778">
        <v>4</v>
      </c>
      <c r="I778">
        <v>120</v>
      </c>
      <c r="J778" s="2">
        <v>44977</v>
      </c>
      <c r="K778" t="s">
        <v>370</v>
      </c>
    </row>
    <row r="779" spans="1:11" x14ac:dyDescent="0.3">
      <c r="A779" t="s">
        <v>67</v>
      </c>
      <c r="B779" t="s">
        <v>20</v>
      </c>
      <c r="C779" t="s">
        <v>16</v>
      </c>
      <c r="D779">
        <v>38</v>
      </c>
      <c r="E779" t="s">
        <v>13</v>
      </c>
      <c r="F779" t="s">
        <v>14</v>
      </c>
      <c r="G779">
        <v>300</v>
      </c>
      <c r="H779">
        <v>4</v>
      </c>
      <c r="I779">
        <v>1200</v>
      </c>
      <c r="J779" s="2">
        <v>45165</v>
      </c>
      <c r="K779" t="s">
        <v>381</v>
      </c>
    </row>
    <row r="780" spans="1:11" x14ac:dyDescent="0.3">
      <c r="A780" t="s">
        <v>256</v>
      </c>
      <c r="B780" t="s">
        <v>11</v>
      </c>
      <c r="C780" t="s">
        <v>12</v>
      </c>
      <c r="D780">
        <v>69</v>
      </c>
      <c r="E780" t="s">
        <v>31</v>
      </c>
      <c r="F780" t="s">
        <v>18</v>
      </c>
      <c r="G780">
        <v>50</v>
      </c>
      <c r="H780">
        <v>5</v>
      </c>
      <c r="I780">
        <v>250</v>
      </c>
      <c r="J780" s="2">
        <v>44960</v>
      </c>
      <c r="K780" t="s">
        <v>370</v>
      </c>
    </row>
    <row r="781" spans="1:11" x14ac:dyDescent="0.3">
      <c r="A781" t="s">
        <v>171</v>
      </c>
      <c r="B781" t="s">
        <v>11</v>
      </c>
      <c r="C781" t="s">
        <v>16</v>
      </c>
      <c r="D781">
        <v>51</v>
      </c>
      <c r="E781" t="s">
        <v>42</v>
      </c>
      <c r="F781" t="s">
        <v>14</v>
      </c>
      <c r="G781">
        <v>800</v>
      </c>
      <c r="H781">
        <v>5</v>
      </c>
      <c r="I781">
        <v>4000</v>
      </c>
      <c r="J781" s="2">
        <v>45196</v>
      </c>
      <c r="K781" t="s">
        <v>375</v>
      </c>
    </row>
    <row r="782" spans="1:11" x14ac:dyDescent="0.3">
      <c r="A782" t="s">
        <v>104</v>
      </c>
      <c r="B782" t="s">
        <v>11</v>
      </c>
      <c r="C782" t="s">
        <v>21</v>
      </c>
      <c r="D782">
        <v>30</v>
      </c>
      <c r="E782" t="s">
        <v>17</v>
      </c>
      <c r="F782" t="s">
        <v>18</v>
      </c>
      <c r="G782">
        <v>100</v>
      </c>
      <c r="H782">
        <v>2</v>
      </c>
      <c r="I782">
        <v>200</v>
      </c>
      <c r="J782" s="2">
        <v>45003</v>
      </c>
      <c r="K782" t="s">
        <v>370</v>
      </c>
    </row>
    <row r="783" spans="1:11" x14ac:dyDescent="0.3">
      <c r="A783" t="s">
        <v>83</v>
      </c>
      <c r="B783" t="s">
        <v>11</v>
      </c>
      <c r="C783" t="s">
        <v>29</v>
      </c>
      <c r="D783">
        <v>33</v>
      </c>
      <c r="E783" t="s">
        <v>24</v>
      </c>
      <c r="F783" t="s">
        <v>14</v>
      </c>
      <c r="G783">
        <v>1500</v>
      </c>
      <c r="H783">
        <v>2</v>
      </c>
      <c r="I783">
        <v>3000</v>
      </c>
      <c r="J783" s="2">
        <v>44943</v>
      </c>
      <c r="K783" t="s">
        <v>381</v>
      </c>
    </row>
    <row r="784" spans="1:11" x14ac:dyDescent="0.3">
      <c r="A784" t="s">
        <v>287</v>
      </c>
      <c r="B784" t="s">
        <v>20</v>
      </c>
      <c r="C784" t="s">
        <v>16</v>
      </c>
      <c r="D784">
        <v>44</v>
      </c>
      <c r="E784" t="s">
        <v>17</v>
      </c>
      <c r="F784" t="s">
        <v>18</v>
      </c>
      <c r="G784">
        <v>100</v>
      </c>
      <c r="H784">
        <v>4</v>
      </c>
      <c r="I784">
        <v>400</v>
      </c>
      <c r="J784" s="2">
        <v>45057</v>
      </c>
      <c r="K784" t="s">
        <v>370</v>
      </c>
    </row>
    <row r="785" spans="1:11" x14ac:dyDescent="0.3">
      <c r="A785" t="s">
        <v>38</v>
      </c>
      <c r="B785" t="s">
        <v>11</v>
      </c>
      <c r="C785" t="s">
        <v>21</v>
      </c>
      <c r="D785">
        <v>66</v>
      </c>
      <c r="E785" t="s">
        <v>31</v>
      </c>
      <c r="F785" t="s">
        <v>18</v>
      </c>
      <c r="G785">
        <v>50</v>
      </c>
      <c r="H785">
        <v>2</v>
      </c>
      <c r="I785">
        <v>100</v>
      </c>
      <c r="J785" s="2">
        <v>44995</v>
      </c>
      <c r="K785" t="s">
        <v>375</v>
      </c>
    </row>
    <row r="786" spans="1:11" x14ac:dyDescent="0.3">
      <c r="A786" t="s">
        <v>298</v>
      </c>
      <c r="B786" t="s">
        <v>20</v>
      </c>
      <c r="C786" t="s">
        <v>16</v>
      </c>
      <c r="D786">
        <v>65</v>
      </c>
      <c r="E786" t="s">
        <v>31</v>
      </c>
      <c r="F786" t="s">
        <v>18</v>
      </c>
      <c r="G786">
        <v>50</v>
      </c>
      <c r="H786">
        <v>1</v>
      </c>
      <c r="I786">
        <v>50</v>
      </c>
      <c r="J786" s="2">
        <v>45104</v>
      </c>
      <c r="K786" t="s">
        <v>381</v>
      </c>
    </row>
    <row r="787" spans="1:11" x14ac:dyDescent="0.3">
      <c r="A787" t="s">
        <v>284</v>
      </c>
      <c r="B787" t="s">
        <v>20</v>
      </c>
      <c r="C787" t="s">
        <v>12</v>
      </c>
      <c r="D787">
        <v>46</v>
      </c>
      <c r="E787" t="s">
        <v>32</v>
      </c>
      <c r="F787" t="s">
        <v>18</v>
      </c>
      <c r="G787">
        <v>30</v>
      </c>
      <c r="H787">
        <v>4</v>
      </c>
      <c r="I787">
        <v>120</v>
      </c>
      <c r="J787" s="2">
        <v>45237</v>
      </c>
      <c r="K787" t="s">
        <v>373</v>
      </c>
    </row>
    <row r="788" spans="1:11" x14ac:dyDescent="0.3">
      <c r="A788" t="s">
        <v>298</v>
      </c>
      <c r="B788" t="s">
        <v>11</v>
      </c>
      <c r="C788" t="s">
        <v>12</v>
      </c>
      <c r="D788">
        <v>65</v>
      </c>
      <c r="E788" t="s">
        <v>24</v>
      </c>
      <c r="F788" t="s">
        <v>14</v>
      </c>
      <c r="G788">
        <v>1500</v>
      </c>
      <c r="H788">
        <v>5</v>
      </c>
      <c r="I788">
        <v>7500</v>
      </c>
      <c r="J788" s="2">
        <v>45024</v>
      </c>
      <c r="K788" t="s">
        <v>373</v>
      </c>
    </row>
    <row r="789" spans="1:11" x14ac:dyDescent="0.3">
      <c r="A789" t="s">
        <v>73</v>
      </c>
      <c r="B789" t="s">
        <v>11</v>
      </c>
      <c r="C789" t="s">
        <v>12</v>
      </c>
      <c r="D789">
        <v>68</v>
      </c>
      <c r="E789" t="s">
        <v>24</v>
      </c>
      <c r="F789" t="s">
        <v>14</v>
      </c>
      <c r="G789">
        <v>1500</v>
      </c>
      <c r="H789">
        <v>2</v>
      </c>
      <c r="I789">
        <v>3000</v>
      </c>
      <c r="J789" s="2">
        <v>45226</v>
      </c>
      <c r="K789" t="s">
        <v>381</v>
      </c>
    </row>
    <row r="790" spans="1:11" x14ac:dyDescent="0.3">
      <c r="A790" t="s">
        <v>118</v>
      </c>
      <c r="B790" t="s">
        <v>20</v>
      </c>
      <c r="C790" t="s">
        <v>29</v>
      </c>
      <c r="D790">
        <v>20</v>
      </c>
      <c r="E790" t="s">
        <v>24</v>
      </c>
      <c r="F790" t="s">
        <v>14</v>
      </c>
      <c r="G790">
        <v>1500</v>
      </c>
      <c r="H790">
        <v>5</v>
      </c>
      <c r="I790">
        <v>7500</v>
      </c>
      <c r="J790" s="2">
        <v>44958</v>
      </c>
      <c r="K790" t="s">
        <v>381</v>
      </c>
    </row>
    <row r="791" spans="1:11" x14ac:dyDescent="0.3">
      <c r="A791" t="s">
        <v>167</v>
      </c>
      <c r="B791" t="s">
        <v>11</v>
      </c>
      <c r="C791" t="s">
        <v>12</v>
      </c>
      <c r="D791">
        <v>66</v>
      </c>
      <c r="E791" t="s">
        <v>42</v>
      </c>
      <c r="F791" t="s">
        <v>14</v>
      </c>
      <c r="G791">
        <v>800</v>
      </c>
      <c r="H791">
        <v>4</v>
      </c>
      <c r="I791">
        <v>3200</v>
      </c>
      <c r="J791" s="2">
        <v>45073</v>
      </c>
      <c r="K791" t="s">
        <v>381</v>
      </c>
    </row>
    <row r="792" spans="1:11" x14ac:dyDescent="0.3">
      <c r="A792" t="s">
        <v>75</v>
      </c>
      <c r="B792" t="s">
        <v>11</v>
      </c>
      <c r="C792" t="s">
        <v>21</v>
      </c>
      <c r="E792" t="s">
        <v>31</v>
      </c>
      <c r="F792" t="s">
        <v>18</v>
      </c>
      <c r="G792">
        <v>50</v>
      </c>
      <c r="H792">
        <v>4</v>
      </c>
      <c r="I792">
        <v>200</v>
      </c>
      <c r="J792" s="2">
        <v>45200</v>
      </c>
      <c r="K792" t="s">
        <v>375</v>
      </c>
    </row>
    <row r="793" spans="1:11" x14ac:dyDescent="0.3">
      <c r="A793" t="s">
        <v>38</v>
      </c>
      <c r="B793" t="s">
        <v>11</v>
      </c>
      <c r="C793" t="s">
        <v>16</v>
      </c>
      <c r="D793">
        <v>66</v>
      </c>
      <c r="E793" t="s">
        <v>42</v>
      </c>
      <c r="F793" t="s">
        <v>14</v>
      </c>
      <c r="G793">
        <v>800</v>
      </c>
      <c r="H793">
        <v>3</v>
      </c>
      <c r="I793">
        <v>2400</v>
      </c>
      <c r="J793" s="2">
        <v>45051</v>
      </c>
      <c r="K793" t="s">
        <v>381</v>
      </c>
    </row>
    <row r="794" spans="1:11" x14ac:dyDescent="0.3">
      <c r="A794" t="s">
        <v>279</v>
      </c>
      <c r="B794" t="s">
        <v>20</v>
      </c>
      <c r="C794" t="s">
        <v>16</v>
      </c>
      <c r="D794">
        <v>29</v>
      </c>
      <c r="E794" t="s">
        <v>31</v>
      </c>
      <c r="F794" t="s">
        <v>18</v>
      </c>
      <c r="G794">
        <v>50</v>
      </c>
      <c r="H794">
        <v>4</v>
      </c>
      <c r="I794">
        <v>200</v>
      </c>
      <c r="J794" s="2">
        <v>45282</v>
      </c>
      <c r="K794" t="s">
        <v>375</v>
      </c>
    </row>
    <row r="795" spans="1:11" x14ac:dyDescent="0.3">
      <c r="A795" t="s">
        <v>186</v>
      </c>
      <c r="B795" t="s">
        <v>20</v>
      </c>
      <c r="C795" t="s">
        <v>29</v>
      </c>
      <c r="D795">
        <v>51</v>
      </c>
      <c r="E795" t="s">
        <v>17</v>
      </c>
      <c r="F795" t="s">
        <v>18</v>
      </c>
      <c r="G795">
        <v>100</v>
      </c>
      <c r="H795">
        <v>2</v>
      </c>
      <c r="I795">
        <v>200</v>
      </c>
      <c r="J795" s="2">
        <v>45090</v>
      </c>
      <c r="K795" t="s">
        <v>381</v>
      </c>
    </row>
    <row r="796" spans="1:11" x14ac:dyDescent="0.3">
      <c r="A796" t="s">
        <v>199</v>
      </c>
      <c r="B796" t="s">
        <v>11</v>
      </c>
      <c r="C796" t="s">
        <v>29</v>
      </c>
      <c r="D796">
        <v>45</v>
      </c>
      <c r="E796" t="s">
        <v>26</v>
      </c>
      <c r="F796" t="s">
        <v>27</v>
      </c>
      <c r="G796">
        <v>200</v>
      </c>
      <c r="H796">
        <v>4</v>
      </c>
      <c r="I796">
        <v>800</v>
      </c>
      <c r="J796" s="2">
        <v>44937</v>
      </c>
      <c r="K796" t="s">
        <v>375</v>
      </c>
    </row>
    <row r="797" spans="1:11" x14ac:dyDescent="0.3">
      <c r="A797" t="s">
        <v>208</v>
      </c>
      <c r="B797" t="s">
        <v>20</v>
      </c>
      <c r="C797" t="s">
        <v>12</v>
      </c>
      <c r="E797" t="s">
        <v>13</v>
      </c>
      <c r="F797" t="s">
        <v>14</v>
      </c>
      <c r="G797">
        <v>300</v>
      </c>
      <c r="H797">
        <v>1</v>
      </c>
      <c r="I797">
        <v>300</v>
      </c>
      <c r="J797" s="2">
        <v>44964</v>
      </c>
      <c r="K797" t="s">
        <v>375</v>
      </c>
    </row>
    <row r="798" spans="1:11" x14ac:dyDescent="0.3">
      <c r="A798" t="s">
        <v>264</v>
      </c>
      <c r="B798" t="s">
        <v>20</v>
      </c>
      <c r="D798">
        <v>40</v>
      </c>
      <c r="E798" t="s">
        <v>17</v>
      </c>
      <c r="F798" t="s">
        <v>18</v>
      </c>
      <c r="G798">
        <v>100</v>
      </c>
      <c r="H798">
        <v>2</v>
      </c>
      <c r="I798">
        <v>200</v>
      </c>
      <c r="J798" s="2">
        <v>45121</v>
      </c>
      <c r="K798" t="s">
        <v>370</v>
      </c>
    </row>
    <row r="799" spans="1:11" x14ac:dyDescent="0.3">
      <c r="A799" t="s">
        <v>128</v>
      </c>
      <c r="B799" t="s">
        <v>11</v>
      </c>
      <c r="C799" t="s">
        <v>29</v>
      </c>
      <c r="D799">
        <v>50</v>
      </c>
      <c r="E799" t="s">
        <v>32</v>
      </c>
      <c r="F799" t="s">
        <v>18</v>
      </c>
      <c r="G799">
        <v>30</v>
      </c>
      <c r="H799">
        <v>5</v>
      </c>
      <c r="I799">
        <v>150</v>
      </c>
      <c r="J799" s="2">
        <v>45023</v>
      </c>
      <c r="K799" t="s">
        <v>373</v>
      </c>
    </row>
    <row r="800" spans="1:11" x14ac:dyDescent="0.3">
      <c r="A800" t="s">
        <v>248</v>
      </c>
      <c r="B800" t="s">
        <v>11</v>
      </c>
      <c r="C800" t="s">
        <v>21</v>
      </c>
      <c r="D800">
        <v>54</v>
      </c>
      <c r="E800" t="s">
        <v>17</v>
      </c>
      <c r="F800" t="s">
        <v>18</v>
      </c>
      <c r="G800">
        <v>100</v>
      </c>
      <c r="H800">
        <v>1</v>
      </c>
      <c r="I800">
        <v>100</v>
      </c>
      <c r="J800" s="2">
        <v>45278</v>
      </c>
      <c r="K800" t="s">
        <v>381</v>
      </c>
    </row>
    <row r="801" spans="1:11" x14ac:dyDescent="0.3">
      <c r="A801" t="s">
        <v>151</v>
      </c>
      <c r="B801" t="s">
        <v>11</v>
      </c>
      <c r="C801" t="s">
        <v>16</v>
      </c>
      <c r="D801">
        <v>59</v>
      </c>
      <c r="E801" t="s">
        <v>32</v>
      </c>
      <c r="F801" t="s">
        <v>18</v>
      </c>
      <c r="G801">
        <v>30</v>
      </c>
      <c r="H801">
        <v>2</v>
      </c>
      <c r="I801">
        <v>60</v>
      </c>
      <c r="J801" s="2">
        <v>45247</v>
      </c>
      <c r="K801" t="s">
        <v>373</v>
      </c>
    </row>
    <row r="802" spans="1:11" x14ac:dyDescent="0.3">
      <c r="A802" t="s">
        <v>90</v>
      </c>
      <c r="B802" t="s">
        <v>20</v>
      </c>
      <c r="C802" t="s">
        <v>16</v>
      </c>
      <c r="D802">
        <v>50</v>
      </c>
      <c r="E802" t="s">
        <v>13</v>
      </c>
      <c r="F802" t="s">
        <v>14</v>
      </c>
      <c r="G802">
        <v>300</v>
      </c>
      <c r="H802">
        <v>1</v>
      </c>
      <c r="I802">
        <v>300</v>
      </c>
      <c r="J802" s="2">
        <v>45286</v>
      </c>
      <c r="K802" t="s">
        <v>373</v>
      </c>
    </row>
    <row r="803" spans="1:11" x14ac:dyDescent="0.3">
      <c r="A803" t="s">
        <v>293</v>
      </c>
      <c r="B803" t="s">
        <v>11</v>
      </c>
      <c r="C803" t="s">
        <v>29</v>
      </c>
      <c r="D803">
        <v>53</v>
      </c>
      <c r="E803" t="s">
        <v>17</v>
      </c>
      <c r="F803" t="s">
        <v>18</v>
      </c>
      <c r="G803">
        <v>100</v>
      </c>
      <c r="H803">
        <v>3</v>
      </c>
      <c r="I803">
        <v>300</v>
      </c>
      <c r="J803" s="2">
        <v>45264</v>
      </c>
      <c r="K803" t="s">
        <v>370</v>
      </c>
    </row>
    <row r="804" spans="1:11" x14ac:dyDescent="0.3">
      <c r="A804" t="s">
        <v>55</v>
      </c>
      <c r="B804" t="s">
        <v>11</v>
      </c>
      <c r="C804" t="s">
        <v>16</v>
      </c>
      <c r="D804">
        <v>55</v>
      </c>
      <c r="E804" t="s">
        <v>24</v>
      </c>
      <c r="F804" t="s">
        <v>14</v>
      </c>
      <c r="G804">
        <v>1500</v>
      </c>
      <c r="H804">
        <v>2</v>
      </c>
      <c r="I804">
        <v>3000</v>
      </c>
      <c r="J804" s="2">
        <v>45085</v>
      </c>
      <c r="K804" t="s">
        <v>373</v>
      </c>
    </row>
    <row r="805" spans="1:11" x14ac:dyDescent="0.3">
      <c r="A805" t="s">
        <v>270</v>
      </c>
      <c r="B805" t="s">
        <v>20</v>
      </c>
      <c r="D805">
        <v>43</v>
      </c>
      <c r="E805" t="s">
        <v>31</v>
      </c>
      <c r="F805" t="s">
        <v>18</v>
      </c>
      <c r="G805">
        <v>50</v>
      </c>
      <c r="H805">
        <v>4</v>
      </c>
      <c r="I805">
        <v>200</v>
      </c>
      <c r="J805" s="2">
        <v>45152</v>
      </c>
      <c r="K805" t="s">
        <v>373</v>
      </c>
    </row>
    <row r="806" spans="1:11" x14ac:dyDescent="0.3">
      <c r="A806" t="s">
        <v>96</v>
      </c>
      <c r="B806" t="s">
        <v>11</v>
      </c>
      <c r="C806" t="s">
        <v>12</v>
      </c>
      <c r="D806">
        <v>45</v>
      </c>
      <c r="E806" t="s">
        <v>13</v>
      </c>
      <c r="F806" t="s">
        <v>14</v>
      </c>
      <c r="G806">
        <v>300</v>
      </c>
      <c r="H806">
        <v>4</v>
      </c>
      <c r="I806">
        <v>1200</v>
      </c>
      <c r="J806" s="2">
        <v>45243</v>
      </c>
      <c r="K806" t="s">
        <v>381</v>
      </c>
    </row>
    <row r="807" spans="1:11" x14ac:dyDescent="0.3">
      <c r="A807" t="s">
        <v>43</v>
      </c>
      <c r="B807" t="s">
        <v>11</v>
      </c>
      <c r="C807" t="s">
        <v>16</v>
      </c>
      <c r="D807">
        <v>32</v>
      </c>
      <c r="E807" t="s">
        <v>13</v>
      </c>
      <c r="F807" t="s">
        <v>14</v>
      </c>
      <c r="G807">
        <v>300</v>
      </c>
      <c r="H807">
        <v>2</v>
      </c>
      <c r="I807">
        <v>600</v>
      </c>
      <c r="J807" s="2">
        <v>45216</v>
      </c>
      <c r="K807" t="s">
        <v>375</v>
      </c>
    </row>
    <row r="808" spans="1:11" x14ac:dyDescent="0.3">
      <c r="A808" t="s">
        <v>306</v>
      </c>
      <c r="B808" t="s">
        <v>20</v>
      </c>
      <c r="C808" t="s">
        <v>12</v>
      </c>
      <c r="D808">
        <v>35</v>
      </c>
      <c r="E808" t="s">
        <v>17</v>
      </c>
      <c r="F808" t="s">
        <v>18</v>
      </c>
      <c r="G808">
        <v>100</v>
      </c>
      <c r="H808">
        <v>4</v>
      </c>
      <c r="I808">
        <v>400</v>
      </c>
      <c r="J808" s="2">
        <v>45130</v>
      </c>
      <c r="K808" t="s">
        <v>381</v>
      </c>
    </row>
    <row r="809" spans="1:11" x14ac:dyDescent="0.3">
      <c r="A809" t="s">
        <v>83</v>
      </c>
      <c r="B809" t="s">
        <v>11</v>
      </c>
      <c r="C809" t="s">
        <v>16</v>
      </c>
      <c r="D809">
        <v>33</v>
      </c>
      <c r="E809" t="s">
        <v>42</v>
      </c>
      <c r="F809" t="s">
        <v>14</v>
      </c>
      <c r="G809">
        <v>800</v>
      </c>
      <c r="H809">
        <v>5</v>
      </c>
      <c r="I809">
        <v>4000</v>
      </c>
      <c r="J809" s="2">
        <v>45092</v>
      </c>
      <c r="K809" t="s">
        <v>381</v>
      </c>
    </row>
    <row r="810" spans="1:11" x14ac:dyDescent="0.3">
      <c r="A810" t="s">
        <v>85</v>
      </c>
      <c r="B810" t="s">
        <v>20</v>
      </c>
      <c r="C810" t="s">
        <v>29</v>
      </c>
      <c r="D810">
        <v>36</v>
      </c>
      <c r="E810" t="s">
        <v>32</v>
      </c>
      <c r="F810" t="s">
        <v>18</v>
      </c>
      <c r="G810">
        <v>30</v>
      </c>
      <c r="H810">
        <v>5</v>
      </c>
      <c r="I810">
        <v>150</v>
      </c>
      <c r="J810" s="2">
        <v>45125</v>
      </c>
      <c r="K810" t="s">
        <v>373</v>
      </c>
    </row>
    <row r="811" spans="1:11" x14ac:dyDescent="0.3">
      <c r="A811" t="s">
        <v>235</v>
      </c>
      <c r="B811" t="s">
        <v>20</v>
      </c>
      <c r="C811" t="s">
        <v>21</v>
      </c>
      <c r="D811">
        <v>38</v>
      </c>
      <c r="E811" t="s">
        <v>31</v>
      </c>
      <c r="F811" t="s">
        <v>18</v>
      </c>
      <c r="G811">
        <v>50</v>
      </c>
      <c r="H811">
        <v>5</v>
      </c>
      <c r="I811">
        <v>250</v>
      </c>
      <c r="J811" s="2">
        <v>45058</v>
      </c>
      <c r="K811" t="s">
        <v>373</v>
      </c>
    </row>
    <row r="812" spans="1:11" x14ac:dyDescent="0.3">
      <c r="A812" t="s">
        <v>251</v>
      </c>
      <c r="B812" t="s">
        <v>11</v>
      </c>
      <c r="C812" t="s">
        <v>12</v>
      </c>
      <c r="D812">
        <v>64</v>
      </c>
      <c r="E812" t="s">
        <v>24</v>
      </c>
      <c r="F812" t="s">
        <v>14</v>
      </c>
      <c r="G812">
        <v>1500</v>
      </c>
      <c r="H812">
        <v>4</v>
      </c>
      <c r="I812">
        <v>6000</v>
      </c>
      <c r="J812" s="2">
        <v>44976</v>
      </c>
      <c r="K812" t="s">
        <v>381</v>
      </c>
    </row>
    <row r="813" spans="1:11" x14ac:dyDescent="0.3">
      <c r="A813" t="s">
        <v>198</v>
      </c>
      <c r="B813" t="s">
        <v>11</v>
      </c>
      <c r="C813" t="s">
        <v>16</v>
      </c>
      <c r="D813">
        <v>66</v>
      </c>
      <c r="E813" t="s">
        <v>24</v>
      </c>
      <c r="F813" t="s">
        <v>14</v>
      </c>
      <c r="G813">
        <v>1500</v>
      </c>
      <c r="H813">
        <v>4</v>
      </c>
      <c r="I813">
        <v>6000</v>
      </c>
      <c r="J813" s="2">
        <v>45216</v>
      </c>
      <c r="K813" t="s">
        <v>381</v>
      </c>
    </row>
    <row r="814" spans="1:11" x14ac:dyDescent="0.3">
      <c r="A814" t="s">
        <v>178</v>
      </c>
      <c r="B814" t="s">
        <v>11</v>
      </c>
      <c r="C814" t="s">
        <v>21</v>
      </c>
      <c r="D814">
        <v>20</v>
      </c>
      <c r="E814" t="s">
        <v>32</v>
      </c>
      <c r="F814" t="s">
        <v>18</v>
      </c>
      <c r="G814">
        <v>30</v>
      </c>
      <c r="H814">
        <v>3</v>
      </c>
      <c r="I814">
        <v>90</v>
      </c>
      <c r="J814" s="2">
        <v>45199</v>
      </c>
      <c r="K814" t="s">
        <v>373</v>
      </c>
    </row>
    <row r="815" spans="1:11" x14ac:dyDescent="0.3">
      <c r="A815" t="s">
        <v>206</v>
      </c>
      <c r="B815" t="s">
        <v>20</v>
      </c>
      <c r="C815" t="s">
        <v>16</v>
      </c>
      <c r="D815">
        <v>69</v>
      </c>
      <c r="E815" t="s">
        <v>31</v>
      </c>
      <c r="F815" t="s">
        <v>18</v>
      </c>
      <c r="G815">
        <v>50</v>
      </c>
      <c r="H815">
        <v>4</v>
      </c>
      <c r="I815">
        <v>200</v>
      </c>
      <c r="J815" s="2">
        <v>45066</v>
      </c>
      <c r="K815" t="s">
        <v>375</v>
      </c>
    </row>
    <row r="816" spans="1:11" x14ac:dyDescent="0.3">
      <c r="A816" t="s">
        <v>249</v>
      </c>
      <c r="B816" t="s">
        <v>20</v>
      </c>
      <c r="C816" t="s">
        <v>29</v>
      </c>
      <c r="D816">
        <v>37</v>
      </c>
      <c r="E816" t="s">
        <v>26</v>
      </c>
      <c r="F816" t="s">
        <v>27</v>
      </c>
      <c r="G816">
        <v>200</v>
      </c>
      <c r="H816">
        <v>4</v>
      </c>
      <c r="I816">
        <v>800</v>
      </c>
      <c r="J816" s="2">
        <v>45043</v>
      </c>
      <c r="K816" t="s">
        <v>375</v>
      </c>
    </row>
    <row r="817" spans="1:11" x14ac:dyDescent="0.3">
      <c r="A817" t="s">
        <v>43</v>
      </c>
      <c r="B817" t="s">
        <v>11</v>
      </c>
      <c r="C817" t="s">
        <v>21</v>
      </c>
      <c r="D817">
        <v>32</v>
      </c>
      <c r="E817" t="s">
        <v>13</v>
      </c>
      <c r="F817" t="s">
        <v>14</v>
      </c>
      <c r="G817">
        <v>300</v>
      </c>
      <c r="H817">
        <v>2</v>
      </c>
      <c r="I817">
        <v>600</v>
      </c>
      <c r="J817" s="2">
        <v>45012</v>
      </c>
      <c r="K817" t="s">
        <v>381</v>
      </c>
    </row>
    <row r="818" spans="1:11" x14ac:dyDescent="0.3">
      <c r="A818" t="s">
        <v>171</v>
      </c>
      <c r="B818" t="s">
        <v>11</v>
      </c>
      <c r="C818" t="s">
        <v>21</v>
      </c>
      <c r="D818">
        <v>51</v>
      </c>
      <c r="E818" t="s">
        <v>13</v>
      </c>
      <c r="F818" t="s">
        <v>14</v>
      </c>
      <c r="G818">
        <v>300</v>
      </c>
      <c r="H818">
        <v>5</v>
      </c>
      <c r="I818">
        <v>1500</v>
      </c>
      <c r="J818" s="2">
        <v>45138</v>
      </c>
      <c r="K818" t="s">
        <v>375</v>
      </c>
    </row>
    <row r="819" spans="1:11" x14ac:dyDescent="0.3">
      <c r="A819" t="s">
        <v>177</v>
      </c>
      <c r="B819" t="s">
        <v>20</v>
      </c>
      <c r="C819" t="s">
        <v>12</v>
      </c>
      <c r="D819">
        <v>58</v>
      </c>
      <c r="E819" t="s">
        <v>31</v>
      </c>
      <c r="F819" t="s">
        <v>18</v>
      </c>
      <c r="G819">
        <v>50</v>
      </c>
      <c r="H819">
        <v>4</v>
      </c>
      <c r="I819">
        <v>200</v>
      </c>
      <c r="J819" s="2">
        <v>44968</v>
      </c>
      <c r="K819" t="s">
        <v>381</v>
      </c>
    </row>
    <row r="820" spans="1:11" x14ac:dyDescent="0.3">
      <c r="A820" t="s">
        <v>223</v>
      </c>
      <c r="B820" t="s">
        <v>20</v>
      </c>
      <c r="C820" t="s">
        <v>29</v>
      </c>
      <c r="D820">
        <v>37</v>
      </c>
      <c r="E820" t="s">
        <v>42</v>
      </c>
      <c r="F820" t="s">
        <v>14</v>
      </c>
      <c r="G820">
        <v>800</v>
      </c>
      <c r="H820">
        <v>5</v>
      </c>
      <c r="I820">
        <v>4000</v>
      </c>
      <c r="J820" s="2">
        <v>44930</v>
      </c>
      <c r="K820" t="s">
        <v>370</v>
      </c>
    </row>
    <row r="821" spans="1:11" x14ac:dyDescent="0.3">
      <c r="A821" t="s">
        <v>260</v>
      </c>
      <c r="B821" t="s">
        <v>11</v>
      </c>
      <c r="C821" t="s">
        <v>21</v>
      </c>
      <c r="D821">
        <v>55</v>
      </c>
      <c r="E821" t="s">
        <v>26</v>
      </c>
      <c r="F821" t="s">
        <v>27</v>
      </c>
      <c r="G821">
        <v>200</v>
      </c>
      <c r="H821">
        <v>3</v>
      </c>
      <c r="I821">
        <v>600</v>
      </c>
      <c r="J821" s="2">
        <v>45168</v>
      </c>
      <c r="K821" t="s">
        <v>373</v>
      </c>
    </row>
    <row r="822" spans="1:11" x14ac:dyDescent="0.3">
      <c r="A822" t="s">
        <v>58</v>
      </c>
      <c r="B822" t="s">
        <v>20</v>
      </c>
      <c r="C822" t="s">
        <v>16</v>
      </c>
      <c r="D822">
        <v>35</v>
      </c>
      <c r="E822" t="s">
        <v>13</v>
      </c>
      <c r="F822" t="s">
        <v>14</v>
      </c>
      <c r="G822">
        <v>300</v>
      </c>
      <c r="H822">
        <v>5</v>
      </c>
      <c r="I822">
        <v>1500</v>
      </c>
      <c r="J822" s="2">
        <v>44991</v>
      </c>
      <c r="K822" t="s">
        <v>381</v>
      </c>
    </row>
    <row r="823" spans="1:11" x14ac:dyDescent="0.3">
      <c r="A823" t="s">
        <v>175</v>
      </c>
      <c r="B823" t="s">
        <v>20</v>
      </c>
      <c r="C823" t="s">
        <v>21</v>
      </c>
      <c r="D823">
        <v>60</v>
      </c>
      <c r="E823" t="s">
        <v>13</v>
      </c>
      <c r="F823" t="s">
        <v>14</v>
      </c>
      <c r="G823">
        <v>300</v>
      </c>
      <c r="H823">
        <v>3</v>
      </c>
      <c r="I823">
        <v>900</v>
      </c>
      <c r="J823" s="2">
        <v>44983</v>
      </c>
      <c r="K823" t="s">
        <v>381</v>
      </c>
    </row>
    <row r="824" spans="1:11" x14ac:dyDescent="0.3">
      <c r="A824" t="s">
        <v>168</v>
      </c>
      <c r="B824" t="s">
        <v>11</v>
      </c>
      <c r="C824" t="s">
        <v>12</v>
      </c>
      <c r="D824">
        <v>43</v>
      </c>
      <c r="E824" t="s">
        <v>42</v>
      </c>
      <c r="F824" t="s">
        <v>14</v>
      </c>
      <c r="G824">
        <v>800</v>
      </c>
      <c r="H824">
        <v>4</v>
      </c>
      <c r="I824">
        <v>3200</v>
      </c>
      <c r="J824" s="2">
        <v>44982</v>
      </c>
      <c r="K824" t="s">
        <v>381</v>
      </c>
    </row>
    <row r="825" spans="1:11" x14ac:dyDescent="0.3">
      <c r="A825" t="s">
        <v>210</v>
      </c>
      <c r="B825" t="s">
        <v>20</v>
      </c>
      <c r="C825" t="s">
        <v>12</v>
      </c>
      <c r="D825">
        <v>26</v>
      </c>
      <c r="E825" t="s">
        <v>26</v>
      </c>
      <c r="F825" t="s">
        <v>27</v>
      </c>
      <c r="G825">
        <v>200</v>
      </c>
      <c r="H825">
        <v>4</v>
      </c>
      <c r="I825">
        <v>800</v>
      </c>
      <c r="J825" s="2">
        <v>44929</v>
      </c>
      <c r="K825" t="s">
        <v>375</v>
      </c>
    </row>
    <row r="826" spans="1:11" x14ac:dyDescent="0.3">
      <c r="A826" t="s">
        <v>253</v>
      </c>
      <c r="B826" t="s">
        <v>11</v>
      </c>
      <c r="C826" t="s">
        <v>16</v>
      </c>
      <c r="D826">
        <v>51</v>
      </c>
      <c r="E826" t="s">
        <v>13</v>
      </c>
      <c r="F826" t="s">
        <v>14</v>
      </c>
      <c r="G826">
        <v>300</v>
      </c>
      <c r="H826">
        <v>4</v>
      </c>
      <c r="I826">
        <v>1200</v>
      </c>
      <c r="J826" s="2">
        <v>45288</v>
      </c>
      <c r="K826" t="s">
        <v>381</v>
      </c>
    </row>
    <row r="827" spans="1:11" x14ac:dyDescent="0.3">
      <c r="A827" t="s">
        <v>273</v>
      </c>
      <c r="B827" t="s">
        <v>11</v>
      </c>
      <c r="C827" t="s">
        <v>21</v>
      </c>
      <c r="D827">
        <v>65</v>
      </c>
      <c r="E827" t="s">
        <v>31</v>
      </c>
      <c r="F827" t="s">
        <v>18</v>
      </c>
      <c r="G827">
        <v>50</v>
      </c>
      <c r="H827">
        <v>3</v>
      </c>
      <c r="I827">
        <v>150</v>
      </c>
      <c r="J827" s="2">
        <v>45248</v>
      </c>
      <c r="K827" t="s">
        <v>370</v>
      </c>
    </row>
    <row r="828" spans="1:11" x14ac:dyDescent="0.3">
      <c r="A828" t="s">
        <v>307</v>
      </c>
      <c r="B828" t="s">
        <v>11</v>
      </c>
      <c r="C828" t="s">
        <v>16</v>
      </c>
      <c r="D828">
        <v>24</v>
      </c>
      <c r="E828" t="s">
        <v>26</v>
      </c>
      <c r="F828" t="s">
        <v>27</v>
      </c>
      <c r="G828">
        <v>200</v>
      </c>
      <c r="H828">
        <v>3</v>
      </c>
      <c r="I828">
        <v>600</v>
      </c>
      <c r="J828" s="2">
        <v>44996</v>
      </c>
      <c r="K828" t="s">
        <v>375</v>
      </c>
    </row>
    <row r="829" spans="1:11" x14ac:dyDescent="0.3">
      <c r="A829" t="s">
        <v>172</v>
      </c>
      <c r="B829" t="s">
        <v>11</v>
      </c>
      <c r="C829" t="s">
        <v>12</v>
      </c>
      <c r="D829">
        <v>57</v>
      </c>
      <c r="E829" t="s">
        <v>17</v>
      </c>
      <c r="F829" t="s">
        <v>18</v>
      </c>
      <c r="G829">
        <v>100</v>
      </c>
      <c r="H829">
        <v>4</v>
      </c>
      <c r="I829">
        <v>400</v>
      </c>
      <c r="J829" s="2">
        <v>45188</v>
      </c>
      <c r="K829" t="s">
        <v>373</v>
      </c>
    </row>
    <row r="830" spans="1:11" x14ac:dyDescent="0.3">
      <c r="A830" t="s">
        <v>81</v>
      </c>
      <c r="B830" t="s">
        <v>11</v>
      </c>
      <c r="C830" t="s">
        <v>21</v>
      </c>
      <c r="D830">
        <v>52</v>
      </c>
      <c r="E830" t="s">
        <v>26</v>
      </c>
      <c r="F830" t="s">
        <v>27</v>
      </c>
      <c r="G830">
        <v>200</v>
      </c>
      <c r="H830">
        <v>5</v>
      </c>
      <c r="I830">
        <v>1000</v>
      </c>
      <c r="J830" s="2">
        <v>45061</v>
      </c>
      <c r="K830" t="s">
        <v>370</v>
      </c>
    </row>
    <row r="831" spans="1:11" x14ac:dyDescent="0.3">
      <c r="A831" t="s">
        <v>99</v>
      </c>
      <c r="B831" t="s">
        <v>11</v>
      </c>
      <c r="C831" t="s">
        <v>12</v>
      </c>
      <c r="D831">
        <v>59</v>
      </c>
      <c r="E831" t="s">
        <v>13</v>
      </c>
      <c r="F831" t="s">
        <v>14</v>
      </c>
      <c r="G831">
        <v>300</v>
      </c>
      <c r="H831">
        <v>4</v>
      </c>
      <c r="I831">
        <v>1200</v>
      </c>
      <c r="J831" s="2">
        <v>45222</v>
      </c>
      <c r="K831" t="s">
        <v>381</v>
      </c>
    </row>
    <row r="832" spans="1:11" x14ac:dyDescent="0.3">
      <c r="A832" t="s">
        <v>229</v>
      </c>
      <c r="B832" t="s">
        <v>11</v>
      </c>
      <c r="C832" t="s">
        <v>16</v>
      </c>
      <c r="D832">
        <v>66</v>
      </c>
      <c r="E832" t="s">
        <v>26</v>
      </c>
      <c r="F832" t="s">
        <v>27</v>
      </c>
      <c r="G832">
        <v>200</v>
      </c>
      <c r="H832">
        <v>5</v>
      </c>
      <c r="I832">
        <v>1000</v>
      </c>
      <c r="J832" s="2">
        <v>44992</v>
      </c>
      <c r="K832" t="s">
        <v>370</v>
      </c>
    </row>
    <row r="833" spans="1:11" x14ac:dyDescent="0.3">
      <c r="A833" t="s">
        <v>246</v>
      </c>
      <c r="B833" t="s">
        <v>11</v>
      </c>
      <c r="C833" t="s">
        <v>29</v>
      </c>
      <c r="D833">
        <v>23</v>
      </c>
      <c r="E833" t="s">
        <v>31</v>
      </c>
      <c r="F833" t="s">
        <v>18</v>
      </c>
      <c r="G833">
        <v>50</v>
      </c>
      <c r="H833">
        <v>1</v>
      </c>
      <c r="I833">
        <v>50</v>
      </c>
      <c r="J833" s="2">
        <v>44942</v>
      </c>
      <c r="K833" t="s">
        <v>381</v>
      </c>
    </row>
    <row r="834" spans="1:11" x14ac:dyDescent="0.3">
      <c r="A834" t="s">
        <v>47</v>
      </c>
      <c r="B834" t="s">
        <v>20</v>
      </c>
      <c r="C834" t="s">
        <v>12</v>
      </c>
      <c r="D834">
        <v>52</v>
      </c>
      <c r="E834" t="s">
        <v>26</v>
      </c>
      <c r="F834" t="s">
        <v>27</v>
      </c>
      <c r="G834">
        <v>200</v>
      </c>
      <c r="H834">
        <v>3</v>
      </c>
      <c r="I834">
        <v>600</v>
      </c>
      <c r="J834" s="2">
        <v>45026</v>
      </c>
      <c r="K834" t="s">
        <v>370</v>
      </c>
    </row>
    <row r="835" spans="1:11" x14ac:dyDescent="0.3">
      <c r="A835" t="s">
        <v>188</v>
      </c>
      <c r="B835" t="s">
        <v>20</v>
      </c>
      <c r="C835" t="s">
        <v>21</v>
      </c>
      <c r="E835" t="s">
        <v>17</v>
      </c>
      <c r="F835" t="s">
        <v>18</v>
      </c>
      <c r="G835">
        <v>100</v>
      </c>
      <c r="H835">
        <v>3</v>
      </c>
      <c r="I835">
        <v>300</v>
      </c>
      <c r="J835" s="2">
        <v>45182</v>
      </c>
      <c r="K835" t="s">
        <v>375</v>
      </c>
    </row>
    <row r="836" spans="1:11" x14ac:dyDescent="0.3">
      <c r="A836" t="s">
        <v>191</v>
      </c>
      <c r="B836" t="s">
        <v>11</v>
      </c>
      <c r="C836" t="s">
        <v>29</v>
      </c>
      <c r="E836" t="s">
        <v>24</v>
      </c>
      <c r="F836" t="s">
        <v>14</v>
      </c>
      <c r="G836">
        <v>1500</v>
      </c>
      <c r="H836">
        <v>3</v>
      </c>
      <c r="I836">
        <v>4500</v>
      </c>
      <c r="J836" s="2">
        <v>45195</v>
      </c>
      <c r="K836" t="s">
        <v>381</v>
      </c>
    </row>
    <row r="837" spans="1:11" x14ac:dyDescent="0.3">
      <c r="A837" t="s">
        <v>276</v>
      </c>
      <c r="B837" t="s">
        <v>20</v>
      </c>
      <c r="C837" t="s">
        <v>29</v>
      </c>
      <c r="D837">
        <v>56</v>
      </c>
      <c r="E837" t="s">
        <v>32</v>
      </c>
      <c r="F837" t="s">
        <v>18</v>
      </c>
      <c r="G837">
        <v>30</v>
      </c>
      <c r="H837">
        <v>4</v>
      </c>
      <c r="I837">
        <v>120</v>
      </c>
      <c r="J837" s="2">
        <v>45253</v>
      </c>
      <c r="K837" t="s">
        <v>375</v>
      </c>
    </row>
    <row r="838" spans="1:11" x14ac:dyDescent="0.3">
      <c r="A838" t="s">
        <v>157</v>
      </c>
      <c r="B838" t="s">
        <v>11</v>
      </c>
      <c r="C838" t="s">
        <v>21</v>
      </c>
      <c r="E838" t="s">
        <v>42</v>
      </c>
      <c r="F838" t="s">
        <v>14</v>
      </c>
      <c r="G838">
        <v>800</v>
      </c>
      <c r="H838">
        <v>3</v>
      </c>
      <c r="I838">
        <v>2400</v>
      </c>
      <c r="J838" s="2">
        <v>45150</v>
      </c>
      <c r="K838" t="s">
        <v>370</v>
      </c>
    </row>
    <row r="839" spans="1:11" x14ac:dyDescent="0.3">
      <c r="A839" t="s">
        <v>241</v>
      </c>
      <c r="B839" t="s">
        <v>11</v>
      </c>
      <c r="C839" t="s">
        <v>16</v>
      </c>
      <c r="E839" t="s">
        <v>42</v>
      </c>
      <c r="F839" t="s">
        <v>14</v>
      </c>
      <c r="G839">
        <v>800</v>
      </c>
      <c r="H839">
        <v>5</v>
      </c>
      <c r="I839">
        <v>4000</v>
      </c>
      <c r="J839" s="2">
        <v>45273</v>
      </c>
      <c r="K839" t="s">
        <v>381</v>
      </c>
    </row>
    <row r="840" spans="1:11" x14ac:dyDescent="0.3">
      <c r="A840" t="s">
        <v>308</v>
      </c>
      <c r="B840" t="s">
        <v>20</v>
      </c>
      <c r="C840" t="s">
        <v>21</v>
      </c>
      <c r="D840">
        <v>44</v>
      </c>
      <c r="E840" t="s">
        <v>26</v>
      </c>
      <c r="F840" t="s">
        <v>27</v>
      </c>
      <c r="G840">
        <v>200</v>
      </c>
      <c r="H840">
        <v>1</v>
      </c>
      <c r="I840">
        <v>200</v>
      </c>
      <c r="J840" s="2">
        <v>45115</v>
      </c>
      <c r="K840" t="s">
        <v>373</v>
      </c>
    </row>
    <row r="841" spans="1:11" x14ac:dyDescent="0.3">
      <c r="A841" t="s">
        <v>101</v>
      </c>
      <c r="B841" t="s">
        <v>20</v>
      </c>
      <c r="C841" t="s">
        <v>12</v>
      </c>
      <c r="D841">
        <v>19</v>
      </c>
      <c r="E841" t="s">
        <v>31</v>
      </c>
      <c r="F841" t="s">
        <v>18</v>
      </c>
      <c r="G841">
        <v>50</v>
      </c>
      <c r="H841">
        <v>3</v>
      </c>
      <c r="I841">
        <v>150</v>
      </c>
      <c r="J841" s="2">
        <v>45132</v>
      </c>
      <c r="K841" t="s">
        <v>373</v>
      </c>
    </row>
    <row r="842" spans="1:11" x14ac:dyDescent="0.3">
      <c r="A842" t="s">
        <v>301</v>
      </c>
      <c r="B842" t="s">
        <v>11</v>
      </c>
      <c r="D842">
        <v>40</v>
      </c>
      <c r="E842" t="s">
        <v>26</v>
      </c>
      <c r="F842" t="s">
        <v>27</v>
      </c>
      <c r="G842">
        <v>200</v>
      </c>
      <c r="H842">
        <v>1</v>
      </c>
      <c r="I842">
        <v>200</v>
      </c>
      <c r="J842" s="2">
        <v>45115</v>
      </c>
      <c r="K842" t="s">
        <v>381</v>
      </c>
    </row>
    <row r="843" spans="1:11" x14ac:dyDescent="0.3">
      <c r="A843" t="s">
        <v>299</v>
      </c>
      <c r="B843" t="s">
        <v>11</v>
      </c>
      <c r="C843" t="s">
        <v>16</v>
      </c>
      <c r="D843">
        <v>44</v>
      </c>
      <c r="E843" t="s">
        <v>17</v>
      </c>
      <c r="F843" t="s">
        <v>18</v>
      </c>
      <c r="G843">
        <v>100</v>
      </c>
      <c r="H843">
        <v>1</v>
      </c>
      <c r="I843">
        <v>100</v>
      </c>
      <c r="J843" s="2">
        <v>45135</v>
      </c>
      <c r="K843" t="s">
        <v>370</v>
      </c>
    </row>
    <row r="844" spans="1:11" x14ac:dyDescent="0.3">
      <c r="A844" t="s">
        <v>256</v>
      </c>
      <c r="B844" t="s">
        <v>11</v>
      </c>
      <c r="C844" t="s">
        <v>16</v>
      </c>
      <c r="D844">
        <v>69</v>
      </c>
      <c r="E844" t="s">
        <v>24</v>
      </c>
      <c r="F844" t="s">
        <v>14</v>
      </c>
      <c r="G844">
        <v>1500</v>
      </c>
      <c r="H844">
        <v>1</v>
      </c>
      <c r="I844">
        <v>1500</v>
      </c>
      <c r="J844" s="2">
        <v>45188</v>
      </c>
      <c r="K844" t="s">
        <v>373</v>
      </c>
    </row>
    <row r="845" spans="1:11" x14ac:dyDescent="0.3">
      <c r="A845" t="s">
        <v>162</v>
      </c>
      <c r="B845" t="s">
        <v>20</v>
      </c>
      <c r="C845" t="s">
        <v>21</v>
      </c>
      <c r="D845">
        <v>27</v>
      </c>
      <c r="E845" t="s">
        <v>26</v>
      </c>
      <c r="F845" t="s">
        <v>27</v>
      </c>
      <c r="G845">
        <v>200</v>
      </c>
      <c r="H845">
        <v>2</v>
      </c>
      <c r="I845">
        <v>400</v>
      </c>
      <c r="J845" s="2">
        <v>44944</v>
      </c>
      <c r="K845" t="s">
        <v>381</v>
      </c>
    </row>
    <row r="846" spans="1:11" x14ac:dyDescent="0.3">
      <c r="A846" t="s">
        <v>87</v>
      </c>
      <c r="B846" t="s">
        <v>20</v>
      </c>
      <c r="C846" t="s">
        <v>16</v>
      </c>
      <c r="D846">
        <v>41</v>
      </c>
      <c r="E846" t="s">
        <v>26</v>
      </c>
      <c r="F846" t="s">
        <v>27</v>
      </c>
      <c r="G846">
        <v>200</v>
      </c>
      <c r="H846">
        <v>5</v>
      </c>
      <c r="I846">
        <v>1000</v>
      </c>
      <c r="J846" s="2">
        <v>44932</v>
      </c>
      <c r="K846" t="s">
        <v>373</v>
      </c>
    </row>
    <row r="847" spans="1:11" x14ac:dyDescent="0.3">
      <c r="A847" t="s">
        <v>216</v>
      </c>
      <c r="B847" t="s">
        <v>20</v>
      </c>
      <c r="C847" t="s">
        <v>12</v>
      </c>
      <c r="E847" t="s">
        <v>32</v>
      </c>
      <c r="F847" t="s">
        <v>18</v>
      </c>
      <c r="G847">
        <v>30</v>
      </c>
      <c r="H847">
        <v>4</v>
      </c>
      <c r="I847">
        <v>120</v>
      </c>
      <c r="J847" s="2">
        <v>45116</v>
      </c>
      <c r="K847" t="s">
        <v>381</v>
      </c>
    </row>
    <row r="848" spans="1:11" x14ac:dyDescent="0.3">
      <c r="A848" t="s">
        <v>115</v>
      </c>
      <c r="B848" t="s">
        <v>11</v>
      </c>
      <c r="C848" t="s">
        <v>16</v>
      </c>
      <c r="D848">
        <v>63</v>
      </c>
      <c r="E848" t="s">
        <v>32</v>
      </c>
      <c r="F848" t="s">
        <v>18</v>
      </c>
      <c r="G848">
        <v>62.191212249732999</v>
      </c>
      <c r="H848">
        <v>5</v>
      </c>
      <c r="I848">
        <v>150</v>
      </c>
      <c r="J848" s="2">
        <v>45108</v>
      </c>
      <c r="K848" t="s">
        <v>370</v>
      </c>
    </row>
    <row r="849" spans="1:11" x14ac:dyDescent="0.3">
      <c r="A849" t="s">
        <v>204</v>
      </c>
      <c r="B849" t="s">
        <v>11</v>
      </c>
      <c r="C849" t="s">
        <v>29</v>
      </c>
      <c r="D849">
        <v>66</v>
      </c>
      <c r="E849" t="s">
        <v>26</v>
      </c>
      <c r="F849" t="s">
        <v>27</v>
      </c>
      <c r="G849">
        <v>200</v>
      </c>
      <c r="H849">
        <v>4</v>
      </c>
      <c r="I849">
        <v>800</v>
      </c>
      <c r="J849" s="2">
        <v>45214</v>
      </c>
      <c r="K849" t="s">
        <v>370</v>
      </c>
    </row>
    <row r="850" spans="1:11" x14ac:dyDescent="0.3">
      <c r="A850" t="s">
        <v>138</v>
      </c>
      <c r="B850" t="s">
        <v>20</v>
      </c>
      <c r="C850" t="s">
        <v>12</v>
      </c>
      <c r="D850">
        <v>37</v>
      </c>
      <c r="E850" t="s">
        <v>13</v>
      </c>
      <c r="F850" t="s">
        <v>14</v>
      </c>
      <c r="G850">
        <v>300</v>
      </c>
      <c r="H850">
        <v>3</v>
      </c>
      <c r="I850">
        <v>900</v>
      </c>
      <c r="J850" s="2">
        <v>45294</v>
      </c>
      <c r="K850" t="s">
        <v>375</v>
      </c>
    </row>
    <row r="851" spans="1:11" x14ac:dyDescent="0.3">
      <c r="A851" t="s">
        <v>297</v>
      </c>
      <c r="B851" t="s">
        <v>11</v>
      </c>
      <c r="C851" t="s">
        <v>21</v>
      </c>
      <c r="D851">
        <v>39</v>
      </c>
      <c r="E851" t="s">
        <v>24</v>
      </c>
      <c r="F851" t="s">
        <v>14</v>
      </c>
      <c r="G851">
        <v>1500</v>
      </c>
      <c r="H851">
        <v>2</v>
      </c>
      <c r="I851">
        <v>3000</v>
      </c>
      <c r="J851" s="2">
        <v>45246</v>
      </c>
      <c r="K851" t="s">
        <v>373</v>
      </c>
    </row>
    <row r="852" spans="1:11" x14ac:dyDescent="0.3">
      <c r="A852" t="s">
        <v>52</v>
      </c>
      <c r="B852" t="s">
        <v>20</v>
      </c>
      <c r="C852" t="s">
        <v>12</v>
      </c>
      <c r="D852">
        <v>31</v>
      </c>
      <c r="E852" t="s">
        <v>13</v>
      </c>
      <c r="F852" t="s">
        <v>14</v>
      </c>
      <c r="G852">
        <v>300</v>
      </c>
      <c r="H852">
        <v>2</v>
      </c>
      <c r="I852">
        <v>600</v>
      </c>
      <c r="J852" s="2">
        <v>45157</v>
      </c>
      <c r="K852" t="s">
        <v>375</v>
      </c>
    </row>
    <row r="853" spans="1:11" x14ac:dyDescent="0.3">
      <c r="A853" t="s">
        <v>83</v>
      </c>
      <c r="B853" t="s">
        <v>20</v>
      </c>
      <c r="C853" t="s">
        <v>16</v>
      </c>
      <c r="D853">
        <v>33</v>
      </c>
      <c r="E853" t="s">
        <v>42</v>
      </c>
      <c r="F853" t="s">
        <v>14</v>
      </c>
      <c r="G853">
        <v>800</v>
      </c>
      <c r="H853">
        <v>2</v>
      </c>
      <c r="I853">
        <v>1600</v>
      </c>
      <c r="J853" s="2">
        <v>45268</v>
      </c>
      <c r="K853" t="s">
        <v>370</v>
      </c>
    </row>
    <row r="854" spans="1:11" x14ac:dyDescent="0.3">
      <c r="A854" t="s">
        <v>69</v>
      </c>
      <c r="B854" t="s">
        <v>11</v>
      </c>
      <c r="C854" t="s">
        <v>29</v>
      </c>
      <c r="D854">
        <v>68</v>
      </c>
      <c r="E854" t="s">
        <v>17</v>
      </c>
      <c r="F854" t="s">
        <v>18</v>
      </c>
      <c r="G854">
        <v>100</v>
      </c>
      <c r="H854">
        <v>4</v>
      </c>
      <c r="I854">
        <v>400</v>
      </c>
      <c r="J854" s="2">
        <v>45269</v>
      </c>
      <c r="K854" t="s">
        <v>381</v>
      </c>
    </row>
    <row r="855" spans="1:11" x14ac:dyDescent="0.3">
      <c r="A855" t="s">
        <v>300</v>
      </c>
      <c r="B855" t="s">
        <v>20</v>
      </c>
      <c r="C855" t="s">
        <v>21</v>
      </c>
      <c r="D855">
        <v>35</v>
      </c>
      <c r="E855" t="s">
        <v>13</v>
      </c>
      <c r="F855" t="s">
        <v>14</v>
      </c>
      <c r="G855">
        <v>300</v>
      </c>
      <c r="H855">
        <v>1</v>
      </c>
      <c r="I855">
        <v>300</v>
      </c>
      <c r="J855" s="2">
        <v>45224</v>
      </c>
      <c r="K855" t="s">
        <v>370</v>
      </c>
    </row>
    <row r="856" spans="1:11" x14ac:dyDescent="0.3">
      <c r="A856" t="s">
        <v>15</v>
      </c>
      <c r="B856" t="s">
        <v>11</v>
      </c>
      <c r="C856" t="s">
        <v>29</v>
      </c>
      <c r="D856">
        <v>22</v>
      </c>
      <c r="E856" t="s">
        <v>24</v>
      </c>
      <c r="F856" t="s">
        <v>14</v>
      </c>
      <c r="G856">
        <v>1500</v>
      </c>
      <c r="H856">
        <v>2</v>
      </c>
      <c r="I856">
        <v>3000</v>
      </c>
      <c r="J856" s="2">
        <v>45276</v>
      </c>
      <c r="K856" t="s">
        <v>370</v>
      </c>
    </row>
    <row r="857" spans="1:11" x14ac:dyDescent="0.3">
      <c r="A857" t="s">
        <v>244</v>
      </c>
      <c r="B857" t="s">
        <v>20</v>
      </c>
      <c r="C857" t="s">
        <v>12</v>
      </c>
      <c r="D857">
        <v>68</v>
      </c>
      <c r="E857" t="s">
        <v>24</v>
      </c>
      <c r="F857" t="s">
        <v>14</v>
      </c>
      <c r="G857">
        <v>1500</v>
      </c>
      <c r="H857">
        <v>1</v>
      </c>
      <c r="I857">
        <v>1500</v>
      </c>
      <c r="J857" s="2">
        <v>45144</v>
      </c>
      <c r="K857" t="s">
        <v>381</v>
      </c>
    </row>
    <row r="858" spans="1:11" x14ac:dyDescent="0.3">
      <c r="A858" t="s">
        <v>281</v>
      </c>
      <c r="B858" t="s">
        <v>11</v>
      </c>
      <c r="C858" t="s">
        <v>29</v>
      </c>
      <c r="D858">
        <v>38</v>
      </c>
      <c r="E858" t="s">
        <v>24</v>
      </c>
      <c r="F858" t="s">
        <v>14</v>
      </c>
      <c r="G858">
        <v>1500</v>
      </c>
      <c r="H858">
        <v>4</v>
      </c>
      <c r="I858">
        <v>6000</v>
      </c>
      <c r="J858" s="2">
        <v>45042</v>
      </c>
      <c r="K858" t="s">
        <v>375</v>
      </c>
    </row>
    <row r="859" spans="1:11" x14ac:dyDescent="0.3">
      <c r="A859" t="s">
        <v>293</v>
      </c>
      <c r="B859" t="s">
        <v>20</v>
      </c>
      <c r="C859" t="s">
        <v>16</v>
      </c>
      <c r="D859">
        <v>53</v>
      </c>
      <c r="E859" t="s">
        <v>42</v>
      </c>
      <c r="F859" t="s">
        <v>14</v>
      </c>
      <c r="G859">
        <v>800</v>
      </c>
      <c r="H859">
        <v>4</v>
      </c>
      <c r="I859">
        <v>3200</v>
      </c>
      <c r="J859" s="2">
        <v>45104</v>
      </c>
      <c r="K859" t="s">
        <v>373</v>
      </c>
    </row>
    <row r="860" spans="1:11" x14ac:dyDescent="0.3">
      <c r="A860" t="s">
        <v>112</v>
      </c>
      <c r="B860" t="s">
        <v>20</v>
      </c>
      <c r="C860" t="s">
        <v>16</v>
      </c>
      <c r="D860">
        <v>38</v>
      </c>
      <c r="E860" t="s">
        <v>31</v>
      </c>
      <c r="F860" t="s">
        <v>18</v>
      </c>
      <c r="G860">
        <v>50</v>
      </c>
      <c r="H860">
        <v>4</v>
      </c>
      <c r="I860">
        <v>200</v>
      </c>
      <c r="J860" s="2">
        <v>44952</v>
      </c>
      <c r="K860" t="s">
        <v>370</v>
      </c>
    </row>
    <row r="861" spans="1:11" x14ac:dyDescent="0.3">
      <c r="A861" t="s">
        <v>161</v>
      </c>
      <c r="B861" t="s">
        <v>11</v>
      </c>
      <c r="C861" t="s">
        <v>21</v>
      </c>
      <c r="D861">
        <v>26</v>
      </c>
      <c r="E861" t="s">
        <v>32</v>
      </c>
      <c r="F861" t="s">
        <v>18</v>
      </c>
      <c r="G861">
        <v>30</v>
      </c>
      <c r="H861">
        <v>1</v>
      </c>
      <c r="I861">
        <v>30</v>
      </c>
      <c r="J861" s="2">
        <v>45225</v>
      </c>
      <c r="K861" t="s">
        <v>370</v>
      </c>
    </row>
    <row r="862" spans="1:11" x14ac:dyDescent="0.3">
      <c r="A862" t="s">
        <v>306</v>
      </c>
      <c r="B862" t="s">
        <v>11</v>
      </c>
      <c r="C862" t="s">
        <v>12</v>
      </c>
      <c r="D862">
        <v>35</v>
      </c>
      <c r="E862" t="s">
        <v>31</v>
      </c>
      <c r="F862" t="s">
        <v>18</v>
      </c>
      <c r="G862">
        <v>50</v>
      </c>
      <c r="H862">
        <v>3</v>
      </c>
      <c r="I862">
        <v>150</v>
      </c>
      <c r="J862" s="2">
        <v>44956</v>
      </c>
      <c r="K862" t="s">
        <v>373</v>
      </c>
    </row>
    <row r="863" spans="1:11" x14ac:dyDescent="0.3">
      <c r="A863" t="s">
        <v>309</v>
      </c>
      <c r="B863" t="s">
        <v>20</v>
      </c>
      <c r="C863" t="s">
        <v>12</v>
      </c>
      <c r="D863">
        <v>38</v>
      </c>
      <c r="E863" t="s">
        <v>31</v>
      </c>
      <c r="F863" t="s">
        <v>18</v>
      </c>
      <c r="G863">
        <v>50</v>
      </c>
      <c r="H863">
        <v>4</v>
      </c>
      <c r="I863">
        <v>200</v>
      </c>
      <c r="J863" s="2">
        <v>45075</v>
      </c>
      <c r="K863" t="s">
        <v>370</v>
      </c>
    </row>
    <row r="864" spans="1:11" x14ac:dyDescent="0.3">
      <c r="A864" t="s">
        <v>310</v>
      </c>
      <c r="B864" t="s">
        <v>20</v>
      </c>
      <c r="C864" t="s">
        <v>21</v>
      </c>
      <c r="D864">
        <v>45</v>
      </c>
      <c r="E864" t="s">
        <v>13</v>
      </c>
      <c r="F864" t="s">
        <v>14</v>
      </c>
      <c r="G864">
        <v>300</v>
      </c>
      <c r="H864">
        <v>2</v>
      </c>
      <c r="I864">
        <v>600</v>
      </c>
      <c r="J864" s="2">
        <v>45201</v>
      </c>
      <c r="K864" t="s">
        <v>373</v>
      </c>
    </row>
    <row r="865" spans="1:11" x14ac:dyDescent="0.3">
      <c r="A865" t="s">
        <v>232</v>
      </c>
      <c r="B865" t="s">
        <v>11</v>
      </c>
      <c r="C865" t="s">
        <v>12</v>
      </c>
      <c r="D865">
        <v>42</v>
      </c>
      <c r="E865" t="s">
        <v>13</v>
      </c>
      <c r="F865" t="s">
        <v>14</v>
      </c>
      <c r="G865">
        <v>300</v>
      </c>
      <c r="H865">
        <v>4</v>
      </c>
      <c r="I865">
        <v>1200</v>
      </c>
      <c r="J865" s="2">
        <v>45083</v>
      </c>
      <c r="K865" t="s">
        <v>373</v>
      </c>
    </row>
    <row r="866" spans="1:11" x14ac:dyDescent="0.3">
      <c r="A866" t="s">
        <v>55</v>
      </c>
      <c r="B866" t="s">
        <v>11</v>
      </c>
      <c r="C866" t="s">
        <v>12</v>
      </c>
      <c r="E866" t="s">
        <v>26</v>
      </c>
      <c r="F866" t="s">
        <v>27</v>
      </c>
      <c r="G866">
        <v>200</v>
      </c>
      <c r="H866">
        <v>2</v>
      </c>
      <c r="I866">
        <v>400</v>
      </c>
      <c r="J866" s="2">
        <v>44957</v>
      </c>
      <c r="K866" t="s">
        <v>373</v>
      </c>
    </row>
    <row r="867" spans="1:11" x14ac:dyDescent="0.3">
      <c r="A867" t="s">
        <v>41</v>
      </c>
      <c r="B867" t="s">
        <v>11</v>
      </c>
      <c r="C867" t="s">
        <v>21</v>
      </c>
      <c r="D867">
        <v>30</v>
      </c>
      <c r="E867" t="s">
        <v>13</v>
      </c>
      <c r="F867" t="s">
        <v>14</v>
      </c>
      <c r="G867">
        <v>300</v>
      </c>
      <c r="H867">
        <v>1</v>
      </c>
      <c r="I867">
        <v>300</v>
      </c>
      <c r="J867" s="2">
        <v>45291</v>
      </c>
      <c r="K867" t="s">
        <v>381</v>
      </c>
    </row>
    <row r="868" spans="1:11" x14ac:dyDescent="0.3">
      <c r="A868" t="s">
        <v>178</v>
      </c>
      <c r="B868" t="s">
        <v>11</v>
      </c>
      <c r="C868" t="s">
        <v>21</v>
      </c>
      <c r="D868">
        <v>20</v>
      </c>
      <c r="E868" t="s">
        <v>32</v>
      </c>
      <c r="F868" t="s">
        <v>18</v>
      </c>
      <c r="G868">
        <v>30</v>
      </c>
      <c r="H868">
        <v>1</v>
      </c>
      <c r="I868">
        <v>30</v>
      </c>
      <c r="J868" s="2">
        <v>44931</v>
      </c>
      <c r="K868" t="s">
        <v>375</v>
      </c>
    </row>
    <row r="869" spans="1:11" x14ac:dyDescent="0.3">
      <c r="A869" t="s">
        <v>236</v>
      </c>
      <c r="B869" t="s">
        <v>20</v>
      </c>
      <c r="C869" t="s">
        <v>21</v>
      </c>
      <c r="D869">
        <v>18</v>
      </c>
      <c r="E869" t="s">
        <v>24</v>
      </c>
      <c r="F869" t="s">
        <v>14</v>
      </c>
      <c r="G869">
        <v>1500</v>
      </c>
      <c r="H869">
        <v>2</v>
      </c>
      <c r="I869">
        <v>3000</v>
      </c>
      <c r="J869" s="2">
        <v>45087</v>
      </c>
      <c r="K869" t="s">
        <v>375</v>
      </c>
    </row>
    <row r="870" spans="1:11" x14ac:dyDescent="0.3">
      <c r="A870" t="s">
        <v>141</v>
      </c>
      <c r="B870" t="s">
        <v>20</v>
      </c>
      <c r="C870" t="s">
        <v>21</v>
      </c>
      <c r="D870">
        <v>35</v>
      </c>
      <c r="E870" t="s">
        <v>42</v>
      </c>
      <c r="F870" t="s">
        <v>14</v>
      </c>
      <c r="G870">
        <v>800</v>
      </c>
      <c r="H870">
        <v>4</v>
      </c>
      <c r="I870">
        <v>3200</v>
      </c>
      <c r="J870" s="2">
        <v>45072</v>
      </c>
      <c r="K870" t="s">
        <v>381</v>
      </c>
    </row>
    <row r="871" spans="1:11" x14ac:dyDescent="0.3">
      <c r="A871" t="s">
        <v>109</v>
      </c>
      <c r="B871" t="s">
        <v>11</v>
      </c>
      <c r="C871" t="s">
        <v>16</v>
      </c>
      <c r="E871" t="s">
        <v>26</v>
      </c>
      <c r="F871" t="s">
        <v>27</v>
      </c>
      <c r="G871">
        <v>200</v>
      </c>
      <c r="H871">
        <v>1</v>
      </c>
      <c r="I871">
        <v>200</v>
      </c>
      <c r="J871" s="2">
        <v>45205</v>
      </c>
      <c r="K871" t="s">
        <v>375</v>
      </c>
    </row>
    <row r="872" spans="1:11" x14ac:dyDescent="0.3">
      <c r="A872" t="s">
        <v>235</v>
      </c>
      <c r="B872" t="s">
        <v>20</v>
      </c>
      <c r="C872" t="s">
        <v>21</v>
      </c>
      <c r="D872">
        <v>38</v>
      </c>
      <c r="E872" t="s">
        <v>13</v>
      </c>
      <c r="F872" t="s">
        <v>14</v>
      </c>
      <c r="G872">
        <v>300</v>
      </c>
      <c r="H872">
        <v>2</v>
      </c>
      <c r="I872">
        <v>600</v>
      </c>
      <c r="J872" s="2">
        <v>45032</v>
      </c>
      <c r="K872" t="s">
        <v>375</v>
      </c>
    </row>
    <row r="873" spans="1:11" x14ac:dyDescent="0.3">
      <c r="A873" t="s">
        <v>128</v>
      </c>
      <c r="B873" t="s">
        <v>11</v>
      </c>
      <c r="C873" t="s">
        <v>16</v>
      </c>
      <c r="D873">
        <v>50</v>
      </c>
      <c r="E873" t="s">
        <v>31</v>
      </c>
      <c r="F873" t="s">
        <v>18</v>
      </c>
      <c r="G873">
        <v>50</v>
      </c>
      <c r="H873">
        <v>4</v>
      </c>
      <c r="I873">
        <v>200</v>
      </c>
      <c r="J873" s="2">
        <v>44943</v>
      </c>
      <c r="K873" t="s">
        <v>375</v>
      </c>
    </row>
    <row r="874" spans="1:11" x14ac:dyDescent="0.3">
      <c r="A874" t="s">
        <v>30</v>
      </c>
      <c r="B874" t="s">
        <v>11</v>
      </c>
      <c r="C874" t="s">
        <v>21</v>
      </c>
      <c r="D874">
        <v>18</v>
      </c>
      <c r="E874" t="s">
        <v>24</v>
      </c>
      <c r="F874" t="s">
        <v>14</v>
      </c>
      <c r="G874">
        <v>1500</v>
      </c>
      <c r="H874">
        <v>3</v>
      </c>
      <c r="I874">
        <v>4500</v>
      </c>
      <c r="J874" s="2">
        <v>45007</v>
      </c>
      <c r="K874" t="s">
        <v>370</v>
      </c>
    </row>
    <row r="875" spans="1:11" x14ac:dyDescent="0.3">
      <c r="A875" t="s">
        <v>51</v>
      </c>
      <c r="B875" t="s">
        <v>20</v>
      </c>
      <c r="C875" t="s">
        <v>21</v>
      </c>
      <c r="D875">
        <v>25</v>
      </c>
      <c r="E875" t="s">
        <v>26</v>
      </c>
      <c r="F875" t="s">
        <v>27</v>
      </c>
      <c r="G875">
        <v>200</v>
      </c>
      <c r="H875">
        <v>1</v>
      </c>
      <c r="I875">
        <v>200</v>
      </c>
      <c r="J875" s="2">
        <v>45250</v>
      </c>
      <c r="K875" t="s">
        <v>381</v>
      </c>
    </row>
    <row r="876" spans="1:11" x14ac:dyDescent="0.3">
      <c r="A876" t="s">
        <v>122</v>
      </c>
      <c r="B876" t="s">
        <v>11</v>
      </c>
      <c r="C876" t="s">
        <v>12</v>
      </c>
      <c r="D876">
        <v>58</v>
      </c>
      <c r="E876" t="s">
        <v>24</v>
      </c>
      <c r="F876" t="s">
        <v>14</v>
      </c>
      <c r="G876">
        <v>1500</v>
      </c>
      <c r="H876">
        <v>5</v>
      </c>
      <c r="I876">
        <v>7500</v>
      </c>
      <c r="J876" s="2">
        <v>45128</v>
      </c>
      <c r="K876" t="s">
        <v>375</v>
      </c>
    </row>
    <row r="877" spans="1:11" x14ac:dyDescent="0.3">
      <c r="A877" t="s">
        <v>89</v>
      </c>
      <c r="B877" t="s">
        <v>11</v>
      </c>
      <c r="C877" t="s">
        <v>29</v>
      </c>
      <c r="D877">
        <v>21</v>
      </c>
      <c r="E877" t="s">
        <v>17</v>
      </c>
      <c r="F877" t="s">
        <v>18</v>
      </c>
      <c r="G877">
        <v>100</v>
      </c>
      <c r="H877">
        <v>4</v>
      </c>
      <c r="I877">
        <v>400</v>
      </c>
      <c r="J877" s="2">
        <v>45133</v>
      </c>
      <c r="K877" t="s">
        <v>381</v>
      </c>
    </row>
    <row r="878" spans="1:11" x14ac:dyDescent="0.3">
      <c r="A878" t="s">
        <v>166</v>
      </c>
      <c r="B878" t="s">
        <v>11</v>
      </c>
      <c r="C878" t="s">
        <v>16</v>
      </c>
      <c r="D878">
        <v>57</v>
      </c>
      <c r="E878" t="s">
        <v>24</v>
      </c>
      <c r="F878" t="s">
        <v>14</v>
      </c>
      <c r="G878">
        <v>1500</v>
      </c>
      <c r="H878">
        <v>5</v>
      </c>
      <c r="I878">
        <v>7500</v>
      </c>
      <c r="J878" s="2">
        <v>45064</v>
      </c>
      <c r="K878" t="s">
        <v>375</v>
      </c>
    </row>
    <row r="879" spans="1:11" x14ac:dyDescent="0.3">
      <c r="A879" t="s">
        <v>210</v>
      </c>
      <c r="B879" t="s">
        <v>11</v>
      </c>
      <c r="C879" t="s">
        <v>29</v>
      </c>
      <c r="D879">
        <v>26</v>
      </c>
      <c r="E879" t="s">
        <v>13</v>
      </c>
      <c r="F879" t="s">
        <v>14</v>
      </c>
      <c r="G879">
        <v>621.91212249732996</v>
      </c>
      <c r="H879">
        <v>2</v>
      </c>
      <c r="I879">
        <v>600</v>
      </c>
      <c r="J879" s="2">
        <v>45294</v>
      </c>
      <c r="K879" t="s">
        <v>375</v>
      </c>
    </row>
    <row r="880" spans="1:11" x14ac:dyDescent="0.3">
      <c r="A880" t="s">
        <v>178</v>
      </c>
      <c r="B880" t="s">
        <v>11</v>
      </c>
      <c r="C880" t="s">
        <v>16</v>
      </c>
      <c r="D880">
        <v>20</v>
      </c>
      <c r="E880" t="s">
        <v>13</v>
      </c>
      <c r="F880" t="s">
        <v>14</v>
      </c>
      <c r="G880">
        <v>300</v>
      </c>
      <c r="H880">
        <v>2</v>
      </c>
      <c r="I880">
        <v>600</v>
      </c>
      <c r="J880" s="2">
        <v>45150</v>
      </c>
      <c r="K880" t="s">
        <v>381</v>
      </c>
    </row>
    <row r="881" spans="1:11" x14ac:dyDescent="0.3">
      <c r="A881" t="s">
        <v>141</v>
      </c>
      <c r="B881" t="s">
        <v>20</v>
      </c>
      <c r="C881" t="s">
        <v>29</v>
      </c>
      <c r="D881">
        <v>35</v>
      </c>
      <c r="E881" t="s">
        <v>32</v>
      </c>
      <c r="F881" t="s">
        <v>18</v>
      </c>
      <c r="G881">
        <v>30</v>
      </c>
      <c r="H881">
        <v>5</v>
      </c>
      <c r="I881">
        <v>150</v>
      </c>
      <c r="J881" s="2">
        <v>45154</v>
      </c>
      <c r="K881" t="s">
        <v>373</v>
      </c>
    </row>
    <row r="882" spans="1:11" x14ac:dyDescent="0.3">
      <c r="A882" t="s">
        <v>10</v>
      </c>
      <c r="B882" t="s">
        <v>20</v>
      </c>
      <c r="C882" t="s">
        <v>21</v>
      </c>
      <c r="D882">
        <v>21</v>
      </c>
      <c r="E882" t="s">
        <v>32</v>
      </c>
      <c r="F882" t="s">
        <v>18</v>
      </c>
      <c r="G882">
        <v>30</v>
      </c>
      <c r="H882">
        <v>3</v>
      </c>
      <c r="I882">
        <v>90</v>
      </c>
      <c r="J882" s="2">
        <v>45149</v>
      </c>
      <c r="K882" t="s">
        <v>381</v>
      </c>
    </row>
    <row r="883" spans="1:11" x14ac:dyDescent="0.3">
      <c r="A883" t="s">
        <v>282</v>
      </c>
      <c r="B883" t="s">
        <v>11</v>
      </c>
      <c r="C883" t="s">
        <v>16</v>
      </c>
      <c r="D883">
        <v>26</v>
      </c>
      <c r="E883" t="s">
        <v>13</v>
      </c>
      <c r="F883" t="s">
        <v>14</v>
      </c>
      <c r="G883">
        <v>300</v>
      </c>
      <c r="H883">
        <v>2</v>
      </c>
      <c r="I883">
        <v>600</v>
      </c>
      <c r="J883" s="2">
        <v>44928</v>
      </c>
      <c r="K883" t="s">
        <v>373</v>
      </c>
    </row>
    <row r="884" spans="1:11" x14ac:dyDescent="0.3">
      <c r="A884" t="s">
        <v>296</v>
      </c>
      <c r="B884" t="s">
        <v>20</v>
      </c>
      <c r="C884" t="s">
        <v>12</v>
      </c>
      <c r="D884">
        <v>49</v>
      </c>
      <c r="E884" t="s">
        <v>24</v>
      </c>
      <c r="F884" t="s">
        <v>14</v>
      </c>
      <c r="G884">
        <v>1500</v>
      </c>
      <c r="H884">
        <v>2</v>
      </c>
      <c r="I884">
        <v>3000</v>
      </c>
      <c r="J884" s="2">
        <v>45135</v>
      </c>
      <c r="K884" t="s">
        <v>370</v>
      </c>
    </row>
    <row r="885" spans="1:11" x14ac:dyDescent="0.3">
      <c r="A885" t="s">
        <v>92</v>
      </c>
      <c r="B885" t="s">
        <v>20</v>
      </c>
      <c r="C885" t="s">
        <v>12</v>
      </c>
      <c r="E885" t="s">
        <v>13</v>
      </c>
      <c r="F885" t="s">
        <v>14</v>
      </c>
      <c r="G885">
        <v>621.91212249732996</v>
      </c>
      <c r="H885">
        <v>3</v>
      </c>
      <c r="I885">
        <v>900</v>
      </c>
      <c r="J885" s="2">
        <v>45043</v>
      </c>
      <c r="K885" t="s">
        <v>381</v>
      </c>
    </row>
    <row r="886" spans="1:11" x14ac:dyDescent="0.3">
      <c r="A886" t="s">
        <v>73</v>
      </c>
      <c r="B886" t="s">
        <v>11</v>
      </c>
      <c r="C886" t="s">
        <v>29</v>
      </c>
      <c r="D886">
        <v>68</v>
      </c>
      <c r="E886" t="s">
        <v>31</v>
      </c>
      <c r="F886" t="s">
        <v>18</v>
      </c>
      <c r="G886">
        <v>50</v>
      </c>
      <c r="H886">
        <v>2</v>
      </c>
      <c r="I886">
        <v>100</v>
      </c>
      <c r="J886" s="2">
        <v>45154</v>
      </c>
      <c r="K886" t="s">
        <v>373</v>
      </c>
    </row>
    <row r="887" spans="1:11" x14ac:dyDescent="0.3">
      <c r="A887" t="s">
        <v>48</v>
      </c>
      <c r="B887" t="s">
        <v>11</v>
      </c>
      <c r="C887" t="s">
        <v>21</v>
      </c>
      <c r="D887">
        <v>58</v>
      </c>
      <c r="E887" t="s">
        <v>26</v>
      </c>
      <c r="F887" t="s">
        <v>27</v>
      </c>
      <c r="G887">
        <v>200</v>
      </c>
      <c r="H887">
        <v>5</v>
      </c>
      <c r="I887">
        <v>1000</v>
      </c>
      <c r="J887" s="2">
        <v>45221</v>
      </c>
      <c r="K887" t="s">
        <v>375</v>
      </c>
    </row>
    <row r="888" spans="1:11" x14ac:dyDescent="0.3">
      <c r="A888" t="s">
        <v>304</v>
      </c>
      <c r="B888" t="s">
        <v>20</v>
      </c>
      <c r="C888" t="s">
        <v>12</v>
      </c>
      <c r="D888">
        <v>26</v>
      </c>
      <c r="E888" t="s">
        <v>24</v>
      </c>
      <c r="F888" t="s">
        <v>14</v>
      </c>
      <c r="G888">
        <v>1500</v>
      </c>
      <c r="H888">
        <v>4</v>
      </c>
      <c r="I888">
        <v>6000</v>
      </c>
      <c r="J888" s="2">
        <v>45162</v>
      </c>
      <c r="K888" t="s">
        <v>370</v>
      </c>
    </row>
    <row r="889" spans="1:11" x14ac:dyDescent="0.3">
      <c r="A889" t="s">
        <v>154</v>
      </c>
      <c r="B889" t="s">
        <v>11</v>
      </c>
      <c r="C889" t="s">
        <v>29</v>
      </c>
      <c r="D889">
        <v>53</v>
      </c>
      <c r="E889" t="s">
        <v>32</v>
      </c>
      <c r="F889" t="s">
        <v>18</v>
      </c>
      <c r="G889">
        <v>30</v>
      </c>
      <c r="H889">
        <v>2</v>
      </c>
      <c r="I889">
        <v>60</v>
      </c>
      <c r="J889" s="2">
        <v>45226</v>
      </c>
      <c r="K889" t="s">
        <v>381</v>
      </c>
    </row>
    <row r="890" spans="1:11" x14ac:dyDescent="0.3">
      <c r="A890" t="s">
        <v>205</v>
      </c>
      <c r="B890" t="s">
        <v>20</v>
      </c>
      <c r="C890" t="s">
        <v>16</v>
      </c>
      <c r="E890" t="s">
        <v>31</v>
      </c>
      <c r="F890" t="s">
        <v>18</v>
      </c>
      <c r="G890">
        <v>50</v>
      </c>
      <c r="H890">
        <v>3</v>
      </c>
      <c r="I890">
        <v>150</v>
      </c>
      <c r="J890" s="2">
        <v>45256</v>
      </c>
      <c r="K890" t="s">
        <v>373</v>
      </c>
    </row>
    <row r="891" spans="1:11" x14ac:dyDescent="0.3">
      <c r="A891" t="s">
        <v>45</v>
      </c>
      <c r="B891" t="s">
        <v>11</v>
      </c>
      <c r="C891" t="s">
        <v>21</v>
      </c>
      <c r="D891">
        <v>37</v>
      </c>
      <c r="E891" t="s">
        <v>26</v>
      </c>
      <c r="F891" t="s">
        <v>27</v>
      </c>
      <c r="G891">
        <v>200</v>
      </c>
      <c r="H891">
        <v>2</v>
      </c>
      <c r="I891">
        <v>400</v>
      </c>
      <c r="J891" s="2">
        <v>44974</v>
      </c>
      <c r="K891" t="s">
        <v>373</v>
      </c>
    </row>
    <row r="892" spans="1:11" x14ac:dyDescent="0.3">
      <c r="A892" t="s">
        <v>214</v>
      </c>
      <c r="B892" t="s">
        <v>11</v>
      </c>
      <c r="C892" t="s">
        <v>21</v>
      </c>
      <c r="D892">
        <v>67</v>
      </c>
      <c r="E892" t="s">
        <v>13</v>
      </c>
      <c r="F892" t="s">
        <v>14</v>
      </c>
      <c r="G892">
        <v>300</v>
      </c>
      <c r="H892">
        <v>3</v>
      </c>
      <c r="I892">
        <v>900</v>
      </c>
      <c r="J892" s="2">
        <v>45239</v>
      </c>
      <c r="K892" t="s">
        <v>381</v>
      </c>
    </row>
    <row r="893" spans="1:11" x14ac:dyDescent="0.3">
      <c r="A893" t="s">
        <v>263</v>
      </c>
      <c r="B893" t="s">
        <v>20</v>
      </c>
      <c r="C893" t="s">
        <v>16</v>
      </c>
      <c r="D893">
        <v>26</v>
      </c>
      <c r="E893" t="s">
        <v>32</v>
      </c>
      <c r="F893" t="s">
        <v>18</v>
      </c>
      <c r="G893">
        <v>30</v>
      </c>
      <c r="H893">
        <v>1</v>
      </c>
      <c r="I893">
        <v>30</v>
      </c>
      <c r="J893" s="2">
        <v>45087</v>
      </c>
      <c r="K893" t="s">
        <v>373</v>
      </c>
    </row>
    <row r="894" spans="1:11" x14ac:dyDescent="0.3">
      <c r="A894" t="s">
        <v>277</v>
      </c>
      <c r="B894" t="s">
        <v>11</v>
      </c>
      <c r="C894" t="s">
        <v>29</v>
      </c>
      <c r="D894">
        <v>34</v>
      </c>
      <c r="E894" t="s">
        <v>26</v>
      </c>
      <c r="F894" t="s">
        <v>27</v>
      </c>
      <c r="G894">
        <v>200</v>
      </c>
      <c r="H894">
        <v>3</v>
      </c>
      <c r="I894">
        <v>600</v>
      </c>
      <c r="J894" s="2">
        <v>45029</v>
      </c>
      <c r="K894" t="s">
        <v>381</v>
      </c>
    </row>
    <row r="895" spans="1:11" x14ac:dyDescent="0.3">
      <c r="A895" t="s">
        <v>196</v>
      </c>
      <c r="B895" t="s">
        <v>20</v>
      </c>
      <c r="C895" t="s">
        <v>21</v>
      </c>
      <c r="D895">
        <v>53</v>
      </c>
      <c r="E895" t="s">
        <v>32</v>
      </c>
      <c r="F895" t="s">
        <v>18</v>
      </c>
      <c r="G895">
        <v>30</v>
      </c>
      <c r="H895">
        <v>3</v>
      </c>
      <c r="I895">
        <v>90</v>
      </c>
      <c r="J895" s="2">
        <v>45041</v>
      </c>
      <c r="K895" t="s">
        <v>373</v>
      </c>
    </row>
    <row r="896" spans="1:11" x14ac:dyDescent="0.3">
      <c r="A896" t="s">
        <v>50</v>
      </c>
      <c r="B896" t="s">
        <v>20</v>
      </c>
      <c r="C896" t="s">
        <v>29</v>
      </c>
      <c r="E896" t="s">
        <v>42</v>
      </c>
      <c r="F896" t="s">
        <v>14</v>
      </c>
      <c r="G896">
        <v>800</v>
      </c>
      <c r="H896">
        <v>4</v>
      </c>
      <c r="I896">
        <v>3200</v>
      </c>
      <c r="J896" s="2">
        <v>44988</v>
      </c>
      <c r="K896" t="s">
        <v>375</v>
      </c>
    </row>
    <row r="897" spans="1:11" x14ac:dyDescent="0.3">
      <c r="A897" t="s">
        <v>154</v>
      </c>
      <c r="B897" t="s">
        <v>11</v>
      </c>
      <c r="C897" t="s">
        <v>21</v>
      </c>
      <c r="D897">
        <v>53</v>
      </c>
      <c r="E897" t="s">
        <v>13</v>
      </c>
      <c r="F897" t="s">
        <v>14</v>
      </c>
      <c r="G897">
        <v>300</v>
      </c>
      <c r="H897">
        <v>3</v>
      </c>
      <c r="I897">
        <v>900</v>
      </c>
      <c r="J897" s="2">
        <v>44999</v>
      </c>
      <c r="K897" t="s">
        <v>381</v>
      </c>
    </row>
    <row r="898" spans="1:11" x14ac:dyDescent="0.3">
      <c r="A898" t="s">
        <v>290</v>
      </c>
      <c r="B898" t="s">
        <v>11</v>
      </c>
      <c r="C898" t="s">
        <v>21</v>
      </c>
      <c r="D898">
        <v>66</v>
      </c>
      <c r="E898" t="s">
        <v>13</v>
      </c>
      <c r="F898" t="s">
        <v>14</v>
      </c>
      <c r="G898">
        <v>300</v>
      </c>
      <c r="H898">
        <v>1</v>
      </c>
      <c r="I898">
        <v>300</v>
      </c>
      <c r="J898" s="2">
        <v>45019</v>
      </c>
      <c r="K898" t="s">
        <v>381</v>
      </c>
    </row>
    <row r="899" spans="1:11" x14ac:dyDescent="0.3">
      <c r="A899" t="s">
        <v>187</v>
      </c>
      <c r="B899" t="s">
        <v>11</v>
      </c>
      <c r="C899" t="s">
        <v>21</v>
      </c>
      <c r="D899">
        <v>68</v>
      </c>
      <c r="E899" t="s">
        <v>31</v>
      </c>
      <c r="F899" t="s">
        <v>18</v>
      </c>
      <c r="G899">
        <v>50</v>
      </c>
      <c r="H899">
        <v>1</v>
      </c>
      <c r="I899">
        <v>50</v>
      </c>
      <c r="J899" s="2">
        <v>45018</v>
      </c>
      <c r="K899" t="s">
        <v>370</v>
      </c>
    </row>
    <row r="900" spans="1:11" x14ac:dyDescent="0.3">
      <c r="A900" t="s">
        <v>158</v>
      </c>
      <c r="B900" t="s">
        <v>20</v>
      </c>
      <c r="C900" t="s">
        <v>29</v>
      </c>
      <c r="D900">
        <v>54</v>
      </c>
      <c r="E900" t="s">
        <v>42</v>
      </c>
      <c r="F900" t="s">
        <v>14</v>
      </c>
      <c r="G900">
        <v>800</v>
      </c>
      <c r="H900">
        <v>5</v>
      </c>
      <c r="I900">
        <v>4000</v>
      </c>
      <c r="J900" s="2">
        <v>45115</v>
      </c>
      <c r="K900" t="s">
        <v>375</v>
      </c>
    </row>
    <row r="901" spans="1:11" x14ac:dyDescent="0.3">
      <c r="A901" t="s">
        <v>249</v>
      </c>
      <c r="B901" t="s">
        <v>11</v>
      </c>
      <c r="D901">
        <v>37</v>
      </c>
      <c r="E901" t="s">
        <v>17</v>
      </c>
      <c r="F901" t="s">
        <v>18</v>
      </c>
      <c r="G901">
        <v>100</v>
      </c>
      <c r="H901">
        <v>5</v>
      </c>
      <c r="I901">
        <v>500</v>
      </c>
      <c r="J901" s="2">
        <v>45036</v>
      </c>
      <c r="K901" t="s">
        <v>381</v>
      </c>
    </row>
    <row r="902" spans="1:11" x14ac:dyDescent="0.3">
      <c r="A902" t="s">
        <v>110</v>
      </c>
      <c r="B902" t="s">
        <v>20</v>
      </c>
      <c r="C902" t="s">
        <v>29</v>
      </c>
      <c r="D902">
        <v>25</v>
      </c>
      <c r="E902" t="s">
        <v>26</v>
      </c>
      <c r="F902" t="s">
        <v>27</v>
      </c>
      <c r="G902">
        <v>200</v>
      </c>
      <c r="H902">
        <v>2</v>
      </c>
      <c r="I902">
        <v>400</v>
      </c>
      <c r="J902" s="2">
        <v>45218</v>
      </c>
      <c r="K902" t="s">
        <v>373</v>
      </c>
    </row>
    <row r="903" spans="1:11" x14ac:dyDescent="0.3">
      <c r="A903" t="s">
        <v>259</v>
      </c>
      <c r="B903" t="s">
        <v>11</v>
      </c>
      <c r="C903" t="s">
        <v>16</v>
      </c>
      <c r="D903">
        <v>58</v>
      </c>
      <c r="E903" t="s">
        <v>13</v>
      </c>
      <c r="F903" t="s">
        <v>14</v>
      </c>
      <c r="G903">
        <v>300</v>
      </c>
      <c r="H903">
        <v>4</v>
      </c>
      <c r="I903">
        <v>1200</v>
      </c>
      <c r="J903" s="2">
        <v>45060</v>
      </c>
      <c r="K903" t="s">
        <v>373</v>
      </c>
    </row>
    <row r="904" spans="1:11" x14ac:dyDescent="0.3">
      <c r="A904" t="s">
        <v>48</v>
      </c>
      <c r="B904" t="s">
        <v>20</v>
      </c>
      <c r="C904" t="s">
        <v>12</v>
      </c>
      <c r="D904">
        <v>58</v>
      </c>
      <c r="E904" t="s">
        <v>26</v>
      </c>
      <c r="F904" t="s">
        <v>27</v>
      </c>
      <c r="G904">
        <v>200</v>
      </c>
      <c r="H904">
        <v>3</v>
      </c>
      <c r="I904">
        <v>600</v>
      </c>
      <c r="J904" s="2">
        <v>45198</v>
      </c>
      <c r="K904" t="s">
        <v>373</v>
      </c>
    </row>
    <row r="905" spans="1:11" x14ac:dyDescent="0.3">
      <c r="A905" t="s">
        <v>160</v>
      </c>
      <c r="B905" t="s">
        <v>11</v>
      </c>
      <c r="C905" t="s">
        <v>21</v>
      </c>
      <c r="D905">
        <v>32</v>
      </c>
      <c r="E905" t="s">
        <v>24</v>
      </c>
      <c r="F905" t="s">
        <v>14</v>
      </c>
      <c r="G905">
        <v>1500</v>
      </c>
      <c r="H905">
        <v>1</v>
      </c>
      <c r="I905">
        <v>1500</v>
      </c>
      <c r="J905" s="2">
        <v>45286</v>
      </c>
      <c r="K905" t="s">
        <v>370</v>
      </c>
    </row>
    <row r="906" spans="1:11" x14ac:dyDescent="0.3">
      <c r="A906" t="s">
        <v>71</v>
      </c>
      <c r="B906" t="s">
        <v>11</v>
      </c>
      <c r="C906" t="s">
        <v>29</v>
      </c>
      <c r="D906">
        <v>67</v>
      </c>
      <c r="E906" t="s">
        <v>32</v>
      </c>
      <c r="F906" t="s">
        <v>18</v>
      </c>
      <c r="G906">
        <v>30</v>
      </c>
      <c r="H906">
        <v>1</v>
      </c>
      <c r="I906">
        <v>30</v>
      </c>
      <c r="J906" s="2">
        <v>45085</v>
      </c>
      <c r="K906" t="s">
        <v>381</v>
      </c>
    </row>
    <row r="907" spans="1:11" x14ac:dyDescent="0.3">
      <c r="A907" t="s">
        <v>229</v>
      </c>
      <c r="B907" t="s">
        <v>11</v>
      </c>
      <c r="C907" t="s">
        <v>12</v>
      </c>
      <c r="D907">
        <v>66</v>
      </c>
      <c r="E907" t="s">
        <v>31</v>
      </c>
      <c r="F907" t="s">
        <v>18</v>
      </c>
      <c r="G907">
        <v>50</v>
      </c>
      <c r="H907">
        <v>4</v>
      </c>
      <c r="I907">
        <v>200</v>
      </c>
      <c r="J907" s="2">
        <v>45080</v>
      </c>
      <c r="K907" t="s">
        <v>373</v>
      </c>
    </row>
    <row r="908" spans="1:11" x14ac:dyDescent="0.3">
      <c r="A908" t="s">
        <v>309</v>
      </c>
      <c r="B908" t="s">
        <v>11</v>
      </c>
      <c r="C908" t="s">
        <v>16</v>
      </c>
      <c r="D908">
        <v>38</v>
      </c>
      <c r="E908" t="s">
        <v>17</v>
      </c>
      <c r="F908" t="s">
        <v>18</v>
      </c>
      <c r="G908">
        <v>100</v>
      </c>
      <c r="H908">
        <v>3</v>
      </c>
      <c r="I908">
        <v>300</v>
      </c>
      <c r="J908" s="2">
        <v>45260</v>
      </c>
      <c r="K908" t="s">
        <v>370</v>
      </c>
    </row>
    <row r="909" spans="1:11" x14ac:dyDescent="0.3">
      <c r="A909" t="s">
        <v>130</v>
      </c>
      <c r="B909" t="s">
        <v>11</v>
      </c>
      <c r="C909" t="s">
        <v>12</v>
      </c>
      <c r="D909">
        <v>63</v>
      </c>
      <c r="E909" t="s">
        <v>32</v>
      </c>
      <c r="F909" t="s">
        <v>18</v>
      </c>
      <c r="G909">
        <v>30</v>
      </c>
      <c r="H909">
        <v>3</v>
      </c>
      <c r="I909">
        <v>90</v>
      </c>
      <c r="J909" s="2">
        <v>44971</v>
      </c>
      <c r="K909" t="s">
        <v>370</v>
      </c>
    </row>
    <row r="910" spans="1:11" x14ac:dyDescent="0.3">
      <c r="A910" t="s">
        <v>131</v>
      </c>
      <c r="B910" t="s">
        <v>11</v>
      </c>
      <c r="C910" t="s">
        <v>16</v>
      </c>
      <c r="D910">
        <v>62</v>
      </c>
      <c r="E910" t="s">
        <v>31</v>
      </c>
      <c r="F910" t="s">
        <v>18</v>
      </c>
      <c r="G910">
        <v>50</v>
      </c>
      <c r="H910">
        <v>2</v>
      </c>
      <c r="I910">
        <v>100</v>
      </c>
      <c r="J910" s="2">
        <v>45109</v>
      </c>
      <c r="K910" t="s">
        <v>381</v>
      </c>
    </row>
    <row r="911" spans="1:11" x14ac:dyDescent="0.3">
      <c r="A911" t="s">
        <v>201</v>
      </c>
      <c r="B911" t="s">
        <v>20</v>
      </c>
      <c r="C911" t="s">
        <v>16</v>
      </c>
      <c r="D911">
        <v>50</v>
      </c>
      <c r="E911" t="s">
        <v>42</v>
      </c>
      <c r="F911" t="s">
        <v>14</v>
      </c>
      <c r="G911">
        <v>800</v>
      </c>
      <c r="H911">
        <v>1</v>
      </c>
      <c r="I911">
        <v>800</v>
      </c>
      <c r="J911" s="2">
        <v>45090</v>
      </c>
      <c r="K911" t="s">
        <v>373</v>
      </c>
    </row>
    <row r="912" spans="1:11" x14ac:dyDescent="0.3">
      <c r="A912" t="s">
        <v>246</v>
      </c>
      <c r="B912" t="s">
        <v>11</v>
      </c>
      <c r="C912" t="s">
        <v>16</v>
      </c>
      <c r="D912">
        <v>23</v>
      </c>
      <c r="E912" t="s">
        <v>13</v>
      </c>
      <c r="F912" t="s">
        <v>14</v>
      </c>
      <c r="G912">
        <v>300</v>
      </c>
      <c r="H912">
        <v>4</v>
      </c>
      <c r="I912">
        <v>1200</v>
      </c>
      <c r="J912" s="2">
        <v>45013</v>
      </c>
      <c r="K912" t="s">
        <v>375</v>
      </c>
    </row>
    <row r="913" spans="1:11" x14ac:dyDescent="0.3">
      <c r="A913" t="s">
        <v>229</v>
      </c>
      <c r="B913" t="s">
        <v>11</v>
      </c>
      <c r="C913" t="s">
        <v>29</v>
      </c>
      <c r="D913">
        <v>66</v>
      </c>
      <c r="E913" t="s">
        <v>17</v>
      </c>
      <c r="F913" t="s">
        <v>18</v>
      </c>
      <c r="G913">
        <v>100</v>
      </c>
      <c r="H913">
        <v>5</v>
      </c>
      <c r="I913">
        <v>500</v>
      </c>
      <c r="J913" s="2">
        <v>45284</v>
      </c>
      <c r="K913" t="s">
        <v>373</v>
      </c>
    </row>
    <row r="914" spans="1:11" x14ac:dyDescent="0.3">
      <c r="A914" t="s">
        <v>311</v>
      </c>
      <c r="B914" t="s">
        <v>11</v>
      </c>
      <c r="C914" t="s">
        <v>21</v>
      </c>
      <c r="D914">
        <v>21</v>
      </c>
      <c r="E914" t="s">
        <v>32</v>
      </c>
      <c r="F914" t="s">
        <v>18</v>
      </c>
      <c r="G914">
        <v>30</v>
      </c>
      <c r="H914">
        <v>4</v>
      </c>
      <c r="I914">
        <v>120</v>
      </c>
      <c r="J914" s="2">
        <v>45070</v>
      </c>
      <c r="K914" t="s">
        <v>375</v>
      </c>
    </row>
    <row r="915" spans="1:11" x14ac:dyDescent="0.3">
      <c r="A915" t="s">
        <v>215</v>
      </c>
      <c r="B915" t="s">
        <v>20</v>
      </c>
      <c r="C915" t="s">
        <v>21</v>
      </c>
      <c r="D915">
        <v>49</v>
      </c>
      <c r="E915" t="s">
        <v>13</v>
      </c>
      <c r="F915" t="s">
        <v>14</v>
      </c>
      <c r="G915">
        <v>300</v>
      </c>
      <c r="H915">
        <v>3</v>
      </c>
      <c r="I915">
        <v>900</v>
      </c>
      <c r="J915" s="2">
        <v>45067</v>
      </c>
      <c r="K915" t="s">
        <v>375</v>
      </c>
    </row>
    <row r="916" spans="1:11" x14ac:dyDescent="0.3">
      <c r="A916" t="s">
        <v>222</v>
      </c>
      <c r="B916" t="s">
        <v>20</v>
      </c>
      <c r="C916" t="s">
        <v>12</v>
      </c>
      <c r="D916">
        <v>18</v>
      </c>
      <c r="E916" t="s">
        <v>31</v>
      </c>
      <c r="F916" t="s">
        <v>18</v>
      </c>
      <c r="G916">
        <v>50</v>
      </c>
      <c r="H916">
        <v>5</v>
      </c>
      <c r="I916">
        <v>250</v>
      </c>
      <c r="J916" s="2">
        <v>44931</v>
      </c>
      <c r="K916" t="s">
        <v>373</v>
      </c>
    </row>
    <row r="917" spans="1:11" x14ac:dyDescent="0.3">
      <c r="A917" t="s">
        <v>312</v>
      </c>
      <c r="B917" t="s">
        <v>20</v>
      </c>
      <c r="C917" t="s">
        <v>16</v>
      </c>
      <c r="D917">
        <v>29</v>
      </c>
      <c r="E917" t="s">
        <v>32</v>
      </c>
      <c r="F917" t="s">
        <v>18</v>
      </c>
      <c r="G917">
        <v>30</v>
      </c>
      <c r="H917">
        <v>4</v>
      </c>
      <c r="I917">
        <v>120</v>
      </c>
      <c r="J917" s="2">
        <v>45249</v>
      </c>
      <c r="K917" t="s">
        <v>375</v>
      </c>
    </row>
    <row r="918" spans="1:11" x14ac:dyDescent="0.3">
      <c r="A918" t="s">
        <v>313</v>
      </c>
      <c r="B918" t="s">
        <v>20</v>
      </c>
      <c r="C918" t="s">
        <v>29</v>
      </c>
      <c r="E918" t="s">
        <v>31</v>
      </c>
      <c r="F918" t="s">
        <v>18</v>
      </c>
      <c r="G918">
        <v>50</v>
      </c>
      <c r="H918">
        <v>5</v>
      </c>
      <c r="I918">
        <v>250</v>
      </c>
      <c r="J918" s="2">
        <v>45140</v>
      </c>
      <c r="K918" t="s">
        <v>370</v>
      </c>
    </row>
    <row r="919" spans="1:11" x14ac:dyDescent="0.3">
      <c r="A919" t="s">
        <v>263</v>
      </c>
      <c r="B919" t="s">
        <v>11</v>
      </c>
      <c r="C919" t="s">
        <v>12</v>
      </c>
      <c r="E919" t="s">
        <v>13</v>
      </c>
      <c r="F919" t="s">
        <v>14</v>
      </c>
      <c r="G919">
        <v>300</v>
      </c>
      <c r="H919">
        <v>1</v>
      </c>
      <c r="I919">
        <v>300</v>
      </c>
      <c r="J919" s="2">
        <v>45093</v>
      </c>
      <c r="K919" t="s">
        <v>370</v>
      </c>
    </row>
    <row r="920" spans="1:11" x14ac:dyDescent="0.3">
      <c r="A920" t="s">
        <v>236</v>
      </c>
      <c r="B920" t="s">
        <v>20</v>
      </c>
      <c r="C920" t="s">
        <v>21</v>
      </c>
      <c r="D920">
        <v>18</v>
      </c>
      <c r="E920" t="s">
        <v>32</v>
      </c>
      <c r="F920" t="s">
        <v>18</v>
      </c>
      <c r="G920">
        <v>30</v>
      </c>
      <c r="H920">
        <v>3</v>
      </c>
      <c r="I920">
        <v>90</v>
      </c>
      <c r="J920" s="2">
        <v>44963</v>
      </c>
      <c r="K920" t="s">
        <v>373</v>
      </c>
    </row>
    <row r="921" spans="1:11" x14ac:dyDescent="0.3">
      <c r="A921" t="s">
        <v>140</v>
      </c>
      <c r="B921" t="s">
        <v>20</v>
      </c>
      <c r="C921" t="s">
        <v>29</v>
      </c>
      <c r="D921">
        <v>44</v>
      </c>
      <c r="E921" t="s">
        <v>17</v>
      </c>
      <c r="F921" t="s">
        <v>18</v>
      </c>
      <c r="G921">
        <v>100</v>
      </c>
      <c r="H921">
        <v>3</v>
      </c>
      <c r="I921">
        <v>300</v>
      </c>
      <c r="J921" s="2">
        <v>45197</v>
      </c>
      <c r="K921" t="s">
        <v>381</v>
      </c>
    </row>
    <row r="922" spans="1:11" x14ac:dyDescent="0.3">
      <c r="A922" t="s">
        <v>106</v>
      </c>
      <c r="B922" t="s">
        <v>11</v>
      </c>
      <c r="C922" t="s">
        <v>21</v>
      </c>
      <c r="D922">
        <v>69</v>
      </c>
      <c r="E922" t="s">
        <v>42</v>
      </c>
      <c r="F922" t="s">
        <v>14</v>
      </c>
      <c r="G922">
        <v>800</v>
      </c>
      <c r="H922">
        <v>4</v>
      </c>
      <c r="I922">
        <v>3200</v>
      </c>
      <c r="J922" s="2">
        <v>45237</v>
      </c>
      <c r="K922" t="s">
        <v>370</v>
      </c>
    </row>
    <row r="923" spans="1:11" x14ac:dyDescent="0.3">
      <c r="A923" t="s">
        <v>163</v>
      </c>
      <c r="B923" t="s">
        <v>11</v>
      </c>
      <c r="C923" t="s">
        <v>12</v>
      </c>
      <c r="D923">
        <v>65</v>
      </c>
      <c r="E923" t="s">
        <v>31</v>
      </c>
      <c r="F923" t="s">
        <v>18</v>
      </c>
      <c r="G923">
        <v>50</v>
      </c>
      <c r="H923">
        <v>5</v>
      </c>
      <c r="I923">
        <v>250</v>
      </c>
      <c r="J923" s="2">
        <v>45020</v>
      </c>
      <c r="K923" t="s">
        <v>373</v>
      </c>
    </row>
    <row r="924" spans="1:11" x14ac:dyDescent="0.3">
      <c r="A924" t="s">
        <v>192</v>
      </c>
      <c r="B924" t="s">
        <v>20</v>
      </c>
      <c r="C924" t="s">
        <v>16</v>
      </c>
      <c r="D924">
        <v>59</v>
      </c>
      <c r="E924" t="s">
        <v>42</v>
      </c>
      <c r="F924" t="s">
        <v>14</v>
      </c>
      <c r="G924">
        <v>800</v>
      </c>
      <c r="H924">
        <v>5</v>
      </c>
      <c r="I924">
        <v>4000</v>
      </c>
      <c r="J924" s="2">
        <v>45254</v>
      </c>
      <c r="K924" t="s">
        <v>375</v>
      </c>
    </row>
    <row r="925" spans="1:11" x14ac:dyDescent="0.3">
      <c r="A925" t="s">
        <v>142</v>
      </c>
      <c r="B925" t="s">
        <v>20</v>
      </c>
      <c r="C925" t="s">
        <v>29</v>
      </c>
      <c r="D925">
        <v>66</v>
      </c>
      <c r="E925" t="s">
        <v>17</v>
      </c>
      <c r="F925" t="s">
        <v>18</v>
      </c>
      <c r="G925">
        <v>100</v>
      </c>
      <c r="H925">
        <v>2</v>
      </c>
      <c r="I925">
        <v>200</v>
      </c>
      <c r="J925" s="2">
        <v>45188</v>
      </c>
      <c r="K925" t="s">
        <v>370</v>
      </c>
    </row>
    <row r="926" spans="1:11" x14ac:dyDescent="0.3">
      <c r="A926" t="s">
        <v>163</v>
      </c>
      <c r="B926" t="s">
        <v>11</v>
      </c>
      <c r="C926" t="s">
        <v>12</v>
      </c>
      <c r="D926">
        <v>65</v>
      </c>
      <c r="E926" t="s">
        <v>13</v>
      </c>
      <c r="F926" t="s">
        <v>14</v>
      </c>
      <c r="G926">
        <v>300</v>
      </c>
      <c r="H926">
        <v>3</v>
      </c>
      <c r="I926">
        <v>900</v>
      </c>
      <c r="J926" s="2">
        <v>44971</v>
      </c>
      <c r="K926" t="s">
        <v>373</v>
      </c>
    </row>
    <row r="927" spans="1:11" x14ac:dyDescent="0.3">
      <c r="A927" t="s">
        <v>59</v>
      </c>
      <c r="B927" t="s">
        <v>11</v>
      </c>
      <c r="C927" t="s">
        <v>21</v>
      </c>
      <c r="D927">
        <v>41</v>
      </c>
      <c r="E927" t="s">
        <v>31</v>
      </c>
      <c r="F927" t="s">
        <v>18</v>
      </c>
      <c r="G927">
        <v>50</v>
      </c>
      <c r="H927">
        <v>3</v>
      </c>
      <c r="I927">
        <v>150</v>
      </c>
      <c r="J927" s="2">
        <v>44998</v>
      </c>
      <c r="K927" t="s">
        <v>373</v>
      </c>
    </row>
    <row r="928" spans="1:11" x14ac:dyDescent="0.3">
      <c r="A928" t="s">
        <v>52</v>
      </c>
      <c r="B928" t="s">
        <v>11</v>
      </c>
      <c r="C928" t="s">
        <v>12</v>
      </c>
      <c r="D928">
        <v>31</v>
      </c>
      <c r="E928" t="s">
        <v>32</v>
      </c>
      <c r="F928" t="s">
        <v>18</v>
      </c>
      <c r="G928">
        <v>30</v>
      </c>
      <c r="H928">
        <v>1</v>
      </c>
      <c r="I928">
        <v>30</v>
      </c>
      <c r="J928" s="2">
        <v>45162</v>
      </c>
      <c r="K928" t="s">
        <v>381</v>
      </c>
    </row>
    <row r="929" spans="1:11" x14ac:dyDescent="0.3">
      <c r="A929" t="s">
        <v>151</v>
      </c>
      <c r="B929" t="s">
        <v>11</v>
      </c>
      <c r="C929" t="s">
        <v>29</v>
      </c>
      <c r="D929">
        <v>59</v>
      </c>
      <c r="E929" t="s">
        <v>13</v>
      </c>
      <c r="F929" t="s">
        <v>14</v>
      </c>
      <c r="G929">
        <v>300</v>
      </c>
      <c r="H929">
        <v>3</v>
      </c>
      <c r="I929">
        <v>900</v>
      </c>
      <c r="J929" s="2">
        <v>45047</v>
      </c>
      <c r="K929" t="s">
        <v>375</v>
      </c>
    </row>
    <row r="930" spans="1:11" x14ac:dyDescent="0.3">
      <c r="A930" t="s">
        <v>116</v>
      </c>
      <c r="B930" t="s">
        <v>20</v>
      </c>
      <c r="C930" t="s">
        <v>29</v>
      </c>
      <c r="E930" t="s">
        <v>24</v>
      </c>
      <c r="F930" t="s">
        <v>14</v>
      </c>
      <c r="G930">
        <v>1500</v>
      </c>
      <c r="H930">
        <v>5</v>
      </c>
      <c r="I930">
        <v>7500</v>
      </c>
      <c r="J930" s="2">
        <v>45192</v>
      </c>
      <c r="K930" t="s">
        <v>375</v>
      </c>
    </row>
    <row r="931" spans="1:11" x14ac:dyDescent="0.3">
      <c r="A931" t="s">
        <v>242</v>
      </c>
      <c r="B931" t="s">
        <v>20</v>
      </c>
      <c r="C931" t="s">
        <v>16</v>
      </c>
      <c r="D931">
        <v>27</v>
      </c>
      <c r="E931" t="s">
        <v>42</v>
      </c>
      <c r="F931" t="s">
        <v>14</v>
      </c>
      <c r="G931">
        <v>800</v>
      </c>
      <c r="H931">
        <v>4</v>
      </c>
      <c r="I931">
        <v>3200</v>
      </c>
      <c r="J931" s="2">
        <v>44960</v>
      </c>
      <c r="K931" t="s">
        <v>375</v>
      </c>
    </row>
    <row r="932" spans="1:11" x14ac:dyDescent="0.3">
      <c r="A932" t="s">
        <v>163</v>
      </c>
      <c r="B932" t="s">
        <v>20</v>
      </c>
      <c r="C932" t="s">
        <v>16</v>
      </c>
      <c r="D932">
        <v>65</v>
      </c>
      <c r="E932" t="s">
        <v>42</v>
      </c>
      <c r="F932" t="s">
        <v>14</v>
      </c>
      <c r="G932">
        <v>800</v>
      </c>
      <c r="H932">
        <v>5</v>
      </c>
      <c r="I932">
        <v>4000</v>
      </c>
      <c r="J932" s="2">
        <v>45289</v>
      </c>
      <c r="K932" t="s">
        <v>373</v>
      </c>
    </row>
    <row r="933" spans="1:11" x14ac:dyDescent="0.3">
      <c r="A933" t="s">
        <v>224</v>
      </c>
      <c r="B933" t="s">
        <v>11</v>
      </c>
      <c r="C933" t="s">
        <v>16</v>
      </c>
      <c r="D933">
        <v>67</v>
      </c>
      <c r="E933" t="s">
        <v>42</v>
      </c>
      <c r="F933" t="s">
        <v>14</v>
      </c>
      <c r="G933">
        <v>800</v>
      </c>
      <c r="H933">
        <v>3</v>
      </c>
      <c r="I933">
        <v>2400</v>
      </c>
      <c r="J933" s="2">
        <v>45274</v>
      </c>
      <c r="K933" t="s">
        <v>373</v>
      </c>
    </row>
    <row r="934" spans="1:11" x14ac:dyDescent="0.3">
      <c r="A934" t="s">
        <v>212</v>
      </c>
      <c r="B934" t="s">
        <v>11</v>
      </c>
      <c r="C934" t="s">
        <v>16</v>
      </c>
      <c r="D934">
        <v>54</v>
      </c>
      <c r="E934" t="s">
        <v>32</v>
      </c>
      <c r="F934" t="s">
        <v>18</v>
      </c>
      <c r="G934">
        <v>30</v>
      </c>
      <c r="H934">
        <v>4</v>
      </c>
      <c r="I934">
        <v>120</v>
      </c>
      <c r="J934" s="2">
        <v>44970</v>
      </c>
      <c r="K934" t="s">
        <v>375</v>
      </c>
    </row>
    <row r="935" spans="1:11" x14ac:dyDescent="0.3">
      <c r="A935" t="s">
        <v>224</v>
      </c>
      <c r="B935" t="s">
        <v>20</v>
      </c>
      <c r="C935" t="s">
        <v>29</v>
      </c>
      <c r="D935">
        <v>67</v>
      </c>
      <c r="E935" t="s">
        <v>32</v>
      </c>
      <c r="F935" t="s">
        <v>18</v>
      </c>
      <c r="G935">
        <v>30</v>
      </c>
      <c r="H935">
        <v>2</v>
      </c>
      <c r="I935">
        <v>60</v>
      </c>
      <c r="J935" s="2">
        <v>45011</v>
      </c>
      <c r="K935" t="s">
        <v>373</v>
      </c>
    </row>
    <row r="936" spans="1:11" x14ac:dyDescent="0.3">
      <c r="A936" t="s">
        <v>85</v>
      </c>
      <c r="B936" t="s">
        <v>11</v>
      </c>
      <c r="C936" t="s">
        <v>29</v>
      </c>
      <c r="D936">
        <v>36</v>
      </c>
      <c r="E936" t="s">
        <v>42</v>
      </c>
      <c r="F936" t="s">
        <v>14</v>
      </c>
      <c r="G936">
        <v>800</v>
      </c>
      <c r="H936">
        <v>2</v>
      </c>
      <c r="I936">
        <v>1600</v>
      </c>
      <c r="J936" s="2">
        <v>45141</v>
      </c>
      <c r="K936" t="s">
        <v>381</v>
      </c>
    </row>
    <row r="937" spans="1:11" x14ac:dyDescent="0.3">
      <c r="A937" t="s">
        <v>308</v>
      </c>
      <c r="B937" t="s">
        <v>11</v>
      </c>
      <c r="C937" t="s">
        <v>21</v>
      </c>
      <c r="D937">
        <v>44</v>
      </c>
      <c r="E937" t="s">
        <v>24</v>
      </c>
      <c r="F937" t="s">
        <v>14</v>
      </c>
      <c r="G937">
        <v>1500</v>
      </c>
      <c r="H937">
        <v>5</v>
      </c>
      <c r="I937">
        <v>7500</v>
      </c>
      <c r="J937" s="2">
        <v>45181</v>
      </c>
      <c r="K937" t="s">
        <v>373</v>
      </c>
    </row>
    <row r="938" spans="1:11" x14ac:dyDescent="0.3">
      <c r="A938" t="s">
        <v>46</v>
      </c>
      <c r="B938" t="s">
        <v>20</v>
      </c>
      <c r="C938" t="s">
        <v>16</v>
      </c>
      <c r="D938">
        <v>40</v>
      </c>
      <c r="E938" t="s">
        <v>24</v>
      </c>
      <c r="F938" t="s">
        <v>14</v>
      </c>
      <c r="G938">
        <v>1500</v>
      </c>
      <c r="H938">
        <v>1</v>
      </c>
      <c r="I938">
        <v>1500</v>
      </c>
      <c r="J938" s="2">
        <v>45128</v>
      </c>
      <c r="K938" t="s">
        <v>373</v>
      </c>
    </row>
    <row r="939" spans="1:11" x14ac:dyDescent="0.3">
      <c r="A939" t="s">
        <v>145</v>
      </c>
      <c r="B939" t="s">
        <v>11</v>
      </c>
      <c r="C939" t="s">
        <v>21</v>
      </c>
      <c r="D939">
        <v>50</v>
      </c>
      <c r="E939" t="s">
        <v>32</v>
      </c>
      <c r="F939" t="s">
        <v>18</v>
      </c>
      <c r="G939">
        <v>30</v>
      </c>
      <c r="H939">
        <v>3</v>
      </c>
      <c r="I939">
        <v>90</v>
      </c>
      <c r="J939" s="2">
        <v>44931</v>
      </c>
      <c r="K939" t="s">
        <v>370</v>
      </c>
    </row>
    <row r="940" spans="1:11" x14ac:dyDescent="0.3">
      <c r="A940" t="s">
        <v>147</v>
      </c>
      <c r="B940" t="s">
        <v>11</v>
      </c>
      <c r="C940" t="s">
        <v>21</v>
      </c>
      <c r="D940">
        <v>30</v>
      </c>
      <c r="E940" t="s">
        <v>26</v>
      </c>
      <c r="F940" t="s">
        <v>27</v>
      </c>
      <c r="G940">
        <v>200</v>
      </c>
      <c r="H940">
        <v>4</v>
      </c>
      <c r="I940">
        <v>800</v>
      </c>
      <c r="J940" s="2">
        <v>45105</v>
      </c>
      <c r="K940" t="s">
        <v>381</v>
      </c>
    </row>
    <row r="941" spans="1:11" x14ac:dyDescent="0.3">
      <c r="A941" t="s">
        <v>150</v>
      </c>
      <c r="B941" t="s">
        <v>11</v>
      </c>
      <c r="C941" t="s">
        <v>21</v>
      </c>
      <c r="D941">
        <v>56</v>
      </c>
      <c r="E941" t="s">
        <v>26</v>
      </c>
      <c r="F941" t="s">
        <v>27</v>
      </c>
      <c r="G941">
        <v>200</v>
      </c>
      <c r="H941">
        <v>3</v>
      </c>
      <c r="I941">
        <v>600</v>
      </c>
      <c r="J941" s="2">
        <v>45294</v>
      </c>
      <c r="K941" t="s">
        <v>370</v>
      </c>
    </row>
    <row r="942" spans="1:11" x14ac:dyDescent="0.3">
      <c r="A942" t="s">
        <v>153</v>
      </c>
      <c r="B942" t="s">
        <v>20</v>
      </c>
      <c r="C942" t="s">
        <v>12</v>
      </c>
      <c r="D942">
        <v>66</v>
      </c>
      <c r="E942" t="s">
        <v>13</v>
      </c>
      <c r="F942" t="s">
        <v>14</v>
      </c>
      <c r="G942">
        <v>300</v>
      </c>
      <c r="H942">
        <v>5</v>
      </c>
      <c r="I942">
        <v>1500</v>
      </c>
      <c r="J942" s="2">
        <v>45049</v>
      </c>
      <c r="K942" t="s">
        <v>375</v>
      </c>
    </row>
    <row r="943" spans="1:11" x14ac:dyDescent="0.3">
      <c r="A943" t="s">
        <v>143</v>
      </c>
      <c r="B943" t="s">
        <v>20</v>
      </c>
      <c r="C943" t="s">
        <v>16</v>
      </c>
      <c r="D943">
        <v>39</v>
      </c>
      <c r="E943" t="s">
        <v>13</v>
      </c>
      <c r="F943" t="s">
        <v>14</v>
      </c>
      <c r="G943">
        <v>300</v>
      </c>
      <c r="H943">
        <v>1</v>
      </c>
      <c r="I943">
        <v>300</v>
      </c>
      <c r="J943" s="2">
        <v>45130</v>
      </c>
      <c r="K943" t="s">
        <v>375</v>
      </c>
    </row>
    <row r="944" spans="1:11" x14ac:dyDescent="0.3">
      <c r="A944" t="s">
        <v>95</v>
      </c>
      <c r="B944" t="s">
        <v>20</v>
      </c>
      <c r="C944" t="s">
        <v>29</v>
      </c>
      <c r="D944">
        <v>47</v>
      </c>
      <c r="E944" t="s">
        <v>26</v>
      </c>
      <c r="F944" t="s">
        <v>27</v>
      </c>
      <c r="G944">
        <v>200</v>
      </c>
      <c r="H944">
        <v>1</v>
      </c>
      <c r="I944">
        <v>200</v>
      </c>
      <c r="J944" s="2">
        <v>45273</v>
      </c>
      <c r="K944" t="s">
        <v>381</v>
      </c>
    </row>
    <row r="945" spans="1:11" x14ac:dyDescent="0.3">
      <c r="A945" t="s">
        <v>284</v>
      </c>
      <c r="B945" t="s">
        <v>11</v>
      </c>
      <c r="C945" t="s">
        <v>21</v>
      </c>
      <c r="D945">
        <v>46</v>
      </c>
      <c r="E945" t="s">
        <v>31</v>
      </c>
      <c r="F945" t="s">
        <v>18</v>
      </c>
      <c r="G945">
        <v>50</v>
      </c>
      <c r="H945">
        <v>5</v>
      </c>
      <c r="I945">
        <v>250</v>
      </c>
      <c r="J945" s="2">
        <v>45068</v>
      </c>
      <c r="K945" t="s">
        <v>373</v>
      </c>
    </row>
    <row r="946" spans="1:11" x14ac:dyDescent="0.3">
      <c r="A946" t="s">
        <v>220</v>
      </c>
      <c r="B946" t="s">
        <v>20</v>
      </c>
      <c r="C946" t="s">
        <v>12</v>
      </c>
      <c r="D946">
        <v>66</v>
      </c>
      <c r="E946" t="s">
        <v>31</v>
      </c>
      <c r="F946" t="s">
        <v>18</v>
      </c>
      <c r="G946">
        <v>50</v>
      </c>
      <c r="H946">
        <v>3</v>
      </c>
      <c r="I946">
        <v>150</v>
      </c>
      <c r="J946" s="2">
        <v>45272</v>
      </c>
      <c r="K946" t="s">
        <v>370</v>
      </c>
    </row>
    <row r="947" spans="1:11" x14ac:dyDescent="0.3">
      <c r="A947" t="s">
        <v>128</v>
      </c>
      <c r="B947" t="s">
        <v>11</v>
      </c>
      <c r="C947" t="s">
        <v>29</v>
      </c>
      <c r="D947">
        <v>50</v>
      </c>
      <c r="E947" t="s">
        <v>13</v>
      </c>
      <c r="F947" t="s">
        <v>14</v>
      </c>
      <c r="G947">
        <v>300</v>
      </c>
      <c r="H947">
        <v>4</v>
      </c>
      <c r="I947">
        <v>1200</v>
      </c>
      <c r="J947" s="2">
        <v>44954</v>
      </c>
      <c r="K947" t="s">
        <v>381</v>
      </c>
    </row>
    <row r="948" spans="1:11" x14ac:dyDescent="0.3">
      <c r="A948" t="s">
        <v>76</v>
      </c>
      <c r="B948" t="s">
        <v>11</v>
      </c>
      <c r="C948" t="s">
        <v>29</v>
      </c>
      <c r="E948" t="s">
        <v>26</v>
      </c>
      <c r="F948" t="s">
        <v>27</v>
      </c>
      <c r="G948">
        <v>200</v>
      </c>
      <c r="H948">
        <v>3</v>
      </c>
      <c r="I948">
        <v>600</v>
      </c>
      <c r="J948" s="2">
        <v>45258</v>
      </c>
      <c r="K948" t="s">
        <v>370</v>
      </c>
    </row>
    <row r="949" spans="1:11" x14ac:dyDescent="0.3">
      <c r="A949" t="s">
        <v>124</v>
      </c>
      <c r="B949" t="s">
        <v>20</v>
      </c>
      <c r="C949" t="s">
        <v>29</v>
      </c>
      <c r="D949">
        <v>19</v>
      </c>
      <c r="E949" t="s">
        <v>13</v>
      </c>
      <c r="F949" t="s">
        <v>14</v>
      </c>
      <c r="G949">
        <v>300</v>
      </c>
      <c r="H949">
        <v>3</v>
      </c>
      <c r="I949">
        <v>900</v>
      </c>
      <c r="J949" s="2">
        <v>45262</v>
      </c>
      <c r="K949" t="s">
        <v>373</v>
      </c>
    </row>
    <row r="950" spans="1:11" x14ac:dyDescent="0.3">
      <c r="A950" t="s">
        <v>257</v>
      </c>
      <c r="B950" t="s">
        <v>11</v>
      </c>
      <c r="C950" t="s">
        <v>16</v>
      </c>
      <c r="D950">
        <v>39</v>
      </c>
      <c r="E950" t="s">
        <v>31</v>
      </c>
      <c r="F950" t="s">
        <v>18</v>
      </c>
      <c r="G950">
        <v>50</v>
      </c>
      <c r="H950">
        <v>1</v>
      </c>
      <c r="I950">
        <v>50</v>
      </c>
      <c r="J950" s="2">
        <v>45075</v>
      </c>
      <c r="K950" t="s">
        <v>370</v>
      </c>
    </row>
    <row r="951" spans="1:11" x14ac:dyDescent="0.3">
      <c r="A951" t="s">
        <v>10</v>
      </c>
      <c r="B951" t="s">
        <v>11</v>
      </c>
      <c r="C951" t="s">
        <v>29</v>
      </c>
      <c r="D951">
        <v>21</v>
      </c>
      <c r="E951" t="s">
        <v>13</v>
      </c>
      <c r="F951" t="s">
        <v>14</v>
      </c>
      <c r="G951">
        <v>300</v>
      </c>
      <c r="H951">
        <v>4</v>
      </c>
      <c r="I951">
        <v>1200</v>
      </c>
      <c r="J951" s="2">
        <v>45062</v>
      </c>
      <c r="K951" t="s">
        <v>381</v>
      </c>
    </row>
    <row r="952" spans="1:11" x14ac:dyDescent="0.3">
      <c r="A952" t="s">
        <v>138</v>
      </c>
      <c r="B952" t="s">
        <v>20</v>
      </c>
      <c r="C952" t="s">
        <v>21</v>
      </c>
      <c r="D952">
        <v>37</v>
      </c>
      <c r="E952" t="s">
        <v>17</v>
      </c>
      <c r="F952" t="s">
        <v>18</v>
      </c>
      <c r="G952">
        <v>100</v>
      </c>
      <c r="H952">
        <v>3</v>
      </c>
      <c r="I952">
        <v>300</v>
      </c>
      <c r="J952" s="2">
        <v>45139</v>
      </c>
      <c r="K952" t="s">
        <v>373</v>
      </c>
    </row>
    <row r="953" spans="1:11" x14ac:dyDescent="0.3">
      <c r="A953" t="s">
        <v>265</v>
      </c>
      <c r="B953" t="s">
        <v>11</v>
      </c>
      <c r="C953" t="s">
        <v>21</v>
      </c>
      <c r="D953">
        <v>64</v>
      </c>
      <c r="E953" t="s">
        <v>32</v>
      </c>
      <c r="F953" t="s">
        <v>18</v>
      </c>
      <c r="G953">
        <v>30</v>
      </c>
      <c r="H953">
        <v>1</v>
      </c>
      <c r="I953">
        <v>30</v>
      </c>
      <c r="J953" s="2">
        <v>45138</v>
      </c>
      <c r="K953" t="s">
        <v>373</v>
      </c>
    </row>
    <row r="954" spans="1:11" x14ac:dyDescent="0.3">
      <c r="A954" t="s">
        <v>228</v>
      </c>
      <c r="B954" t="s">
        <v>11</v>
      </c>
      <c r="C954" t="s">
        <v>12</v>
      </c>
      <c r="E954" t="s">
        <v>31</v>
      </c>
      <c r="F954" t="s">
        <v>18</v>
      </c>
      <c r="G954">
        <v>50</v>
      </c>
      <c r="H954">
        <v>3</v>
      </c>
      <c r="I954">
        <v>150</v>
      </c>
      <c r="J954" s="2">
        <v>45118</v>
      </c>
      <c r="K954" t="s">
        <v>381</v>
      </c>
    </row>
    <row r="955" spans="1:11" x14ac:dyDescent="0.3">
      <c r="A955" t="s">
        <v>119</v>
      </c>
      <c r="B955" t="s">
        <v>11</v>
      </c>
      <c r="C955" t="s">
        <v>12</v>
      </c>
      <c r="D955">
        <v>29</v>
      </c>
      <c r="E955" t="s">
        <v>24</v>
      </c>
      <c r="F955" t="s">
        <v>14</v>
      </c>
      <c r="G955">
        <v>1500</v>
      </c>
      <c r="H955">
        <v>2</v>
      </c>
      <c r="I955">
        <v>3000</v>
      </c>
      <c r="J955" s="2">
        <v>44952</v>
      </c>
      <c r="K955" t="s">
        <v>373</v>
      </c>
    </row>
    <row r="956" spans="1:11" x14ac:dyDescent="0.3">
      <c r="A956" t="s">
        <v>213</v>
      </c>
      <c r="B956" t="s">
        <v>11</v>
      </c>
      <c r="C956" t="s">
        <v>21</v>
      </c>
      <c r="E956" t="s">
        <v>42</v>
      </c>
      <c r="F956" t="s">
        <v>14</v>
      </c>
      <c r="G956">
        <v>800</v>
      </c>
      <c r="H956">
        <v>5</v>
      </c>
      <c r="I956">
        <v>4000</v>
      </c>
      <c r="J956" s="2">
        <v>45244</v>
      </c>
      <c r="K956" t="s">
        <v>370</v>
      </c>
    </row>
    <row r="957" spans="1:11" x14ac:dyDescent="0.3">
      <c r="A957" t="s">
        <v>112</v>
      </c>
      <c r="B957" t="s">
        <v>11</v>
      </c>
      <c r="C957" t="s">
        <v>21</v>
      </c>
      <c r="D957">
        <v>38</v>
      </c>
      <c r="E957" t="s">
        <v>13</v>
      </c>
      <c r="F957" t="s">
        <v>14</v>
      </c>
      <c r="G957">
        <v>300</v>
      </c>
      <c r="H957">
        <v>5</v>
      </c>
      <c r="I957">
        <v>1500</v>
      </c>
      <c r="J957" s="2">
        <v>44983</v>
      </c>
      <c r="K957" t="s">
        <v>375</v>
      </c>
    </row>
    <row r="958" spans="1:11" x14ac:dyDescent="0.3">
      <c r="A958" t="s">
        <v>257</v>
      </c>
      <c r="B958" t="s">
        <v>11</v>
      </c>
      <c r="C958" t="s">
        <v>16</v>
      </c>
      <c r="D958">
        <v>39</v>
      </c>
      <c r="E958" t="s">
        <v>42</v>
      </c>
      <c r="F958" t="s">
        <v>14</v>
      </c>
      <c r="G958">
        <v>800</v>
      </c>
      <c r="H958">
        <v>3</v>
      </c>
      <c r="I958">
        <v>2400</v>
      </c>
      <c r="J958" s="2">
        <v>45133</v>
      </c>
      <c r="K958" t="s">
        <v>381</v>
      </c>
    </row>
    <row r="959" spans="1:11" x14ac:dyDescent="0.3">
      <c r="A959" t="s">
        <v>130</v>
      </c>
      <c r="B959" t="s">
        <v>11</v>
      </c>
      <c r="C959" t="s">
        <v>21</v>
      </c>
      <c r="D959">
        <v>63</v>
      </c>
      <c r="E959" t="s">
        <v>26</v>
      </c>
      <c r="F959" t="s">
        <v>27</v>
      </c>
      <c r="G959">
        <v>200</v>
      </c>
      <c r="H959">
        <v>4</v>
      </c>
      <c r="I959">
        <v>800</v>
      </c>
      <c r="J959" s="2">
        <v>45084</v>
      </c>
      <c r="K959" t="s">
        <v>370</v>
      </c>
    </row>
    <row r="960" spans="1:11" x14ac:dyDescent="0.3">
      <c r="A960" t="s">
        <v>190</v>
      </c>
      <c r="B960" t="s">
        <v>20</v>
      </c>
      <c r="C960" t="s">
        <v>21</v>
      </c>
      <c r="D960">
        <v>52</v>
      </c>
      <c r="E960" t="s">
        <v>42</v>
      </c>
      <c r="F960" t="s">
        <v>14</v>
      </c>
      <c r="G960">
        <v>800</v>
      </c>
      <c r="H960">
        <v>1</v>
      </c>
      <c r="I960">
        <v>800</v>
      </c>
      <c r="J960" s="2">
        <v>45075</v>
      </c>
      <c r="K960" t="s">
        <v>373</v>
      </c>
    </row>
    <row r="961" spans="1:11" x14ac:dyDescent="0.3">
      <c r="A961" t="s">
        <v>38</v>
      </c>
      <c r="B961" t="s">
        <v>11</v>
      </c>
      <c r="C961" t="s">
        <v>21</v>
      </c>
      <c r="D961">
        <v>66</v>
      </c>
      <c r="E961" t="s">
        <v>13</v>
      </c>
      <c r="F961" t="s">
        <v>14</v>
      </c>
      <c r="G961">
        <v>300</v>
      </c>
      <c r="H961">
        <v>5</v>
      </c>
      <c r="I961">
        <v>1500</v>
      </c>
      <c r="J961" s="2">
        <v>45088</v>
      </c>
      <c r="K961" t="s">
        <v>375</v>
      </c>
    </row>
    <row r="962" spans="1:11" x14ac:dyDescent="0.3">
      <c r="A962" t="s">
        <v>314</v>
      </c>
      <c r="B962" t="s">
        <v>11</v>
      </c>
      <c r="C962" t="s">
        <v>12</v>
      </c>
      <c r="D962">
        <v>63</v>
      </c>
      <c r="E962" t="s">
        <v>31</v>
      </c>
      <c r="F962" t="s">
        <v>18</v>
      </c>
      <c r="G962">
        <v>50</v>
      </c>
      <c r="H962">
        <v>5</v>
      </c>
      <c r="I962">
        <v>250</v>
      </c>
      <c r="J962" s="2">
        <v>44969</v>
      </c>
      <c r="K962" t="s">
        <v>370</v>
      </c>
    </row>
    <row r="963" spans="1:11" x14ac:dyDescent="0.3">
      <c r="A963" t="s">
        <v>315</v>
      </c>
      <c r="B963" t="s">
        <v>11</v>
      </c>
      <c r="C963" t="s">
        <v>21</v>
      </c>
      <c r="D963">
        <v>20</v>
      </c>
      <c r="E963" t="s">
        <v>13</v>
      </c>
      <c r="F963" t="s">
        <v>14</v>
      </c>
      <c r="G963">
        <v>300</v>
      </c>
      <c r="H963">
        <v>1</v>
      </c>
      <c r="I963">
        <v>300</v>
      </c>
      <c r="J963" s="2">
        <v>45278</v>
      </c>
      <c r="K963" t="s">
        <v>381</v>
      </c>
    </row>
    <row r="964" spans="1:11" x14ac:dyDescent="0.3">
      <c r="A964" t="s">
        <v>173</v>
      </c>
      <c r="B964" t="s">
        <v>11</v>
      </c>
      <c r="C964" t="s">
        <v>21</v>
      </c>
      <c r="D964">
        <v>55</v>
      </c>
      <c r="E964" t="s">
        <v>42</v>
      </c>
      <c r="F964" t="s">
        <v>14</v>
      </c>
      <c r="G964">
        <v>800</v>
      </c>
      <c r="H964">
        <v>1</v>
      </c>
      <c r="I964">
        <v>800</v>
      </c>
      <c r="J964" s="2">
        <v>45124</v>
      </c>
      <c r="K964" t="s">
        <v>373</v>
      </c>
    </row>
    <row r="965" spans="1:11" x14ac:dyDescent="0.3">
      <c r="A965" t="s">
        <v>241</v>
      </c>
      <c r="B965" t="s">
        <v>11</v>
      </c>
      <c r="C965" t="s">
        <v>29</v>
      </c>
      <c r="D965">
        <v>56</v>
      </c>
      <c r="E965" t="s">
        <v>24</v>
      </c>
      <c r="F965" t="s">
        <v>14</v>
      </c>
      <c r="G965">
        <v>1500</v>
      </c>
      <c r="H965">
        <v>2</v>
      </c>
      <c r="I965">
        <v>3000</v>
      </c>
      <c r="J965" s="2">
        <v>45066</v>
      </c>
      <c r="K965" t="s">
        <v>381</v>
      </c>
    </row>
    <row r="966" spans="1:11" x14ac:dyDescent="0.3">
      <c r="A966" t="s">
        <v>230</v>
      </c>
      <c r="B966" t="s">
        <v>11</v>
      </c>
      <c r="C966" t="s">
        <v>12</v>
      </c>
      <c r="D966">
        <v>22</v>
      </c>
      <c r="E966" t="s">
        <v>31</v>
      </c>
      <c r="F966" t="s">
        <v>18</v>
      </c>
      <c r="G966">
        <v>50</v>
      </c>
      <c r="H966">
        <v>4</v>
      </c>
      <c r="I966">
        <v>200</v>
      </c>
      <c r="J966" s="2">
        <v>44930</v>
      </c>
      <c r="K966" t="s">
        <v>370</v>
      </c>
    </row>
    <row r="967" spans="1:11" x14ac:dyDescent="0.3">
      <c r="A967" t="s">
        <v>200</v>
      </c>
      <c r="B967" t="s">
        <v>11</v>
      </c>
      <c r="C967" t="s">
        <v>29</v>
      </c>
      <c r="D967">
        <v>46</v>
      </c>
      <c r="E967" t="s">
        <v>13</v>
      </c>
      <c r="F967" t="s">
        <v>14</v>
      </c>
      <c r="G967">
        <v>300</v>
      </c>
      <c r="H967">
        <v>1</v>
      </c>
      <c r="I967">
        <v>300</v>
      </c>
      <c r="J967" s="2">
        <v>45270</v>
      </c>
      <c r="K967" t="s">
        <v>375</v>
      </c>
    </row>
    <row r="968" spans="1:11" x14ac:dyDescent="0.3">
      <c r="A968" t="s">
        <v>71</v>
      </c>
      <c r="B968" t="s">
        <v>20</v>
      </c>
      <c r="C968" t="s">
        <v>29</v>
      </c>
      <c r="D968">
        <v>67</v>
      </c>
      <c r="E968" t="s">
        <v>42</v>
      </c>
      <c r="F968" t="s">
        <v>14</v>
      </c>
      <c r="G968">
        <v>800</v>
      </c>
      <c r="H968">
        <v>3</v>
      </c>
      <c r="I968">
        <v>2400</v>
      </c>
      <c r="J968" s="2">
        <v>45247</v>
      </c>
      <c r="K968" t="s">
        <v>370</v>
      </c>
    </row>
    <row r="969" spans="1:11" x14ac:dyDescent="0.3">
      <c r="A969" t="s">
        <v>71</v>
      </c>
      <c r="B969" t="s">
        <v>20</v>
      </c>
      <c r="C969" t="s">
        <v>12</v>
      </c>
      <c r="D969">
        <v>67</v>
      </c>
      <c r="E969" t="s">
        <v>24</v>
      </c>
      <c r="F969" t="s">
        <v>14</v>
      </c>
      <c r="G969">
        <v>3109.5606124866499</v>
      </c>
      <c r="H969">
        <v>4</v>
      </c>
      <c r="I969">
        <v>6000</v>
      </c>
      <c r="J969" s="2">
        <v>45164</v>
      </c>
      <c r="K969" t="s">
        <v>370</v>
      </c>
    </row>
    <row r="970" spans="1:11" x14ac:dyDescent="0.3">
      <c r="A970" t="s">
        <v>299</v>
      </c>
      <c r="B970" t="s">
        <v>20</v>
      </c>
      <c r="D970">
        <v>44</v>
      </c>
      <c r="E970" t="s">
        <v>24</v>
      </c>
      <c r="F970" t="s">
        <v>14</v>
      </c>
      <c r="G970">
        <v>1500</v>
      </c>
      <c r="H970">
        <v>1</v>
      </c>
      <c r="I970">
        <v>1500</v>
      </c>
      <c r="J970" s="2">
        <v>44967</v>
      </c>
      <c r="K970" t="s">
        <v>373</v>
      </c>
    </row>
    <row r="971" spans="1:11" x14ac:dyDescent="0.3">
      <c r="A971" t="s">
        <v>174</v>
      </c>
      <c r="B971" t="s">
        <v>11</v>
      </c>
      <c r="C971" t="s">
        <v>21</v>
      </c>
      <c r="D971">
        <v>57</v>
      </c>
      <c r="E971" t="s">
        <v>26</v>
      </c>
      <c r="F971" t="s">
        <v>27</v>
      </c>
      <c r="G971">
        <v>200</v>
      </c>
      <c r="H971">
        <v>3</v>
      </c>
      <c r="I971">
        <v>600</v>
      </c>
      <c r="J971" s="2">
        <v>44936</v>
      </c>
      <c r="K971" t="s">
        <v>381</v>
      </c>
    </row>
    <row r="972" spans="1:11" x14ac:dyDescent="0.3">
      <c r="A972" t="s">
        <v>123</v>
      </c>
      <c r="B972" t="s">
        <v>11</v>
      </c>
      <c r="C972" t="s">
        <v>12</v>
      </c>
      <c r="D972">
        <v>38</v>
      </c>
      <c r="E972" t="s">
        <v>31</v>
      </c>
      <c r="F972" t="s">
        <v>18</v>
      </c>
      <c r="G972">
        <v>50</v>
      </c>
      <c r="H972">
        <v>5</v>
      </c>
      <c r="I972">
        <v>250</v>
      </c>
      <c r="J972" s="2">
        <v>45126</v>
      </c>
      <c r="K972" t="s">
        <v>370</v>
      </c>
    </row>
    <row r="973" spans="1:11" x14ac:dyDescent="0.3">
      <c r="A973" t="s">
        <v>64</v>
      </c>
      <c r="B973" t="s">
        <v>20</v>
      </c>
      <c r="C973" t="s">
        <v>21</v>
      </c>
      <c r="D973">
        <v>58</v>
      </c>
      <c r="E973" t="s">
        <v>32</v>
      </c>
      <c r="F973" t="s">
        <v>18</v>
      </c>
      <c r="G973">
        <v>30</v>
      </c>
      <c r="H973">
        <v>2</v>
      </c>
      <c r="I973">
        <v>60</v>
      </c>
      <c r="J973" s="2">
        <v>45012</v>
      </c>
      <c r="K973" t="s">
        <v>370</v>
      </c>
    </row>
    <row r="974" spans="1:11" x14ac:dyDescent="0.3">
      <c r="A974" t="s">
        <v>169</v>
      </c>
      <c r="B974" t="s">
        <v>11</v>
      </c>
      <c r="D974">
        <v>64</v>
      </c>
      <c r="E974" t="s">
        <v>26</v>
      </c>
      <c r="F974" t="s">
        <v>27</v>
      </c>
      <c r="G974">
        <v>200</v>
      </c>
      <c r="H974">
        <v>5</v>
      </c>
      <c r="I974">
        <v>1000</v>
      </c>
      <c r="J974" s="2">
        <v>45158</v>
      </c>
      <c r="K974" t="s">
        <v>375</v>
      </c>
    </row>
    <row r="975" spans="1:11" x14ac:dyDescent="0.3">
      <c r="A975" t="s">
        <v>224</v>
      </c>
      <c r="B975" t="s">
        <v>11</v>
      </c>
      <c r="C975" t="s">
        <v>16</v>
      </c>
      <c r="D975">
        <v>67</v>
      </c>
      <c r="E975" t="s">
        <v>32</v>
      </c>
      <c r="F975" t="s">
        <v>18</v>
      </c>
      <c r="G975">
        <v>30</v>
      </c>
      <c r="H975">
        <v>3</v>
      </c>
      <c r="I975">
        <v>90</v>
      </c>
      <c r="J975" s="2">
        <v>45129</v>
      </c>
      <c r="K975" t="s">
        <v>375</v>
      </c>
    </row>
    <row r="976" spans="1:11" x14ac:dyDescent="0.3">
      <c r="A976" t="s">
        <v>257</v>
      </c>
      <c r="B976" t="s">
        <v>11</v>
      </c>
      <c r="C976" t="s">
        <v>16</v>
      </c>
      <c r="D976">
        <v>39</v>
      </c>
      <c r="E976" t="s">
        <v>32</v>
      </c>
      <c r="F976" t="s">
        <v>18</v>
      </c>
      <c r="G976">
        <v>30</v>
      </c>
      <c r="H976">
        <v>5</v>
      </c>
      <c r="I976">
        <v>150</v>
      </c>
      <c r="J976" s="2">
        <v>45209</v>
      </c>
      <c r="K976" t="s">
        <v>381</v>
      </c>
    </row>
    <row r="977" spans="1:11" x14ac:dyDescent="0.3">
      <c r="A977" t="s">
        <v>75</v>
      </c>
      <c r="B977" t="s">
        <v>11</v>
      </c>
      <c r="C977" t="s">
        <v>16</v>
      </c>
      <c r="D977">
        <v>51</v>
      </c>
      <c r="E977" t="s">
        <v>31</v>
      </c>
      <c r="F977" t="s">
        <v>18</v>
      </c>
      <c r="G977">
        <v>50</v>
      </c>
      <c r="H977">
        <v>4</v>
      </c>
      <c r="I977">
        <v>200</v>
      </c>
      <c r="J977" s="2">
        <v>45076</v>
      </c>
      <c r="K977" t="s">
        <v>381</v>
      </c>
    </row>
    <row r="978" spans="1:11" x14ac:dyDescent="0.3">
      <c r="A978" t="s">
        <v>260</v>
      </c>
      <c r="B978" t="s">
        <v>20</v>
      </c>
      <c r="C978" t="s">
        <v>29</v>
      </c>
      <c r="D978">
        <v>55</v>
      </c>
      <c r="E978" t="s">
        <v>26</v>
      </c>
      <c r="F978" t="s">
        <v>27</v>
      </c>
      <c r="G978">
        <v>200</v>
      </c>
      <c r="H978">
        <v>5</v>
      </c>
      <c r="I978">
        <v>1000</v>
      </c>
      <c r="J978" s="2">
        <v>45215</v>
      </c>
      <c r="K978" t="s">
        <v>373</v>
      </c>
    </row>
    <row r="979" spans="1:11" x14ac:dyDescent="0.3">
      <c r="A979" t="s">
        <v>273</v>
      </c>
      <c r="B979" t="s">
        <v>20</v>
      </c>
      <c r="C979" t="s">
        <v>29</v>
      </c>
      <c r="E979" t="s">
        <v>32</v>
      </c>
      <c r="F979" t="s">
        <v>18</v>
      </c>
      <c r="G979">
        <v>30</v>
      </c>
      <c r="H979">
        <v>3</v>
      </c>
      <c r="I979">
        <v>90</v>
      </c>
      <c r="J979" s="2">
        <v>45050</v>
      </c>
      <c r="K979" t="s">
        <v>381</v>
      </c>
    </row>
    <row r="980" spans="1:11" x14ac:dyDescent="0.3">
      <c r="A980" t="s">
        <v>210</v>
      </c>
      <c r="B980" t="s">
        <v>11</v>
      </c>
      <c r="C980" t="s">
        <v>16</v>
      </c>
      <c r="D980">
        <v>26</v>
      </c>
      <c r="E980" t="s">
        <v>32</v>
      </c>
      <c r="F980" t="s">
        <v>18</v>
      </c>
      <c r="G980">
        <v>30</v>
      </c>
      <c r="H980">
        <v>2</v>
      </c>
      <c r="I980">
        <v>60</v>
      </c>
      <c r="J980" s="2">
        <v>45232</v>
      </c>
      <c r="K980" t="s">
        <v>375</v>
      </c>
    </row>
    <row r="981" spans="1:11" x14ac:dyDescent="0.3">
      <c r="A981" t="s">
        <v>38</v>
      </c>
      <c r="B981" t="s">
        <v>20</v>
      </c>
      <c r="C981" t="s">
        <v>12</v>
      </c>
      <c r="D981">
        <v>66</v>
      </c>
      <c r="E981" t="s">
        <v>17</v>
      </c>
      <c r="F981" t="s">
        <v>18</v>
      </c>
      <c r="G981">
        <v>100</v>
      </c>
      <c r="H981">
        <v>4</v>
      </c>
      <c r="I981">
        <v>400</v>
      </c>
      <c r="J981" s="2">
        <v>44935</v>
      </c>
      <c r="K981" t="s">
        <v>381</v>
      </c>
    </row>
    <row r="982" spans="1:11" x14ac:dyDescent="0.3">
      <c r="A982" t="s">
        <v>297</v>
      </c>
      <c r="B982" t="s">
        <v>20</v>
      </c>
      <c r="C982" t="s">
        <v>16</v>
      </c>
      <c r="D982">
        <v>39</v>
      </c>
      <c r="E982" t="s">
        <v>13</v>
      </c>
      <c r="F982" t="s">
        <v>14</v>
      </c>
      <c r="G982">
        <v>300</v>
      </c>
      <c r="H982">
        <v>1</v>
      </c>
      <c r="I982">
        <v>300</v>
      </c>
      <c r="J982" s="2">
        <v>44977</v>
      </c>
      <c r="K982" t="s">
        <v>370</v>
      </c>
    </row>
    <row r="983" spans="1:11" x14ac:dyDescent="0.3">
      <c r="A983" t="s">
        <v>95</v>
      </c>
      <c r="B983" t="s">
        <v>11</v>
      </c>
      <c r="C983" t="s">
        <v>29</v>
      </c>
      <c r="D983">
        <v>47</v>
      </c>
      <c r="E983" t="s">
        <v>42</v>
      </c>
      <c r="F983" t="s">
        <v>14</v>
      </c>
      <c r="G983">
        <v>800</v>
      </c>
      <c r="H983">
        <v>4</v>
      </c>
      <c r="I983">
        <v>3200</v>
      </c>
      <c r="J983" s="2">
        <v>45138</v>
      </c>
      <c r="K983" t="s">
        <v>381</v>
      </c>
    </row>
    <row r="984" spans="1:11" x14ac:dyDescent="0.3">
      <c r="A984" t="s">
        <v>226</v>
      </c>
      <c r="B984" t="s">
        <v>11</v>
      </c>
      <c r="C984" t="s">
        <v>29</v>
      </c>
      <c r="D984">
        <v>34</v>
      </c>
      <c r="E984" t="s">
        <v>26</v>
      </c>
      <c r="F984" t="s">
        <v>27</v>
      </c>
      <c r="G984">
        <v>200</v>
      </c>
      <c r="H984">
        <v>3</v>
      </c>
      <c r="I984">
        <v>600</v>
      </c>
      <c r="J984" s="2">
        <v>45102</v>
      </c>
      <c r="K984" t="s">
        <v>381</v>
      </c>
    </row>
    <row r="985" spans="1:11" x14ac:dyDescent="0.3">
      <c r="A985" t="s">
        <v>141</v>
      </c>
      <c r="B985" t="s">
        <v>11</v>
      </c>
      <c r="D985">
        <v>35</v>
      </c>
      <c r="E985" t="s">
        <v>17</v>
      </c>
      <c r="F985" t="s">
        <v>18</v>
      </c>
      <c r="G985">
        <v>100</v>
      </c>
      <c r="H985">
        <v>4</v>
      </c>
      <c r="I985">
        <v>400</v>
      </c>
      <c r="J985" s="2">
        <v>45000</v>
      </c>
      <c r="K985" t="s">
        <v>373</v>
      </c>
    </row>
    <row r="986" spans="1:11" x14ac:dyDescent="0.3">
      <c r="A986" t="s">
        <v>168</v>
      </c>
      <c r="B986" t="s">
        <v>11</v>
      </c>
      <c r="C986" t="s">
        <v>16</v>
      </c>
      <c r="D986">
        <v>43</v>
      </c>
      <c r="E986" t="s">
        <v>17</v>
      </c>
      <c r="F986" t="s">
        <v>18</v>
      </c>
      <c r="G986">
        <v>100</v>
      </c>
      <c r="H986">
        <v>2</v>
      </c>
      <c r="I986">
        <v>200</v>
      </c>
      <c r="J986" s="2">
        <v>45207</v>
      </c>
      <c r="K986" t="s">
        <v>370</v>
      </c>
    </row>
    <row r="987" spans="1:11" x14ac:dyDescent="0.3">
      <c r="A987" t="s">
        <v>265</v>
      </c>
      <c r="B987" t="s">
        <v>20</v>
      </c>
      <c r="C987" t="s">
        <v>12</v>
      </c>
      <c r="D987">
        <v>64</v>
      </c>
      <c r="E987" t="s">
        <v>31</v>
      </c>
      <c r="F987" t="s">
        <v>18</v>
      </c>
      <c r="G987">
        <v>50</v>
      </c>
      <c r="H987">
        <v>5</v>
      </c>
      <c r="I987">
        <v>250</v>
      </c>
      <c r="J987" s="2">
        <v>45109</v>
      </c>
      <c r="K987" t="s">
        <v>373</v>
      </c>
    </row>
    <row r="988" spans="1:11" x14ac:dyDescent="0.3">
      <c r="A988" t="s">
        <v>264</v>
      </c>
      <c r="B988" t="s">
        <v>20</v>
      </c>
      <c r="C988" t="s">
        <v>29</v>
      </c>
      <c r="D988">
        <v>40</v>
      </c>
      <c r="E988" t="s">
        <v>13</v>
      </c>
      <c r="F988" t="s">
        <v>14</v>
      </c>
      <c r="G988">
        <v>300</v>
      </c>
      <c r="H988">
        <v>4</v>
      </c>
      <c r="I988">
        <v>1200</v>
      </c>
      <c r="J988" s="2">
        <v>45137</v>
      </c>
      <c r="K988" t="s">
        <v>375</v>
      </c>
    </row>
    <row r="989" spans="1:11" x14ac:dyDescent="0.3">
      <c r="A989" t="s">
        <v>316</v>
      </c>
      <c r="B989" t="s">
        <v>20</v>
      </c>
      <c r="D989">
        <v>54</v>
      </c>
      <c r="E989" t="s">
        <v>32</v>
      </c>
      <c r="F989" t="s">
        <v>18</v>
      </c>
      <c r="G989">
        <v>30</v>
      </c>
      <c r="H989">
        <v>2</v>
      </c>
      <c r="I989">
        <v>60</v>
      </c>
      <c r="J989" s="2">
        <v>44937</v>
      </c>
      <c r="K989" t="s">
        <v>381</v>
      </c>
    </row>
    <row r="990" spans="1:11" x14ac:dyDescent="0.3">
      <c r="A990" t="s">
        <v>64</v>
      </c>
      <c r="B990" t="s">
        <v>20</v>
      </c>
      <c r="C990" t="s">
        <v>12</v>
      </c>
      <c r="D990">
        <v>58</v>
      </c>
      <c r="E990" t="s">
        <v>26</v>
      </c>
      <c r="F990" t="s">
        <v>27</v>
      </c>
      <c r="G990">
        <v>200</v>
      </c>
      <c r="H990">
        <v>4</v>
      </c>
      <c r="I990">
        <v>800</v>
      </c>
      <c r="J990" s="2">
        <v>45141</v>
      </c>
      <c r="K990" t="s">
        <v>381</v>
      </c>
    </row>
    <row r="991" spans="1:11" x14ac:dyDescent="0.3">
      <c r="A991" t="s">
        <v>243</v>
      </c>
      <c r="B991" t="s">
        <v>11</v>
      </c>
      <c r="C991" t="s">
        <v>12</v>
      </c>
      <c r="D991">
        <v>52</v>
      </c>
      <c r="E991" t="s">
        <v>26</v>
      </c>
      <c r="F991" t="s">
        <v>27</v>
      </c>
      <c r="G991">
        <v>200</v>
      </c>
      <c r="H991">
        <v>2</v>
      </c>
      <c r="I991">
        <v>400</v>
      </c>
      <c r="J991" s="2">
        <v>45194</v>
      </c>
      <c r="K991" t="s">
        <v>375</v>
      </c>
    </row>
    <row r="992" spans="1:11" x14ac:dyDescent="0.3">
      <c r="A992" t="s">
        <v>295</v>
      </c>
      <c r="B992" t="s">
        <v>20</v>
      </c>
      <c r="C992" t="s">
        <v>12</v>
      </c>
      <c r="E992" t="s">
        <v>24</v>
      </c>
      <c r="F992" t="s">
        <v>14</v>
      </c>
      <c r="G992">
        <v>1500</v>
      </c>
      <c r="H992">
        <v>5</v>
      </c>
      <c r="I992">
        <v>7500</v>
      </c>
      <c r="J992" s="2">
        <v>45260</v>
      </c>
      <c r="K992" t="s">
        <v>373</v>
      </c>
    </row>
    <row r="993" spans="1:11" x14ac:dyDescent="0.3">
      <c r="A993" t="s">
        <v>317</v>
      </c>
      <c r="B993" t="s">
        <v>11</v>
      </c>
      <c r="C993" t="s">
        <v>21</v>
      </c>
      <c r="D993">
        <v>18</v>
      </c>
      <c r="E993" t="s">
        <v>32</v>
      </c>
      <c r="F993" t="s">
        <v>18</v>
      </c>
      <c r="G993">
        <v>30</v>
      </c>
      <c r="H993">
        <v>3</v>
      </c>
      <c r="I993">
        <v>90</v>
      </c>
      <c r="J993" s="2">
        <v>45219</v>
      </c>
      <c r="K993" t="s">
        <v>370</v>
      </c>
    </row>
    <row r="994" spans="1:11" x14ac:dyDescent="0.3">
      <c r="A994" t="s">
        <v>160</v>
      </c>
      <c r="B994" t="s">
        <v>11</v>
      </c>
      <c r="C994" t="s">
        <v>29</v>
      </c>
      <c r="D994">
        <v>32</v>
      </c>
      <c r="E994" t="s">
        <v>17</v>
      </c>
      <c r="F994" t="s">
        <v>18</v>
      </c>
      <c r="G994">
        <v>100</v>
      </c>
      <c r="H994">
        <v>5</v>
      </c>
      <c r="I994">
        <v>500</v>
      </c>
      <c r="J994" s="2">
        <v>44927</v>
      </c>
      <c r="K994" t="s">
        <v>373</v>
      </c>
    </row>
    <row r="995" spans="1:11" x14ac:dyDescent="0.3">
      <c r="A995" t="s">
        <v>244</v>
      </c>
      <c r="B995" t="s">
        <v>20</v>
      </c>
      <c r="C995" t="s">
        <v>12</v>
      </c>
      <c r="D995">
        <v>68</v>
      </c>
      <c r="E995" t="s">
        <v>42</v>
      </c>
      <c r="F995" t="s">
        <v>14</v>
      </c>
      <c r="G995">
        <v>800</v>
      </c>
      <c r="H995">
        <v>4</v>
      </c>
      <c r="I995">
        <v>3200</v>
      </c>
      <c r="J995" s="2">
        <v>45143</v>
      </c>
      <c r="K995" t="s">
        <v>373</v>
      </c>
    </row>
    <row r="996" spans="1:11" x14ac:dyDescent="0.3">
      <c r="A996" t="s">
        <v>304</v>
      </c>
      <c r="B996" t="s">
        <v>11</v>
      </c>
      <c r="C996" t="s">
        <v>16</v>
      </c>
      <c r="D996">
        <v>26</v>
      </c>
      <c r="E996" t="s">
        <v>26</v>
      </c>
      <c r="F996" t="s">
        <v>27</v>
      </c>
      <c r="G996">
        <v>200</v>
      </c>
      <c r="H996">
        <v>2</v>
      </c>
      <c r="I996">
        <v>400</v>
      </c>
      <c r="J996" s="2">
        <v>44930</v>
      </c>
      <c r="K996" t="s">
        <v>370</v>
      </c>
    </row>
    <row r="997" spans="1:11" x14ac:dyDescent="0.3">
      <c r="A997" t="s">
        <v>34</v>
      </c>
      <c r="B997" t="s">
        <v>20</v>
      </c>
      <c r="C997" t="s">
        <v>21</v>
      </c>
      <c r="D997">
        <v>49</v>
      </c>
      <c r="E997" t="s">
        <v>17</v>
      </c>
      <c r="F997" t="s">
        <v>18</v>
      </c>
      <c r="G997">
        <v>100</v>
      </c>
      <c r="H997">
        <v>1</v>
      </c>
      <c r="I997">
        <v>100</v>
      </c>
      <c r="J997" s="2">
        <v>44931</v>
      </c>
      <c r="K997" t="s">
        <v>381</v>
      </c>
    </row>
    <row r="998" spans="1:11" x14ac:dyDescent="0.3">
      <c r="A998" t="s">
        <v>95</v>
      </c>
      <c r="B998" t="s">
        <v>11</v>
      </c>
      <c r="C998" t="s">
        <v>29</v>
      </c>
      <c r="D998">
        <v>47</v>
      </c>
      <c r="E998" t="s">
        <v>24</v>
      </c>
      <c r="F998" t="s">
        <v>14</v>
      </c>
      <c r="G998">
        <v>1500</v>
      </c>
      <c r="H998">
        <v>1</v>
      </c>
      <c r="I998">
        <v>1500</v>
      </c>
      <c r="J998" s="2">
        <v>45017</v>
      </c>
      <c r="K998" t="s">
        <v>373</v>
      </c>
    </row>
    <row r="999" spans="1:11" x14ac:dyDescent="0.3">
      <c r="A999" t="s">
        <v>199</v>
      </c>
      <c r="B999" t="s">
        <v>20</v>
      </c>
      <c r="C999" t="s">
        <v>12</v>
      </c>
      <c r="E999" t="s">
        <v>32</v>
      </c>
      <c r="F999" t="s">
        <v>18</v>
      </c>
      <c r="G999">
        <v>30</v>
      </c>
      <c r="H999">
        <v>5</v>
      </c>
      <c r="I999">
        <v>150</v>
      </c>
      <c r="J999" s="2">
        <v>45219</v>
      </c>
      <c r="K999" t="s">
        <v>375</v>
      </c>
    </row>
    <row r="1000" spans="1:11" x14ac:dyDescent="0.3">
      <c r="A1000" t="s">
        <v>33</v>
      </c>
      <c r="B1000" t="s">
        <v>20</v>
      </c>
      <c r="C1000" t="s">
        <v>21</v>
      </c>
      <c r="D1000">
        <v>29</v>
      </c>
      <c r="E1000" t="s">
        <v>24</v>
      </c>
      <c r="F1000" t="s">
        <v>14</v>
      </c>
      <c r="G1000">
        <v>1500</v>
      </c>
      <c r="H1000">
        <v>5</v>
      </c>
      <c r="I1000">
        <v>7500</v>
      </c>
      <c r="J1000" s="2">
        <v>44933</v>
      </c>
      <c r="K1000" t="s">
        <v>370</v>
      </c>
    </row>
    <row r="1001" spans="1:11" x14ac:dyDescent="0.3">
      <c r="A1001" t="s">
        <v>313</v>
      </c>
      <c r="B1001" t="s">
        <v>11</v>
      </c>
      <c r="D1001">
        <v>29</v>
      </c>
      <c r="E1001" t="s">
        <v>26</v>
      </c>
      <c r="F1001" t="s">
        <v>27</v>
      </c>
      <c r="G1001">
        <v>200</v>
      </c>
      <c r="H1001">
        <v>1</v>
      </c>
      <c r="I1001">
        <v>200</v>
      </c>
      <c r="J1001" s="2">
        <v>44956</v>
      </c>
      <c r="K1001" t="s">
        <v>381</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F4B7F-F53E-4EF8-A9B3-E2CDAC709370}">
  <dimension ref="A1"/>
  <sheetViews>
    <sheetView zoomScaleNormal="100" workbookViewId="0">
      <selection activeCell="Z20" sqref="Z20"/>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19F499-DB11-4908-A2B6-5A876C442FB3}">
  <dimension ref="A4:T319"/>
  <sheetViews>
    <sheetView topLeftCell="A21" workbookViewId="0">
      <selection activeCell="C35" sqref="C35"/>
    </sheetView>
  </sheetViews>
  <sheetFormatPr defaultRowHeight="14.4" x14ac:dyDescent="0.3"/>
  <cols>
    <col min="1" max="1" width="12.109375" bestFit="1" customWidth="1"/>
    <col min="2" max="2" width="16.33203125" bestFit="1" customWidth="1"/>
    <col min="3" max="3" width="14.5546875" bestFit="1" customWidth="1"/>
    <col min="4" max="4" width="19.44140625" bestFit="1" customWidth="1"/>
    <col min="5" max="5" width="13.109375" bestFit="1" customWidth="1"/>
    <col min="6" max="6" width="19.44140625" bestFit="1" customWidth="1"/>
    <col min="7" max="7" width="19.5546875" bestFit="1" customWidth="1"/>
    <col min="8" max="8" width="19.44140625" bestFit="1" customWidth="1"/>
    <col min="9" max="9" width="17.77734375" bestFit="1" customWidth="1"/>
    <col min="10" max="10" width="14.5546875" bestFit="1" customWidth="1"/>
    <col min="11" max="11" width="12.109375" bestFit="1" customWidth="1"/>
    <col min="12" max="12" width="16.33203125" bestFit="1" customWidth="1"/>
    <col min="13" max="13" width="15.88671875" bestFit="1" customWidth="1"/>
  </cols>
  <sheetData>
    <row r="4" spans="1:11" x14ac:dyDescent="0.3">
      <c r="C4" s="3" t="s">
        <v>341</v>
      </c>
      <c r="D4" t="s">
        <v>2339</v>
      </c>
      <c r="F4" s="3" t="s">
        <v>341</v>
      </c>
      <c r="G4" t="s">
        <v>349</v>
      </c>
    </row>
    <row r="5" spans="1:11" x14ac:dyDescent="0.3">
      <c r="C5" s="32" t="s">
        <v>343</v>
      </c>
      <c r="D5" s="31">
        <v>1857816.6</v>
      </c>
      <c r="F5" s="32" t="s">
        <v>343</v>
      </c>
      <c r="G5" s="5">
        <v>9.24</v>
      </c>
    </row>
    <row r="6" spans="1:11" x14ac:dyDescent="0.3">
      <c r="C6" s="32" t="s">
        <v>342</v>
      </c>
      <c r="D6" s="31">
        <v>1235219.6153846155</v>
      </c>
      <c r="F6" s="32" t="s">
        <v>344</v>
      </c>
      <c r="G6" s="5">
        <v>8.7586206896551726</v>
      </c>
    </row>
    <row r="7" spans="1:11" x14ac:dyDescent="0.3">
      <c r="C7" s="32" t="s">
        <v>344</v>
      </c>
      <c r="D7" s="31">
        <v>1063335</v>
      </c>
      <c r="F7" s="32" t="s">
        <v>342</v>
      </c>
      <c r="G7" s="5">
        <v>6.7179487179487181</v>
      </c>
    </row>
    <row r="8" spans="1:11" x14ac:dyDescent="0.3">
      <c r="C8" s="32" t="s">
        <v>346</v>
      </c>
      <c r="D8" s="31">
        <v>1005886.7647058824</v>
      </c>
      <c r="F8" s="32" t="s">
        <v>346</v>
      </c>
      <c r="G8" s="5">
        <v>5.5882352941176467</v>
      </c>
    </row>
    <row r="9" spans="1:11" x14ac:dyDescent="0.3">
      <c r="C9" s="32" t="s">
        <v>347</v>
      </c>
      <c r="D9" s="31">
        <v>779292.85714285716</v>
      </c>
      <c r="F9" s="32" t="s">
        <v>347</v>
      </c>
      <c r="G9" s="5">
        <v>4.5714285714285712</v>
      </c>
    </row>
    <row r="10" spans="1:11" x14ac:dyDescent="0.3">
      <c r="C10" s="32" t="s">
        <v>345</v>
      </c>
      <c r="D10" s="31">
        <v>379604.59459459462</v>
      </c>
      <c r="F10" s="32" t="s">
        <v>348</v>
      </c>
      <c r="G10" s="5">
        <v>4.2222222222222223</v>
      </c>
    </row>
    <row r="11" spans="1:11" x14ac:dyDescent="0.3">
      <c r="C11" s="32" t="s">
        <v>348</v>
      </c>
      <c r="D11" s="31">
        <v>284676.66666666669</v>
      </c>
      <c r="F11" s="32" t="s">
        <v>345</v>
      </c>
      <c r="G11" s="5">
        <v>3.7297297297297298</v>
      </c>
    </row>
    <row r="12" spans="1:11" x14ac:dyDescent="0.3">
      <c r="C12" s="32" t="s">
        <v>332</v>
      </c>
      <c r="D12" s="31">
        <v>1108307.142857143</v>
      </c>
      <c r="F12" s="32" t="s">
        <v>332</v>
      </c>
      <c r="G12" s="5">
        <v>6.8153310104529616</v>
      </c>
    </row>
    <row r="15" spans="1:11" x14ac:dyDescent="0.3">
      <c r="A15" t="s">
        <v>333</v>
      </c>
      <c r="C15" t="s">
        <v>2335</v>
      </c>
      <c r="E15" t="s">
        <v>2336</v>
      </c>
      <c r="G15" t="s">
        <v>349</v>
      </c>
      <c r="I15" t="s">
        <v>350</v>
      </c>
      <c r="K15" t="s">
        <v>2338</v>
      </c>
    </row>
    <row r="16" spans="1:11" x14ac:dyDescent="0.3">
      <c r="A16" s="31">
        <v>318084150</v>
      </c>
      <c r="C16" s="4">
        <v>287</v>
      </c>
      <c r="E16" s="31">
        <v>1108307.142857143</v>
      </c>
      <c r="G16" s="5">
        <v>6.8153310104529616</v>
      </c>
      <c r="I16" s="5">
        <v>105.3588850174216</v>
      </c>
      <c r="K16" s="6">
        <v>1956</v>
      </c>
    </row>
    <row r="17" spans="1:20" ht="18" x14ac:dyDescent="0.35">
      <c r="O17" s="33" t="s">
        <v>2342</v>
      </c>
      <c r="P17" s="34"/>
      <c r="Q17" s="34"/>
      <c r="R17" s="34"/>
      <c r="S17" s="34"/>
      <c r="T17" s="35"/>
    </row>
    <row r="19" spans="1:20" x14ac:dyDescent="0.3">
      <c r="A19" s="3" t="s">
        <v>341</v>
      </c>
      <c r="B19" t="s">
        <v>2335</v>
      </c>
      <c r="D19" s="3" t="s">
        <v>341</v>
      </c>
      <c r="E19" t="s">
        <v>333</v>
      </c>
      <c r="H19" s="3" t="s">
        <v>341</v>
      </c>
      <c r="I19" t="s">
        <v>350</v>
      </c>
      <c r="K19" s="3" t="s">
        <v>2340</v>
      </c>
      <c r="L19" t="s">
        <v>2337</v>
      </c>
      <c r="M19" t="s">
        <v>2334</v>
      </c>
      <c r="O19" t="s">
        <v>2341</v>
      </c>
      <c r="P19" t="s">
        <v>352</v>
      </c>
      <c r="Q19" t="s">
        <v>353</v>
      </c>
    </row>
    <row r="20" spans="1:20" x14ac:dyDescent="0.3">
      <c r="A20" s="32" t="s">
        <v>342</v>
      </c>
      <c r="B20" s="4">
        <v>78</v>
      </c>
      <c r="D20" s="32" t="s">
        <v>342</v>
      </c>
      <c r="E20" s="31">
        <v>96347130</v>
      </c>
      <c r="H20" s="32" t="s">
        <v>345</v>
      </c>
      <c r="I20" s="5">
        <v>242.27027027027026</v>
      </c>
      <c r="K20" s="32" t="s">
        <v>176</v>
      </c>
      <c r="L20" s="4">
        <v>13</v>
      </c>
      <c r="M20" s="4">
        <v>4280400</v>
      </c>
      <c r="O20" t="str" cm="1">
        <f t="array" ref="O20:Q306">_xlfn._xlws.FILTER(K20:M306,(K20:K306&lt;&gt;"")*(K20:K306&lt;&gt;"Grand Total"))</f>
        <v>CUST0204</v>
      </c>
      <c r="P20">
        <v>13</v>
      </c>
      <c r="Q20">
        <v>4280400</v>
      </c>
    </row>
    <row r="21" spans="1:20" x14ac:dyDescent="0.3">
      <c r="A21" s="32" t="s">
        <v>344</v>
      </c>
      <c r="B21" s="4">
        <v>58</v>
      </c>
      <c r="D21" s="32" t="s">
        <v>343</v>
      </c>
      <c r="E21" s="31">
        <v>92890830</v>
      </c>
      <c r="H21" s="32" t="s">
        <v>342</v>
      </c>
      <c r="I21" s="5">
        <v>188.69230769230768</v>
      </c>
      <c r="K21" s="32" t="s">
        <v>40</v>
      </c>
      <c r="L21" s="4">
        <v>12</v>
      </c>
      <c r="M21" s="4">
        <v>3954450</v>
      </c>
      <c r="O21" t="str">
        <v>CUST0139</v>
      </c>
      <c r="P21">
        <v>12</v>
      </c>
      <c r="Q21">
        <v>3954450</v>
      </c>
    </row>
    <row r="22" spans="1:20" x14ac:dyDescent="0.3">
      <c r="A22" s="32" t="s">
        <v>343</v>
      </c>
      <c r="B22" s="4">
        <v>50</v>
      </c>
      <c r="D22" s="32" t="s">
        <v>344</v>
      </c>
      <c r="E22" s="31">
        <v>61673430</v>
      </c>
      <c r="H22" s="32" t="s">
        <v>348</v>
      </c>
      <c r="I22" s="5">
        <v>67.222222222222229</v>
      </c>
      <c r="K22" s="32" t="s">
        <v>175</v>
      </c>
      <c r="L22" s="4">
        <v>14</v>
      </c>
      <c r="M22" s="4">
        <v>3940920</v>
      </c>
      <c r="O22" t="str">
        <v>CUST0095</v>
      </c>
      <c r="P22">
        <v>14</v>
      </c>
      <c r="Q22">
        <v>3940920</v>
      </c>
    </row>
    <row r="23" spans="1:20" x14ac:dyDescent="0.3">
      <c r="A23" s="32" t="s">
        <v>345</v>
      </c>
      <c r="B23" s="4">
        <v>37</v>
      </c>
      <c r="D23" s="32" t="s">
        <v>346</v>
      </c>
      <c r="E23" s="31">
        <v>34200150</v>
      </c>
      <c r="H23" s="32" t="s">
        <v>346</v>
      </c>
      <c r="I23" s="5">
        <v>53.294117647058826</v>
      </c>
      <c r="K23" s="32" t="s">
        <v>71</v>
      </c>
      <c r="L23" s="4">
        <v>13</v>
      </c>
      <c r="M23" s="4">
        <v>3100830</v>
      </c>
      <c r="O23" t="str">
        <v>CUST0131</v>
      </c>
      <c r="P23">
        <v>13</v>
      </c>
      <c r="Q23">
        <v>3100830</v>
      </c>
    </row>
    <row r="24" spans="1:20" x14ac:dyDescent="0.3">
      <c r="A24" s="32" t="s">
        <v>346</v>
      </c>
      <c r="B24" s="4">
        <v>34</v>
      </c>
      <c r="D24" s="32" t="s">
        <v>347</v>
      </c>
      <c r="E24" s="31">
        <v>16365150</v>
      </c>
      <c r="H24" s="32" t="s">
        <v>344</v>
      </c>
      <c r="I24" s="5">
        <v>44.896551724137929</v>
      </c>
      <c r="K24" s="32" t="s">
        <v>213</v>
      </c>
      <c r="L24" s="4">
        <v>11</v>
      </c>
      <c r="M24" s="4">
        <v>3057780</v>
      </c>
      <c r="O24" t="str">
        <v>CUST0129</v>
      </c>
      <c r="P24">
        <v>11</v>
      </c>
      <c r="Q24">
        <v>3057780</v>
      </c>
    </row>
    <row r="25" spans="1:20" x14ac:dyDescent="0.3">
      <c r="A25" s="32" t="s">
        <v>347</v>
      </c>
      <c r="B25" s="4">
        <v>21</v>
      </c>
      <c r="D25" s="32" t="s">
        <v>345</v>
      </c>
      <c r="E25" s="31">
        <v>14045370</v>
      </c>
      <c r="H25" s="32" t="s">
        <v>347</v>
      </c>
      <c r="I25" s="5">
        <v>23.333333333333332</v>
      </c>
      <c r="K25" s="32" t="s">
        <v>224</v>
      </c>
      <c r="L25" s="4">
        <v>14</v>
      </c>
      <c r="M25" s="4">
        <v>3036870</v>
      </c>
      <c r="O25" t="str">
        <v>CUST0031</v>
      </c>
      <c r="P25">
        <v>14</v>
      </c>
      <c r="Q25">
        <v>3036870</v>
      </c>
    </row>
    <row r="26" spans="1:20" x14ac:dyDescent="0.3">
      <c r="A26" s="32" t="s">
        <v>348</v>
      </c>
      <c r="B26" s="4">
        <v>9</v>
      </c>
      <c r="D26" s="32" t="s">
        <v>348</v>
      </c>
      <c r="E26" s="31">
        <v>2562090</v>
      </c>
      <c r="H26" s="32" t="s">
        <v>343</v>
      </c>
      <c r="I26" s="5">
        <v>20.9</v>
      </c>
      <c r="K26" s="32" t="s">
        <v>65</v>
      </c>
      <c r="L26" s="4">
        <v>13</v>
      </c>
      <c r="M26" s="4">
        <v>2765040</v>
      </c>
      <c r="O26" t="str">
        <v>CUST0064</v>
      </c>
      <c r="P26">
        <v>13</v>
      </c>
      <c r="Q26">
        <v>2765040</v>
      </c>
    </row>
    <row r="27" spans="1:20" x14ac:dyDescent="0.3">
      <c r="A27" s="32" t="s">
        <v>332</v>
      </c>
      <c r="B27" s="4">
        <v>287</v>
      </c>
      <c r="D27" s="32" t="s">
        <v>332</v>
      </c>
      <c r="E27" s="31">
        <v>318084150</v>
      </c>
      <c r="H27" s="32" t="s">
        <v>332</v>
      </c>
      <c r="I27" s="5">
        <v>105.3588850174216</v>
      </c>
      <c r="K27" s="32" t="s">
        <v>23</v>
      </c>
      <c r="L27" s="4">
        <v>12</v>
      </c>
      <c r="M27" s="4">
        <v>2739210</v>
      </c>
      <c r="O27" t="str">
        <v>CUST0173</v>
      </c>
      <c r="P27">
        <v>12</v>
      </c>
      <c r="Q27">
        <v>2739210</v>
      </c>
    </row>
    <row r="28" spans="1:20" x14ac:dyDescent="0.3">
      <c r="E28" s="36"/>
      <c r="K28" s="32" t="s">
        <v>85</v>
      </c>
      <c r="L28" s="4">
        <v>11</v>
      </c>
      <c r="M28" s="4">
        <v>2719530</v>
      </c>
      <c r="O28" t="str">
        <v>CUST0218</v>
      </c>
      <c r="P28">
        <v>11</v>
      </c>
      <c r="Q28">
        <v>2719530</v>
      </c>
    </row>
    <row r="29" spans="1:20" ht="18" x14ac:dyDescent="0.3">
      <c r="E29" s="37" t="s">
        <v>2346</v>
      </c>
      <c r="F29" s="37"/>
      <c r="G29" s="37"/>
      <c r="K29" s="32" t="s">
        <v>198</v>
      </c>
      <c r="L29" s="4">
        <v>8</v>
      </c>
      <c r="M29" s="4">
        <v>2669100</v>
      </c>
      <c r="O29" t="str">
        <v>CUST0088</v>
      </c>
      <c r="P29">
        <v>8</v>
      </c>
      <c r="Q29">
        <v>2669100</v>
      </c>
    </row>
    <row r="30" spans="1:20" x14ac:dyDescent="0.3">
      <c r="K30" s="32" t="s">
        <v>244</v>
      </c>
      <c r="L30" s="4">
        <v>8</v>
      </c>
      <c r="M30" s="4">
        <v>2626050</v>
      </c>
      <c r="O30" t="str">
        <v>CUST0200</v>
      </c>
      <c r="P30">
        <v>8</v>
      </c>
      <c r="Q30">
        <v>2626050</v>
      </c>
    </row>
    <row r="31" spans="1:20" x14ac:dyDescent="0.3">
      <c r="A31" s="3" t="s">
        <v>2340</v>
      </c>
      <c r="B31" t="s">
        <v>2337</v>
      </c>
      <c r="C31" t="s">
        <v>2345</v>
      </c>
      <c r="E31" t="str" cm="1">
        <f t="array" ref="E31:G318">_xlfn._xlws.FILTER(A31:C319,(A31:A319&lt;&gt;"")*(A31:A319&lt;&gt;"Grand Total"))</f>
        <v>Customers</v>
      </c>
      <c r="F31" t="str">
        <v>Sum of Frequency</v>
      </c>
      <c r="G31" t="str">
        <v>Sum of Recency</v>
      </c>
      <c r="K31" s="32" t="s">
        <v>84</v>
      </c>
      <c r="L31" s="4">
        <v>8</v>
      </c>
      <c r="M31" s="4">
        <v>2607600</v>
      </c>
      <c r="O31" t="str">
        <v>CUST0244</v>
      </c>
      <c r="P31">
        <v>8</v>
      </c>
      <c r="Q31">
        <v>2607600</v>
      </c>
    </row>
    <row r="32" spans="1:20" x14ac:dyDescent="0.3">
      <c r="A32" s="32" t="s">
        <v>224</v>
      </c>
      <c r="B32" s="4">
        <v>14</v>
      </c>
      <c r="C32" s="4">
        <v>81</v>
      </c>
      <c r="E32" t="str">
        <v>CUST0031</v>
      </c>
      <c r="F32">
        <v>14</v>
      </c>
      <c r="G32">
        <v>81</v>
      </c>
      <c r="K32" s="32" t="s">
        <v>98</v>
      </c>
      <c r="L32" s="4">
        <v>8</v>
      </c>
      <c r="M32" s="4">
        <v>2521500</v>
      </c>
      <c r="O32" t="str">
        <v>CUST0269</v>
      </c>
      <c r="P32">
        <v>8</v>
      </c>
      <c r="Q32">
        <v>2521500</v>
      </c>
    </row>
    <row r="33" spans="1:17" x14ac:dyDescent="0.3">
      <c r="A33" s="32" t="s">
        <v>147</v>
      </c>
      <c r="B33" s="4">
        <v>14</v>
      </c>
      <c r="C33" s="4">
        <v>61</v>
      </c>
      <c r="E33" t="str">
        <v>CUST0044</v>
      </c>
      <c r="F33">
        <v>14</v>
      </c>
      <c r="G33">
        <v>61</v>
      </c>
      <c r="K33" s="32" t="s">
        <v>67</v>
      </c>
      <c r="L33" s="4">
        <v>9</v>
      </c>
      <c r="M33" s="4">
        <v>2392350</v>
      </c>
      <c r="O33" t="str">
        <v>CUST0081</v>
      </c>
      <c r="P33">
        <v>9</v>
      </c>
      <c r="Q33">
        <v>2392350</v>
      </c>
    </row>
    <row r="34" spans="1:17" x14ac:dyDescent="0.3">
      <c r="A34" s="32" t="s">
        <v>175</v>
      </c>
      <c r="B34" s="4">
        <v>14</v>
      </c>
      <c r="C34" s="4">
        <v>46</v>
      </c>
      <c r="E34" t="str">
        <v>CUST0095</v>
      </c>
      <c r="F34">
        <v>14</v>
      </c>
      <c r="G34">
        <v>46</v>
      </c>
      <c r="K34" s="32" t="s">
        <v>57</v>
      </c>
      <c r="L34" s="4">
        <v>10</v>
      </c>
      <c r="M34" s="4">
        <v>2303790</v>
      </c>
      <c r="O34" t="str">
        <v>CUST0298</v>
      </c>
      <c r="P34">
        <v>10</v>
      </c>
      <c r="Q34">
        <v>2303790</v>
      </c>
    </row>
    <row r="35" spans="1:17" x14ac:dyDescent="0.3">
      <c r="A35" s="32" t="s">
        <v>176</v>
      </c>
      <c r="B35" s="4">
        <v>13</v>
      </c>
      <c r="C35" s="4">
        <v>1</v>
      </c>
      <c r="E35" t="str">
        <v>CUST0204</v>
      </c>
      <c r="F35">
        <v>13</v>
      </c>
      <c r="G35">
        <v>1</v>
      </c>
      <c r="K35" s="32" t="s">
        <v>116</v>
      </c>
      <c r="L35" s="4">
        <v>10</v>
      </c>
      <c r="M35" s="4">
        <v>2303790</v>
      </c>
      <c r="O35" t="str">
        <v>CUST0203</v>
      </c>
      <c r="P35">
        <v>10</v>
      </c>
      <c r="Q35">
        <v>2303790</v>
      </c>
    </row>
    <row r="36" spans="1:17" x14ac:dyDescent="0.3">
      <c r="A36" s="32" t="s">
        <v>104</v>
      </c>
      <c r="B36" s="4">
        <v>13</v>
      </c>
      <c r="C36" s="4">
        <v>1</v>
      </c>
      <c r="E36" t="str">
        <v>CUST0091</v>
      </c>
      <c r="F36">
        <v>13</v>
      </c>
      <c r="G36">
        <v>1</v>
      </c>
      <c r="K36" s="32" t="s">
        <v>221</v>
      </c>
      <c r="L36" s="4">
        <v>10</v>
      </c>
      <c r="M36" s="4">
        <v>2301330</v>
      </c>
      <c r="O36" t="str">
        <v>CUST0047</v>
      </c>
      <c r="P36">
        <v>10</v>
      </c>
      <c r="Q36">
        <v>2301330</v>
      </c>
    </row>
    <row r="37" spans="1:17" x14ac:dyDescent="0.3">
      <c r="A37" s="32" t="s">
        <v>167</v>
      </c>
      <c r="B37" s="4">
        <v>13</v>
      </c>
      <c r="C37" s="4">
        <v>14</v>
      </c>
      <c r="E37" t="str">
        <v>CUST0052</v>
      </c>
      <c r="F37">
        <v>13</v>
      </c>
      <c r="G37">
        <v>14</v>
      </c>
      <c r="K37" s="32" t="s">
        <v>48</v>
      </c>
      <c r="L37" s="4">
        <v>7</v>
      </c>
      <c r="M37" s="4">
        <v>2287800</v>
      </c>
      <c r="O37" t="str">
        <v>CUST0242</v>
      </c>
      <c r="P37">
        <v>7</v>
      </c>
      <c r="Q37">
        <v>2287800</v>
      </c>
    </row>
    <row r="38" spans="1:17" x14ac:dyDescent="0.3">
      <c r="A38" s="32" t="s">
        <v>65</v>
      </c>
      <c r="B38" s="4">
        <v>13</v>
      </c>
      <c r="C38" s="4">
        <v>11</v>
      </c>
      <c r="E38" t="str">
        <v>CUST0064</v>
      </c>
      <c r="F38">
        <v>13</v>
      </c>
      <c r="G38">
        <v>11</v>
      </c>
      <c r="K38" s="32" t="s">
        <v>177</v>
      </c>
      <c r="L38" s="4">
        <v>8</v>
      </c>
      <c r="M38" s="4">
        <v>2273040</v>
      </c>
      <c r="O38" t="str">
        <v>CUST0134</v>
      </c>
      <c r="P38">
        <v>8</v>
      </c>
      <c r="Q38">
        <v>2273040</v>
      </c>
    </row>
    <row r="39" spans="1:17" x14ac:dyDescent="0.3">
      <c r="A39" s="32" t="s">
        <v>71</v>
      </c>
      <c r="B39" s="4">
        <v>13</v>
      </c>
      <c r="C39" s="4">
        <v>19</v>
      </c>
      <c r="E39" t="str">
        <v>CUST0131</v>
      </c>
      <c r="F39">
        <v>13</v>
      </c>
      <c r="G39">
        <v>19</v>
      </c>
      <c r="K39" s="32" t="s">
        <v>124</v>
      </c>
      <c r="L39" s="4">
        <v>11</v>
      </c>
      <c r="M39" s="4">
        <v>2250900</v>
      </c>
      <c r="O39" t="str">
        <v>CUST0137</v>
      </c>
      <c r="P39">
        <v>11</v>
      </c>
      <c r="Q39">
        <v>2250900</v>
      </c>
    </row>
    <row r="40" spans="1:17" x14ac:dyDescent="0.3">
      <c r="A40" s="32" t="s">
        <v>148</v>
      </c>
      <c r="B40" s="4">
        <v>12</v>
      </c>
      <c r="C40" s="4">
        <v>24</v>
      </c>
      <c r="E40" t="str">
        <v>CUST0174</v>
      </c>
      <c r="F40">
        <v>12</v>
      </c>
      <c r="G40">
        <v>24</v>
      </c>
      <c r="K40" s="32" t="s">
        <v>281</v>
      </c>
      <c r="L40" s="4">
        <v>5</v>
      </c>
      <c r="M40" s="4">
        <v>2247210</v>
      </c>
      <c r="O40" t="str">
        <v>CUST0001</v>
      </c>
      <c r="P40">
        <v>5</v>
      </c>
      <c r="Q40">
        <v>2247210</v>
      </c>
    </row>
    <row r="41" spans="1:17" x14ac:dyDescent="0.3">
      <c r="A41" s="32" t="s">
        <v>173</v>
      </c>
      <c r="B41" s="4">
        <v>12</v>
      </c>
      <c r="C41" s="4">
        <v>33</v>
      </c>
      <c r="E41" t="str">
        <v>CUST0186</v>
      </c>
      <c r="F41">
        <v>12</v>
      </c>
      <c r="G41">
        <v>33</v>
      </c>
      <c r="K41" s="32" t="s">
        <v>82</v>
      </c>
      <c r="L41" s="4">
        <v>5</v>
      </c>
      <c r="M41" s="4">
        <v>2201700</v>
      </c>
      <c r="O41" t="str">
        <v>CUST0041</v>
      </c>
      <c r="P41">
        <v>5</v>
      </c>
      <c r="Q41">
        <v>2201700</v>
      </c>
    </row>
    <row r="42" spans="1:17" x14ac:dyDescent="0.3">
      <c r="A42" s="32" t="s">
        <v>187</v>
      </c>
      <c r="B42" s="4">
        <v>12</v>
      </c>
      <c r="C42" s="4">
        <v>7</v>
      </c>
      <c r="E42" t="str">
        <v>CUST0180</v>
      </c>
      <c r="F42">
        <v>12</v>
      </c>
      <c r="G42">
        <v>7</v>
      </c>
      <c r="K42" s="32" t="s">
        <v>104</v>
      </c>
      <c r="L42" s="4">
        <v>13</v>
      </c>
      <c r="M42" s="4">
        <v>2200470</v>
      </c>
      <c r="O42" t="str">
        <v>CUST0091</v>
      </c>
      <c r="P42">
        <v>13</v>
      </c>
      <c r="Q42">
        <v>2200470</v>
      </c>
    </row>
    <row r="43" spans="1:17" x14ac:dyDescent="0.3">
      <c r="A43" s="32" t="s">
        <v>40</v>
      </c>
      <c r="B43" s="4">
        <v>12</v>
      </c>
      <c r="C43" s="4">
        <v>26</v>
      </c>
      <c r="E43" t="str">
        <v>CUST0139</v>
      </c>
      <c r="F43">
        <v>12</v>
      </c>
      <c r="G43">
        <v>26</v>
      </c>
      <c r="K43" s="32" t="s">
        <v>140</v>
      </c>
      <c r="L43" s="4">
        <v>8</v>
      </c>
      <c r="M43" s="4">
        <v>2195550</v>
      </c>
      <c r="O43" t="str">
        <v>CUST0281</v>
      </c>
      <c r="P43">
        <v>8</v>
      </c>
      <c r="Q43">
        <v>2195550</v>
      </c>
    </row>
    <row r="44" spans="1:17" x14ac:dyDescent="0.3">
      <c r="A44" s="32" t="s">
        <v>174</v>
      </c>
      <c r="B44" s="4">
        <v>12</v>
      </c>
      <c r="C44" s="4">
        <v>9</v>
      </c>
      <c r="E44" t="str">
        <v>CUST0109</v>
      </c>
      <c r="F44">
        <v>12</v>
      </c>
      <c r="G44">
        <v>9</v>
      </c>
      <c r="K44" s="32" t="s">
        <v>137</v>
      </c>
      <c r="L44" s="4">
        <v>8</v>
      </c>
      <c r="M44" s="4">
        <v>2164800</v>
      </c>
      <c r="O44" t="str">
        <v>CUST0197</v>
      </c>
      <c r="P44">
        <v>8</v>
      </c>
      <c r="Q44">
        <v>2164800</v>
      </c>
    </row>
    <row r="45" spans="1:17" x14ac:dyDescent="0.3">
      <c r="A45" s="32" t="s">
        <v>23</v>
      </c>
      <c r="B45" s="4">
        <v>12</v>
      </c>
      <c r="C45" s="4">
        <v>15</v>
      </c>
      <c r="E45" t="str">
        <v>CUST0173</v>
      </c>
      <c r="F45">
        <v>12</v>
      </c>
      <c r="G45">
        <v>15</v>
      </c>
      <c r="K45" s="32" t="s">
        <v>212</v>
      </c>
      <c r="L45" s="4">
        <v>8</v>
      </c>
      <c r="M45" s="4">
        <v>2163570</v>
      </c>
      <c r="O45" t="str">
        <v>CUST0144</v>
      </c>
      <c r="P45">
        <v>8</v>
      </c>
      <c r="Q45">
        <v>2163570</v>
      </c>
    </row>
    <row r="46" spans="1:17" x14ac:dyDescent="0.3">
      <c r="A46" s="32" t="s">
        <v>229</v>
      </c>
      <c r="B46" s="4">
        <v>12</v>
      </c>
      <c r="C46" s="4">
        <v>63</v>
      </c>
      <c r="E46" t="str">
        <v>CUST0126</v>
      </c>
      <c r="F46">
        <v>12</v>
      </c>
      <c r="G46">
        <v>63</v>
      </c>
      <c r="K46" s="32" t="s">
        <v>55</v>
      </c>
      <c r="L46" s="4">
        <v>8</v>
      </c>
      <c r="M46" s="4">
        <v>2097150</v>
      </c>
      <c r="O46" t="str">
        <v>CUST0288</v>
      </c>
      <c r="P46">
        <v>8</v>
      </c>
      <c r="Q46">
        <v>2097150</v>
      </c>
    </row>
    <row r="47" spans="1:17" x14ac:dyDescent="0.3">
      <c r="A47" s="32" t="s">
        <v>213</v>
      </c>
      <c r="B47" s="4">
        <v>11</v>
      </c>
      <c r="C47" s="4">
        <v>141</v>
      </c>
      <c r="E47" t="str">
        <v>CUST0129</v>
      </c>
      <c r="F47">
        <v>11</v>
      </c>
      <c r="G47">
        <v>141</v>
      </c>
      <c r="K47" s="32" t="s">
        <v>10</v>
      </c>
      <c r="L47" s="4">
        <v>11</v>
      </c>
      <c r="M47" s="4">
        <v>2028270</v>
      </c>
      <c r="O47" t="str">
        <v>CUST0268</v>
      </c>
      <c r="P47">
        <v>11</v>
      </c>
      <c r="Q47">
        <v>2028270</v>
      </c>
    </row>
    <row r="48" spans="1:17" x14ac:dyDescent="0.3">
      <c r="A48" s="32" t="s">
        <v>10</v>
      </c>
      <c r="B48" s="4">
        <v>11</v>
      </c>
      <c r="C48" s="4">
        <v>270</v>
      </c>
      <c r="E48" t="str">
        <v>CUST0268</v>
      </c>
      <c r="F48">
        <v>11</v>
      </c>
      <c r="G48">
        <v>270</v>
      </c>
      <c r="K48" s="32" t="s">
        <v>271</v>
      </c>
      <c r="L48" s="4">
        <v>7</v>
      </c>
      <c r="M48" s="4">
        <v>1992600</v>
      </c>
      <c r="O48" t="str">
        <v>CUST0157</v>
      </c>
      <c r="P48">
        <v>7</v>
      </c>
      <c r="Q48">
        <v>1992600</v>
      </c>
    </row>
    <row r="49" spans="1:17" x14ac:dyDescent="0.3">
      <c r="A49" s="32" t="s">
        <v>85</v>
      </c>
      <c r="B49" s="4">
        <v>11</v>
      </c>
      <c r="C49" s="4">
        <v>53</v>
      </c>
      <c r="E49" t="str">
        <v>CUST0218</v>
      </c>
      <c r="F49">
        <v>11</v>
      </c>
      <c r="G49">
        <v>53</v>
      </c>
      <c r="K49" s="32" t="s">
        <v>72</v>
      </c>
      <c r="L49" s="4">
        <v>8</v>
      </c>
      <c r="M49" s="4">
        <v>1944630</v>
      </c>
      <c r="O49" t="str">
        <v>CUST0070</v>
      </c>
      <c r="P49">
        <v>8</v>
      </c>
      <c r="Q49">
        <v>1944630</v>
      </c>
    </row>
    <row r="50" spans="1:17" x14ac:dyDescent="0.3">
      <c r="A50" s="32" t="s">
        <v>47</v>
      </c>
      <c r="B50" s="4">
        <v>11</v>
      </c>
      <c r="C50" s="4">
        <v>12</v>
      </c>
      <c r="E50" t="str">
        <v>CUST0007</v>
      </c>
      <c r="F50">
        <v>11</v>
      </c>
      <c r="G50">
        <v>12</v>
      </c>
      <c r="K50" s="32" t="s">
        <v>171</v>
      </c>
      <c r="L50" s="4">
        <v>10</v>
      </c>
      <c r="M50" s="4">
        <v>1943400</v>
      </c>
      <c r="O50" t="str">
        <v>CUST0080</v>
      </c>
      <c r="P50">
        <v>10</v>
      </c>
      <c r="Q50">
        <v>1943400</v>
      </c>
    </row>
    <row r="51" spans="1:17" x14ac:dyDescent="0.3">
      <c r="A51" s="32" t="s">
        <v>195</v>
      </c>
      <c r="B51" s="4">
        <v>11</v>
      </c>
      <c r="C51" s="4">
        <v>128</v>
      </c>
      <c r="E51" t="str">
        <v>CUST0128</v>
      </c>
      <c r="F51">
        <v>11</v>
      </c>
      <c r="G51">
        <v>128</v>
      </c>
      <c r="K51" s="32" t="s">
        <v>95</v>
      </c>
      <c r="L51" s="4">
        <v>9</v>
      </c>
      <c r="M51" s="4">
        <v>1937250</v>
      </c>
      <c r="O51" t="str">
        <v>CUST0133</v>
      </c>
      <c r="P51">
        <v>9</v>
      </c>
      <c r="Q51">
        <v>1937250</v>
      </c>
    </row>
    <row r="52" spans="1:17" x14ac:dyDescent="0.3">
      <c r="A52" s="32" t="s">
        <v>54</v>
      </c>
      <c r="B52" s="4">
        <v>11</v>
      </c>
      <c r="C52" s="4">
        <v>1</v>
      </c>
      <c r="E52" t="str">
        <v>CUST0038</v>
      </c>
      <c r="F52">
        <v>11</v>
      </c>
      <c r="G52">
        <v>1</v>
      </c>
      <c r="K52" s="32" t="s">
        <v>128</v>
      </c>
      <c r="L52" s="4">
        <v>11</v>
      </c>
      <c r="M52" s="4">
        <v>1924950</v>
      </c>
      <c r="O52" t="str">
        <v>CUST0028</v>
      </c>
      <c r="P52">
        <v>11</v>
      </c>
      <c r="Q52">
        <v>1924950</v>
      </c>
    </row>
    <row r="53" spans="1:17" x14ac:dyDescent="0.3">
      <c r="A53" s="32" t="s">
        <v>154</v>
      </c>
      <c r="B53" s="4">
        <v>11</v>
      </c>
      <c r="C53" s="4">
        <v>28</v>
      </c>
      <c r="E53" t="str">
        <v>CUST0216</v>
      </c>
      <c r="F53">
        <v>11</v>
      </c>
      <c r="G53">
        <v>28</v>
      </c>
      <c r="K53" s="32" t="s">
        <v>263</v>
      </c>
      <c r="L53" s="4">
        <v>9</v>
      </c>
      <c r="M53" s="4">
        <v>1912650</v>
      </c>
      <c r="O53" t="str">
        <v>CUST0295</v>
      </c>
      <c r="P53">
        <v>9</v>
      </c>
      <c r="Q53">
        <v>1912650</v>
      </c>
    </row>
    <row r="54" spans="1:17" x14ac:dyDescent="0.3">
      <c r="A54" s="32" t="s">
        <v>97</v>
      </c>
      <c r="B54" s="4">
        <v>11</v>
      </c>
      <c r="C54" s="4">
        <v>13</v>
      </c>
      <c r="E54" t="str">
        <v>CUST0022</v>
      </c>
      <c r="F54">
        <v>11</v>
      </c>
      <c r="G54">
        <v>13</v>
      </c>
      <c r="K54" s="32" t="s">
        <v>253</v>
      </c>
      <c r="L54" s="4">
        <v>6</v>
      </c>
      <c r="M54" s="4">
        <v>1894200</v>
      </c>
      <c r="O54" t="str">
        <v>CUST0274</v>
      </c>
      <c r="P54">
        <v>6</v>
      </c>
      <c r="Q54">
        <v>1894200</v>
      </c>
    </row>
    <row r="55" spans="1:17" x14ac:dyDescent="0.3">
      <c r="A55" s="32" t="s">
        <v>69</v>
      </c>
      <c r="B55" s="4">
        <v>11</v>
      </c>
      <c r="C55" s="4">
        <v>44</v>
      </c>
      <c r="E55" t="str">
        <v>CUST0130</v>
      </c>
      <c r="F55">
        <v>11</v>
      </c>
      <c r="G55">
        <v>44</v>
      </c>
      <c r="K55" s="32" t="s">
        <v>166</v>
      </c>
      <c r="L55" s="4">
        <v>8</v>
      </c>
      <c r="M55" s="4">
        <v>1881900</v>
      </c>
      <c r="O55" t="str">
        <v>CUST0156</v>
      </c>
      <c r="P55">
        <v>8</v>
      </c>
      <c r="Q55">
        <v>1881900</v>
      </c>
    </row>
    <row r="56" spans="1:17" x14ac:dyDescent="0.3">
      <c r="A56" s="32" t="s">
        <v>128</v>
      </c>
      <c r="B56" s="4">
        <v>11</v>
      </c>
      <c r="C56" s="4">
        <v>7</v>
      </c>
      <c r="E56" t="str">
        <v>CUST0028</v>
      </c>
      <c r="F56">
        <v>11</v>
      </c>
      <c r="G56">
        <v>7</v>
      </c>
      <c r="K56" s="32" t="s">
        <v>298</v>
      </c>
      <c r="L56" s="4">
        <v>4</v>
      </c>
      <c r="M56" s="4">
        <v>1869600</v>
      </c>
      <c r="O56" t="str">
        <v>CUST0034</v>
      </c>
      <c r="P56">
        <v>4</v>
      </c>
      <c r="Q56">
        <v>1869600</v>
      </c>
    </row>
    <row r="57" spans="1:17" x14ac:dyDescent="0.3">
      <c r="A57" s="32" t="s">
        <v>124</v>
      </c>
      <c r="B57" s="4">
        <v>11</v>
      </c>
      <c r="C57" s="4">
        <v>35</v>
      </c>
      <c r="E57" t="str">
        <v>CUST0137</v>
      </c>
      <c r="F57">
        <v>11</v>
      </c>
      <c r="G57">
        <v>35</v>
      </c>
      <c r="K57" s="32" t="s">
        <v>190</v>
      </c>
      <c r="L57" s="4">
        <v>7</v>
      </c>
      <c r="M57" s="4">
        <v>1867140</v>
      </c>
      <c r="O57" t="str">
        <v>CUST0272</v>
      </c>
      <c r="P57">
        <v>7</v>
      </c>
      <c r="Q57">
        <v>1867140</v>
      </c>
    </row>
    <row r="58" spans="1:17" x14ac:dyDescent="0.3">
      <c r="A58" s="32" t="s">
        <v>38</v>
      </c>
      <c r="B58" s="4">
        <v>10</v>
      </c>
      <c r="C58" s="4">
        <v>6</v>
      </c>
      <c r="E58" t="str">
        <v>CUST0276</v>
      </c>
      <c r="F58">
        <v>10</v>
      </c>
      <c r="G58">
        <v>6</v>
      </c>
      <c r="K58" s="32" t="s">
        <v>303</v>
      </c>
      <c r="L58" s="4">
        <v>7</v>
      </c>
      <c r="M58" s="4">
        <v>1840080</v>
      </c>
      <c r="O58" t="str">
        <v>CUST0287</v>
      </c>
      <c r="P58">
        <v>7</v>
      </c>
      <c r="Q58">
        <v>1840080</v>
      </c>
    </row>
    <row r="59" spans="1:17" x14ac:dyDescent="0.3">
      <c r="A59" s="32" t="s">
        <v>116</v>
      </c>
      <c r="B59" s="4">
        <v>10</v>
      </c>
      <c r="C59" s="4">
        <v>2</v>
      </c>
      <c r="E59" t="str">
        <v>CUST0203</v>
      </c>
      <c r="F59">
        <v>10</v>
      </c>
      <c r="G59">
        <v>2</v>
      </c>
      <c r="K59" s="32" t="s">
        <v>174</v>
      </c>
      <c r="L59" s="4">
        <v>12</v>
      </c>
      <c r="M59" s="4">
        <v>1820400</v>
      </c>
      <c r="O59" t="str">
        <v>CUST0109</v>
      </c>
      <c r="P59">
        <v>12</v>
      </c>
      <c r="Q59">
        <v>1820400</v>
      </c>
    </row>
    <row r="60" spans="1:17" x14ac:dyDescent="0.3">
      <c r="A60" s="32" t="s">
        <v>45</v>
      </c>
      <c r="B60" s="4">
        <v>10</v>
      </c>
      <c r="C60" s="4">
        <v>247</v>
      </c>
      <c r="E60" t="str">
        <v>CUST0196</v>
      </c>
      <c r="F60">
        <v>10</v>
      </c>
      <c r="G60">
        <v>247</v>
      </c>
      <c r="K60" s="32" t="s">
        <v>73</v>
      </c>
      <c r="L60" s="4">
        <v>9</v>
      </c>
      <c r="M60" s="4">
        <v>1810560</v>
      </c>
      <c r="O60" t="str">
        <v>CUST0122</v>
      </c>
      <c r="P60">
        <v>9</v>
      </c>
      <c r="Q60">
        <v>1810560</v>
      </c>
    </row>
    <row r="61" spans="1:17" x14ac:dyDescent="0.3">
      <c r="A61" s="32" t="s">
        <v>171</v>
      </c>
      <c r="B61" s="4">
        <v>10</v>
      </c>
      <c r="C61" s="4">
        <v>117</v>
      </c>
      <c r="E61" t="str">
        <v>CUST0080</v>
      </c>
      <c r="F61">
        <v>10</v>
      </c>
      <c r="G61">
        <v>117</v>
      </c>
      <c r="K61" s="32" t="s">
        <v>257</v>
      </c>
      <c r="L61" s="4">
        <v>10</v>
      </c>
      <c r="M61" s="4">
        <v>1795800</v>
      </c>
      <c r="O61" t="str">
        <v>CUST0240</v>
      </c>
      <c r="P61">
        <v>10</v>
      </c>
      <c r="Q61">
        <v>1795800</v>
      </c>
    </row>
    <row r="62" spans="1:17" x14ac:dyDescent="0.3">
      <c r="A62" s="32" t="s">
        <v>257</v>
      </c>
      <c r="B62" s="4">
        <v>10</v>
      </c>
      <c r="C62" s="4">
        <v>31</v>
      </c>
      <c r="E62" t="str">
        <v>CUST0240</v>
      </c>
      <c r="F62">
        <v>10</v>
      </c>
      <c r="G62">
        <v>31</v>
      </c>
      <c r="K62" s="32" t="s">
        <v>241</v>
      </c>
      <c r="L62" s="4">
        <v>6</v>
      </c>
      <c r="M62" s="4">
        <v>1790880</v>
      </c>
      <c r="O62" t="str">
        <v>CUST0198</v>
      </c>
      <c r="P62">
        <v>6</v>
      </c>
      <c r="Q62">
        <v>1790880</v>
      </c>
    </row>
    <row r="63" spans="1:17" x14ac:dyDescent="0.3">
      <c r="A63" s="32" t="s">
        <v>56</v>
      </c>
      <c r="B63" s="4">
        <v>10</v>
      </c>
      <c r="C63" s="4">
        <v>9</v>
      </c>
      <c r="E63" t="str">
        <v>CUST0124</v>
      </c>
      <c r="F63">
        <v>10</v>
      </c>
      <c r="G63">
        <v>9</v>
      </c>
      <c r="K63" s="32" t="s">
        <v>43</v>
      </c>
      <c r="L63" s="4">
        <v>7</v>
      </c>
      <c r="M63" s="4">
        <v>1788420</v>
      </c>
      <c r="O63" t="str">
        <v>CUST0293</v>
      </c>
      <c r="P63">
        <v>7</v>
      </c>
      <c r="Q63">
        <v>1788420</v>
      </c>
    </row>
    <row r="64" spans="1:17" x14ac:dyDescent="0.3">
      <c r="A64" s="32" t="s">
        <v>221</v>
      </c>
      <c r="B64" s="4">
        <v>10</v>
      </c>
      <c r="C64" s="4">
        <v>39</v>
      </c>
      <c r="E64" t="str">
        <v>CUST0047</v>
      </c>
      <c r="F64">
        <v>10</v>
      </c>
      <c r="G64">
        <v>39</v>
      </c>
      <c r="K64" s="32" t="s">
        <v>83</v>
      </c>
      <c r="L64" s="4">
        <v>7</v>
      </c>
      <c r="M64" s="4">
        <v>1771200</v>
      </c>
      <c r="O64" t="str">
        <v>CUST0112</v>
      </c>
      <c r="P64">
        <v>7</v>
      </c>
      <c r="Q64">
        <v>1771200</v>
      </c>
    </row>
    <row r="65" spans="1:17" x14ac:dyDescent="0.3">
      <c r="A65" s="32" t="s">
        <v>223</v>
      </c>
      <c r="B65" s="4">
        <v>10</v>
      </c>
      <c r="C65" s="4">
        <v>34</v>
      </c>
      <c r="E65" t="str">
        <v>CUST0010</v>
      </c>
      <c r="F65">
        <v>10</v>
      </c>
      <c r="G65">
        <v>34</v>
      </c>
      <c r="K65" s="32" t="s">
        <v>70</v>
      </c>
      <c r="L65" s="4">
        <v>8</v>
      </c>
      <c r="M65" s="4">
        <v>1746600</v>
      </c>
      <c r="O65" t="str">
        <v>CUST0178</v>
      </c>
      <c r="P65">
        <v>8</v>
      </c>
      <c r="Q65">
        <v>1746600</v>
      </c>
    </row>
    <row r="66" spans="1:17" x14ac:dyDescent="0.3">
      <c r="A66" s="32" t="s">
        <v>34</v>
      </c>
      <c r="B66" s="4">
        <v>10</v>
      </c>
      <c r="C66" s="4">
        <v>75</v>
      </c>
      <c r="E66" t="str">
        <v>CUST0201</v>
      </c>
      <c r="F66">
        <v>10</v>
      </c>
      <c r="G66">
        <v>75</v>
      </c>
      <c r="K66" s="32" t="s">
        <v>256</v>
      </c>
      <c r="L66" s="4">
        <v>7</v>
      </c>
      <c r="M66" s="4">
        <v>1740450</v>
      </c>
      <c r="O66" t="str">
        <v>CUST0160</v>
      </c>
      <c r="P66">
        <v>7</v>
      </c>
      <c r="Q66">
        <v>1740450</v>
      </c>
    </row>
    <row r="67" spans="1:17" x14ac:dyDescent="0.3">
      <c r="A67" s="32" t="s">
        <v>160</v>
      </c>
      <c r="B67" s="4">
        <v>10</v>
      </c>
      <c r="C67" s="4">
        <v>38</v>
      </c>
      <c r="E67" t="str">
        <v>CUST0142</v>
      </c>
      <c r="F67">
        <v>10</v>
      </c>
      <c r="G67">
        <v>38</v>
      </c>
      <c r="K67" s="32" t="s">
        <v>136</v>
      </c>
      <c r="L67" s="4">
        <v>6</v>
      </c>
      <c r="M67" s="4">
        <v>1722000</v>
      </c>
      <c r="O67" t="str">
        <v>CUST0138</v>
      </c>
      <c r="P67">
        <v>6</v>
      </c>
      <c r="Q67">
        <v>1722000</v>
      </c>
    </row>
    <row r="68" spans="1:17" x14ac:dyDescent="0.3">
      <c r="A68" s="32" t="s">
        <v>110</v>
      </c>
      <c r="B68" s="4">
        <v>10</v>
      </c>
      <c r="C68" s="4">
        <v>38</v>
      </c>
      <c r="E68" t="str">
        <v>CUST0228</v>
      </c>
      <c r="F68">
        <v>10</v>
      </c>
      <c r="G68">
        <v>38</v>
      </c>
      <c r="K68" s="32" t="s">
        <v>63</v>
      </c>
      <c r="L68" s="4">
        <v>5</v>
      </c>
      <c r="M68" s="4">
        <v>1717080</v>
      </c>
      <c r="O68" t="str">
        <v>CUST0222</v>
      </c>
      <c r="P68">
        <v>5</v>
      </c>
      <c r="Q68">
        <v>1717080</v>
      </c>
    </row>
    <row r="69" spans="1:17" x14ac:dyDescent="0.3">
      <c r="A69" s="32" t="s">
        <v>214</v>
      </c>
      <c r="B69" s="4">
        <v>10</v>
      </c>
      <c r="C69" s="4">
        <v>25</v>
      </c>
      <c r="E69" t="str">
        <v>CUST0148</v>
      </c>
      <c r="F69">
        <v>10</v>
      </c>
      <c r="G69">
        <v>25</v>
      </c>
      <c r="K69" s="32" t="s">
        <v>142</v>
      </c>
      <c r="L69" s="4">
        <v>6</v>
      </c>
      <c r="M69" s="4">
        <v>1688790</v>
      </c>
      <c r="O69" t="str">
        <v>CUST0069</v>
      </c>
      <c r="P69">
        <v>6</v>
      </c>
      <c r="Q69">
        <v>1688790</v>
      </c>
    </row>
    <row r="70" spans="1:17" x14ac:dyDescent="0.3">
      <c r="A70" s="32" t="s">
        <v>169</v>
      </c>
      <c r="B70" s="4">
        <v>10</v>
      </c>
      <c r="C70" s="4">
        <v>53</v>
      </c>
      <c r="E70" t="str">
        <v>CUST0270</v>
      </c>
      <c r="F70">
        <v>10</v>
      </c>
      <c r="G70">
        <v>53</v>
      </c>
      <c r="K70" s="32" t="s">
        <v>201</v>
      </c>
      <c r="L70" s="4">
        <v>9</v>
      </c>
      <c r="M70" s="4">
        <v>1686330</v>
      </c>
      <c r="O70" t="str">
        <v>CUST0106</v>
      </c>
      <c r="P70">
        <v>9</v>
      </c>
      <c r="Q70">
        <v>1686330</v>
      </c>
    </row>
    <row r="71" spans="1:17" x14ac:dyDescent="0.3">
      <c r="A71" s="32" t="s">
        <v>217</v>
      </c>
      <c r="B71" s="4">
        <v>10</v>
      </c>
      <c r="C71" s="4">
        <v>66</v>
      </c>
      <c r="E71" t="str">
        <v>CUST0161</v>
      </c>
      <c r="F71">
        <v>10</v>
      </c>
      <c r="G71">
        <v>66</v>
      </c>
      <c r="K71" s="32" t="s">
        <v>47</v>
      </c>
      <c r="L71" s="4">
        <v>11</v>
      </c>
      <c r="M71" s="4">
        <v>1678950</v>
      </c>
      <c r="O71" t="str">
        <v>CUST0007</v>
      </c>
      <c r="P71">
        <v>11</v>
      </c>
      <c r="Q71">
        <v>1678950</v>
      </c>
    </row>
    <row r="72" spans="1:17" x14ac:dyDescent="0.3">
      <c r="A72" s="32" t="s">
        <v>57</v>
      </c>
      <c r="B72" s="4">
        <v>10</v>
      </c>
      <c r="C72" s="4">
        <v>21</v>
      </c>
      <c r="E72" t="str">
        <v>CUST0298</v>
      </c>
      <c r="F72">
        <v>10</v>
      </c>
      <c r="G72">
        <v>21</v>
      </c>
      <c r="K72" s="32" t="s">
        <v>219</v>
      </c>
      <c r="L72" s="4">
        <v>6</v>
      </c>
      <c r="M72" s="4">
        <v>1672800</v>
      </c>
      <c r="O72" t="str">
        <v>CUST0162</v>
      </c>
      <c r="P72">
        <v>6</v>
      </c>
      <c r="Q72">
        <v>1672800</v>
      </c>
    </row>
    <row r="73" spans="1:17" x14ac:dyDescent="0.3">
      <c r="A73" s="32" t="s">
        <v>74</v>
      </c>
      <c r="B73" s="4">
        <v>10</v>
      </c>
      <c r="C73" s="4">
        <v>7</v>
      </c>
      <c r="E73" t="str">
        <v>CUST0168</v>
      </c>
      <c r="F73">
        <v>10</v>
      </c>
      <c r="G73">
        <v>7</v>
      </c>
      <c r="K73" s="32" t="s">
        <v>75</v>
      </c>
      <c r="L73" s="4">
        <v>7</v>
      </c>
      <c r="M73" s="4">
        <v>1672800</v>
      </c>
      <c r="O73" t="str">
        <v>CUST0176</v>
      </c>
      <c r="P73">
        <v>7</v>
      </c>
      <c r="Q73">
        <v>1672800</v>
      </c>
    </row>
    <row r="74" spans="1:17" x14ac:dyDescent="0.3">
      <c r="A74" s="32" t="s">
        <v>152</v>
      </c>
      <c r="B74" s="4">
        <v>9</v>
      </c>
      <c r="C74" s="4">
        <v>65</v>
      </c>
      <c r="E74" t="str">
        <v>CUST0027</v>
      </c>
      <c r="F74">
        <v>9</v>
      </c>
      <c r="G74">
        <v>65</v>
      </c>
      <c r="K74" s="32" t="s">
        <v>102</v>
      </c>
      <c r="L74" s="4">
        <v>7</v>
      </c>
      <c r="M74" s="4">
        <v>1661730</v>
      </c>
      <c r="O74" t="str">
        <v>CUST0219</v>
      </c>
      <c r="P74">
        <v>7</v>
      </c>
      <c r="Q74">
        <v>1661730</v>
      </c>
    </row>
    <row r="75" spans="1:17" x14ac:dyDescent="0.3">
      <c r="A75" s="32" t="s">
        <v>299</v>
      </c>
      <c r="B75" s="4">
        <v>9</v>
      </c>
      <c r="C75" s="4">
        <v>43</v>
      </c>
      <c r="E75" t="str">
        <v>CUST0232</v>
      </c>
      <c r="F75">
        <v>9</v>
      </c>
      <c r="G75">
        <v>43</v>
      </c>
      <c r="K75" s="32" t="s">
        <v>272</v>
      </c>
      <c r="L75" s="4">
        <v>6</v>
      </c>
      <c r="M75" s="4">
        <v>1654350</v>
      </c>
      <c r="O75" t="str">
        <v>CUST0017</v>
      </c>
      <c r="P75">
        <v>6</v>
      </c>
      <c r="Q75">
        <v>1654350</v>
      </c>
    </row>
    <row r="76" spans="1:17" x14ac:dyDescent="0.3">
      <c r="A76" s="32" t="s">
        <v>199</v>
      </c>
      <c r="B76" s="4">
        <v>9</v>
      </c>
      <c r="C76" s="4">
        <v>41</v>
      </c>
      <c r="E76" t="str">
        <v>CUST0055</v>
      </c>
      <c r="F76">
        <v>9</v>
      </c>
      <c r="G76">
        <v>41</v>
      </c>
      <c r="K76" s="32" t="s">
        <v>45</v>
      </c>
      <c r="L76" s="4">
        <v>10</v>
      </c>
      <c r="M76" s="4">
        <v>1637130</v>
      </c>
      <c r="O76" t="str">
        <v>CUST0196</v>
      </c>
      <c r="P76">
        <v>10</v>
      </c>
      <c r="Q76">
        <v>1637130</v>
      </c>
    </row>
    <row r="77" spans="1:17" x14ac:dyDescent="0.3">
      <c r="A77" s="32" t="s">
        <v>311</v>
      </c>
      <c r="B77" s="4">
        <v>9</v>
      </c>
      <c r="C77" s="4">
        <v>8</v>
      </c>
      <c r="E77" t="str">
        <v>CUST0292</v>
      </c>
      <c r="F77">
        <v>9</v>
      </c>
      <c r="G77">
        <v>8</v>
      </c>
      <c r="K77" s="32" t="s">
        <v>103</v>
      </c>
      <c r="L77" s="4">
        <v>8</v>
      </c>
      <c r="M77" s="4">
        <v>1635900</v>
      </c>
      <c r="O77" t="str">
        <v>CUST0037</v>
      </c>
      <c r="P77">
        <v>8</v>
      </c>
      <c r="Q77">
        <v>1635900</v>
      </c>
    </row>
    <row r="78" spans="1:17" x14ac:dyDescent="0.3">
      <c r="A78" s="32" t="s">
        <v>50</v>
      </c>
      <c r="B78" s="4">
        <v>9</v>
      </c>
      <c r="C78" s="4">
        <v>121</v>
      </c>
      <c r="E78" t="str">
        <v>CUST0264</v>
      </c>
      <c r="F78">
        <v>9</v>
      </c>
      <c r="G78">
        <v>121</v>
      </c>
      <c r="K78" s="32" t="s">
        <v>59</v>
      </c>
      <c r="L78" s="4">
        <v>7</v>
      </c>
      <c r="M78" s="4">
        <v>1635900</v>
      </c>
      <c r="O78" t="str">
        <v>CUST0060</v>
      </c>
      <c r="P78">
        <v>7</v>
      </c>
      <c r="Q78">
        <v>1635900</v>
      </c>
    </row>
    <row r="79" spans="1:17" x14ac:dyDescent="0.3">
      <c r="A79" s="32" t="s">
        <v>73</v>
      </c>
      <c r="B79" s="4">
        <v>9</v>
      </c>
      <c r="C79" s="4">
        <v>9</v>
      </c>
      <c r="E79" t="str">
        <v>CUST0122</v>
      </c>
      <c r="F79">
        <v>9</v>
      </c>
      <c r="G79">
        <v>9</v>
      </c>
      <c r="K79" s="32" t="s">
        <v>68</v>
      </c>
      <c r="L79" s="4">
        <v>6</v>
      </c>
      <c r="M79" s="4">
        <v>1626060</v>
      </c>
      <c r="O79" t="str">
        <v>CUST0247</v>
      </c>
      <c r="P79">
        <v>6</v>
      </c>
      <c r="Q79">
        <v>1626060</v>
      </c>
    </row>
    <row r="80" spans="1:17" x14ac:dyDescent="0.3">
      <c r="A80" s="32" t="s">
        <v>178</v>
      </c>
      <c r="B80" s="4">
        <v>9</v>
      </c>
      <c r="C80" s="4">
        <v>16</v>
      </c>
      <c r="E80" t="str">
        <v>CUST0116</v>
      </c>
      <c r="F80">
        <v>9</v>
      </c>
      <c r="G80">
        <v>16</v>
      </c>
      <c r="K80" s="32" t="s">
        <v>183</v>
      </c>
      <c r="L80" s="4">
        <v>8</v>
      </c>
      <c r="M80" s="4">
        <v>1621140</v>
      </c>
      <c r="O80" t="str">
        <v>CUST0188</v>
      </c>
      <c r="P80">
        <v>8</v>
      </c>
      <c r="Q80">
        <v>1621140</v>
      </c>
    </row>
    <row r="81" spans="1:17" x14ac:dyDescent="0.3">
      <c r="A81" s="32" t="s">
        <v>200</v>
      </c>
      <c r="B81" s="4">
        <v>9</v>
      </c>
      <c r="C81" s="4">
        <v>143</v>
      </c>
      <c r="E81" t="str">
        <v>CUST0071</v>
      </c>
      <c r="F81">
        <v>9</v>
      </c>
      <c r="G81">
        <v>143</v>
      </c>
      <c r="K81" s="32" t="s">
        <v>94</v>
      </c>
      <c r="L81" s="4">
        <v>7</v>
      </c>
      <c r="M81" s="4">
        <v>1559640</v>
      </c>
      <c r="O81" t="str">
        <v>CUST0245</v>
      </c>
      <c r="P81">
        <v>7</v>
      </c>
      <c r="Q81">
        <v>1559640</v>
      </c>
    </row>
    <row r="82" spans="1:17" x14ac:dyDescent="0.3">
      <c r="A82" s="32" t="s">
        <v>64</v>
      </c>
      <c r="B82" s="4">
        <v>9</v>
      </c>
      <c r="C82" s="4">
        <v>7</v>
      </c>
      <c r="E82" t="str">
        <v>CUST0299</v>
      </c>
      <c r="F82">
        <v>9</v>
      </c>
      <c r="G82">
        <v>7</v>
      </c>
      <c r="K82" s="32" t="s">
        <v>297</v>
      </c>
      <c r="L82" s="4">
        <v>6</v>
      </c>
      <c r="M82" s="4">
        <v>1537500</v>
      </c>
      <c r="O82" t="str">
        <v>CUST0255</v>
      </c>
      <c r="P82">
        <v>6</v>
      </c>
      <c r="Q82">
        <v>1537500</v>
      </c>
    </row>
    <row r="83" spans="1:17" x14ac:dyDescent="0.3">
      <c r="A83" s="32" t="s">
        <v>67</v>
      </c>
      <c r="B83" s="4">
        <v>9</v>
      </c>
      <c r="C83" s="4">
        <v>49</v>
      </c>
      <c r="E83" t="str">
        <v>CUST0081</v>
      </c>
      <c r="F83">
        <v>9</v>
      </c>
      <c r="G83">
        <v>49</v>
      </c>
      <c r="K83" s="32" t="s">
        <v>76</v>
      </c>
      <c r="L83" s="4">
        <v>7</v>
      </c>
      <c r="M83" s="4">
        <v>1537500</v>
      </c>
      <c r="O83" t="str">
        <v>CUST0125</v>
      </c>
      <c r="P83">
        <v>7</v>
      </c>
      <c r="Q83">
        <v>1537500</v>
      </c>
    </row>
    <row r="84" spans="1:17" x14ac:dyDescent="0.3">
      <c r="A84" s="32" t="s">
        <v>201</v>
      </c>
      <c r="B84" s="4">
        <v>9</v>
      </c>
      <c r="C84" s="4">
        <v>159</v>
      </c>
      <c r="E84" t="str">
        <v>CUST0106</v>
      </c>
      <c r="F84">
        <v>9</v>
      </c>
      <c r="G84">
        <v>159</v>
      </c>
      <c r="K84" s="32" t="s">
        <v>299</v>
      </c>
      <c r="L84" s="4">
        <v>9</v>
      </c>
      <c r="M84" s="4">
        <v>1535040</v>
      </c>
      <c r="O84" t="str">
        <v>CUST0232</v>
      </c>
      <c r="P84">
        <v>9</v>
      </c>
      <c r="Q84">
        <v>1535040</v>
      </c>
    </row>
    <row r="85" spans="1:17" x14ac:dyDescent="0.3">
      <c r="A85" s="32" t="s">
        <v>209</v>
      </c>
      <c r="B85" s="4">
        <v>9</v>
      </c>
      <c r="C85" s="4">
        <v>64</v>
      </c>
      <c r="E85" t="str">
        <v>CUST0032</v>
      </c>
      <c r="F85">
        <v>9</v>
      </c>
      <c r="G85">
        <v>64</v>
      </c>
      <c r="K85" s="32" t="s">
        <v>294</v>
      </c>
      <c r="L85" s="4">
        <v>7</v>
      </c>
      <c r="M85" s="4">
        <v>1519050</v>
      </c>
      <c r="O85" t="str">
        <v>CUST0135</v>
      </c>
      <c r="P85">
        <v>7</v>
      </c>
      <c r="Q85">
        <v>1519050</v>
      </c>
    </row>
    <row r="86" spans="1:17" x14ac:dyDescent="0.3">
      <c r="A86" s="32" t="s">
        <v>163</v>
      </c>
      <c r="B86" s="4">
        <v>9</v>
      </c>
      <c r="C86" s="4">
        <v>138</v>
      </c>
      <c r="E86" t="str">
        <v>CUST0004</v>
      </c>
      <c r="F86">
        <v>9</v>
      </c>
      <c r="G86">
        <v>138</v>
      </c>
      <c r="K86" s="32" t="s">
        <v>147</v>
      </c>
      <c r="L86" s="4">
        <v>14</v>
      </c>
      <c r="M86" s="4">
        <v>1519050</v>
      </c>
      <c r="O86" t="str">
        <v>CUST0044</v>
      </c>
      <c r="P86">
        <v>14</v>
      </c>
      <c r="Q86">
        <v>1519050</v>
      </c>
    </row>
    <row r="87" spans="1:17" x14ac:dyDescent="0.3">
      <c r="A87" s="32" t="s">
        <v>95</v>
      </c>
      <c r="B87" s="4">
        <v>9</v>
      </c>
      <c r="C87" s="4">
        <v>25</v>
      </c>
      <c r="E87" t="str">
        <v>CUST0133</v>
      </c>
      <c r="F87">
        <v>9</v>
      </c>
      <c r="G87">
        <v>25</v>
      </c>
      <c r="K87" s="32" t="s">
        <v>33</v>
      </c>
      <c r="L87" s="4">
        <v>8</v>
      </c>
      <c r="M87" s="4">
        <v>1488300</v>
      </c>
      <c r="O87" t="str">
        <v>CUST0023</v>
      </c>
      <c r="P87">
        <v>8</v>
      </c>
      <c r="Q87">
        <v>1488300</v>
      </c>
    </row>
    <row r="88" spans="1:17" x14ac:dyDescent="0.3">
      <c r="A88" s="32" t="s">
        <v>284</v>
      </c>
      <c r="B88" s="4">
        <v>9</v>
      </c>
      <c r="C88" s="4">
        <v>30</v>
      </c>
      <c r="E88" t="str">
        <v>CUST0271</v>
      </c>
      <c r="F88">
        <v>9</v>
      </c>
      <c r="G88">
        <v>30</v>
      </c>
      <c r="K88" s="32" t="s">
        <v>107</v>
      </c>
      <c r="L88" s="4">
        <v>4</v>
      </c>
      <c r="M88" s="4">
        <v>1488300</v>
      </c>
      <c r="O88" t="str">
        <v>CUST0236</v>
      </c>
      <c r="P88">
        <v>4</v>
      </c>
      <c r="Q88">
        <v>1488300</v>
      </c>
    </row>
    <row r="89" spans="1:17" x14ac:dyDescent="0.3">
      <c r="A89" s="32" t="s">
        <v>172</v>
      </c>
      <c r="B89" s="4">
        <v>9</v>
      </c>
      <c r="C89" s="4">
        <v>93</v>
      </c>
      <c r="E89" t="str">
        <v>CUST0208</v>
      </c>
      <c r="F89">
        <v>9</v>
      </c>
      <c r="G89">
        <v>93</v>
      </c>
      <c r="K89" s="32" t="s">
        <v>152</v>
      </c>
      <c r="L89" s="4">
        <v>9</v>
      </c>
      <c r="M89" s="4">
        <v>1484610</v>
      </c>
      <c r="O89" t="str">
        <v>CUST0027</v>
      </c>
      <c r="P89">
        <v>9</v>
      </c>
      <c r="Q89">
        <v>1484610</v>
      </c>
    </row>
    <row r="90" spans="1:17" x14ac:dyDescent="0.3">
      <c r="A90" s="32" t="s">
        <v>202</v>
      </c>
      <c r="B90" s="4">
        <v>9</v>
      </c>
      <c r="C90" s="4">
        <v>14</v>
      </c>
      <c r="E90" t="str">
        <v>CUST0280</v>
      </c>
      <c r="F90">
        <v>9</v>
      </c>
      <c r="G90">
        <v>14</v>
      </c>
      <c r="K90" s="32" t="s">
        <v>173</v>
      </c>
      <c r="L90" s="4">
        <v>12</v>
      </c>
      <c r="M90" s="4">
        <v>1474770</v>
      </c>
      <c r="O90" t="str">
        <v>CUST0186</v>
      </c>
      <c r="P90">
        <v>12</v>
      </c>
      <c r="Q90">
        <v>1474770</v>
      </c>
    </row>
    <row r="91" spans="1:17" x14ac:dyDescent="0.3">
      <c r="A91" s="32" t="s">
        <v>58</v>
      </c>
      <c r="B91" s="4">
        <v>9</v>
      </c>
      <c r="C91" s="4">
        <v>138</v>
      </c>
      <c r="E91" t="str">
        <v>CUST0211</v>
      </c>
      <c r="F91">
        <v>9</v>
      </c>
      <c r="G91">
        <v>138</v>
      </c>
      <c r="K91" s="32" t="s">
        <v>38</v>
      </c>
      <c r="L91" s="4">
        <v>10</v>
      </c>
      <c r="M91" s="4">
        <v>1473540</v>
      </c>
      <c r="O91" t="str">
        <v>CUST0276</v>
      </c>
      <c r="P91">
        <v>10</v>
      </c>
      <c r="Q91">
        <v>1473540</v>
      </c>
    </row>
    <row r="92" spans="1:17" x14ac:dyDescent="0.3">
      <c r="A92" s="32" t="s">
        <v>49</v>
      </c>
      <c r="B92" s="4">
        <v>9</v>
      </c>
      <c r="C92" s="4">
        <v>55</v>
      </c>
      <c r="E92" t="str">
        <v>CUST0042</v>
      </c>
      <c r="F92">
        <v>9</v>
      </c>
      <c r="G92">
        <v>55</v>
      </c>
      <c r="K92" s="32" t="s">
        <v>279</v>
      </c>
      <c r="L92" s="4">
        <v>6</v>
      </c>
      <c r="M92" s="4">
        <v>1457550</v>
      </c>
      <c r="O92" t="str">
        <v>CUST0185</v>
      </c>
      <c r="P92">
        <v>6</v>
      </c>
      <c r="Q92">
        <v>1457550</v>
      </c>
    </row>
    <row r="93" spans="1:17" x14ac:dyDescent="0.3">
      <c r="A93" s="32" t="s">
        <v>263</v>
      </c>
      <c r="B93" s="4">
        <v>9</v>
      </c>
      <c r="C93" s="4">
        <v>14</v>
      </c>
      <c r="E93" t="str">
        <v>CUST0295</v>
      </c>
      <c r="F93">
        <v>9</v>
      </c>
      <c r="G93">
        <v>14</v>
      </c>
      <c r="K93" s="32" t="s">
        <v>187</v>
      </c>
      <c r="L93" s="4">
        <v>12</v>
      </c>
      <c r="M93" s="4">
        <v>1448940</v>
      </c>
      <c r="O93" t="str">
        <v>CUST0180</v>
      </c>
      <c r="P93">
        <v>12</v>
      </c>
      <c r="Q93">
        <v>1448940</v>
      </c>
    </row>
    <row r="94" spans="1:17" x14ac:dyDescent="0.3">
      <c r="A94" s="32" t="s">
        <v>140</v>
      </c>
      <c r="B94" s="4">
        <v>8</v>
      </c>
      <c r="C94" s="4">
        <v>401</v>
      </c>
      <c r="E94" t="str">
        <v>CUST0281</v>
      </c>
      <c r="F94">
        <v>8</v>
      </c>
      <c r="G94">
        <v>401</v>
      </c>
      <c r="K94" s="32" t="s">
        <v>77</v>
      </c>
      <c r="L94" s="4">
        <v>8</v>
      </c>
      <c r="M94" s="4">
        <v>1446480</v>
      </c>
      <c r="O94" t="str">
        <v>CUST0165</v>
      </c>
      <c r="P94">
        <v>8</v>
      </c>
      <c r="Q94">
        <v>1446480</v>
      </c>
    </row>
    <row r="95" spans="1:17" x14ac:dyDescent="0.3">
      <c r="A95" s="32" t="s">
        <v>186</v>
      </c>
      <c r="B95" s="4">
        <v>8</v>
      </c>
      <c r="C95" s="4">
        <v>170</v>
      </c>
      <c r="E95" t="str">
        <v>CUST0253</v>
      </c>
      <c r="F95">
        <v>8</v>
      </c>
      <c r="G95">
        <v>170</v>
      </c>
      <c r="K95" s="32" t="s">
        <v>223</v>
      </c>
      <c r="L95" s="4">
        <v>10</v>
      </c>
      <c r="M95" s="4">
        <v>1439100</v>
      </c>
      <c r="O95" t="str">
        <v>CUST0010</v>
      </c>
      <c r="P95">
        <v>10</v>
      </c>
      <c r="Q95">
        <v>1439100</v>
      </c>
    </row>
    <row r="96" spans="1:17" x14ac:dyDescent="0.3">
      <c r="A96" s="32" t="s">
        <v>198</v>
      </c>
      <c r="B96" s="4">
        <v>8</v>
      </c>
      <c r="C96" s="4">
        <v>118</v>
      </c>
      <c r="E96" t="str">
        <v>CUST0088</v>
      </c>
      <c r="F96">
        <v>8</v>
      </c>
      <c r="G96">
        <v>118</v>
      </c>
      <c r="K96" s="32" t="s">
        <v>313</v>
      </c>
      <c r="L96" s="4">
        <v>7</v>
      </c>
      <c r="M96" s="4">
        <v>1431720</v>
      </c>
      <c r="O96" t="str">
        <v>CUST0040</v>
      </c>
      <c r="P96">
        <v>7</v>
      </c>
      <c r="Q96">
        <v>1431720</v>
      </c>
    </row>
    <row r="97" spans="1:17" x14ac:dyDescent="0.3">
      <c r="A97" s="32" t="s">
        <v>162</v>
      </c>
      <c r="B97" s="4">
        <v>8</v>
      </c>
      <c r="C97" s="4">
        <v>98</v>
      </c>
      <c r="E97" t="str">
        <v>CUST0105</v>
      </c>
      <c r="F97">
        <v>8</v>
      </c>
      <c r="G97">
        <v>98</v>
      </c>
      <c r="K97" s="32" t="s">
        <v>15</v>
      </c>
      <c r="L97" s="4">
        <v>7</v>
      </c>
      <c r="M97" s="4">
        <v>1421880</v>
      </c>
      <c r="O97" t="str">
        <v>CUST0046</v>
      </c>
      <c r="P97">
        <v>7</v>
      </c>
      <c r="Q97">
        <v>1421880</v>
      </c>
    </row>
    <row r="98" spans="1:17" x14ac:dyDescent="0.3">
      <c r="A98" s="32" t="s">
        <v>180</v>
      </c>
      <c r="B98" s="4">
        <v>8</v>
      </c>
      <c r="C98" s="4">
        <v>128</v>
      </c>
      <c r="E98" t="str">
        <v>CUST0094</v>
      </c>
      <c r="F98">
        <v>8</v>
      </c>
      <c r="G98">
        <v>128</v>
      </c>
      <c r="K98" s="32" t="s">
        <v>305</v>
      </c>
      <c r="L98" s="4">
        <v>5</v>
      </c>
      <c r="M98" s="4">
        <v>1414500</v>
      </c>
      <c r="O98" t="str">
        <v>CUST0090</v>
      </c>
      <c r="P98">
        <v>5</v>
      </c>
      <c r="Q98">
        <v>1414500</v>
      </c>
    </row>
    <row r="99" spans="1:17" x14ac:dyDescent="0.3">
      <c r="A99" s="32" t="s">
        <v>46</v>
      </c>
      <c r="B99" s="4">
        <v>8</v>
      </c>
      <c r="C99" s="4">
        <v>1</v>
      </c>
      <c r="E99" t="str">
        <v>CUST0050</v>
      </c>
      <c r="F99">
        <v>8</v>
      </c>
      <c r="G99">
        <v>1</v>
      </c>
      <c r="K99" s="32" t="s">
        <v>61</v>
      </c>
      <c r="L99" s="4">
        <v>7</v>
      </c>
      <c r="M99" s="4">
        <v>1414500</v>
      </c>
      <c r="O99" t="str">
        <v>CUST0282</v>
      </c>
      <c r="P99">
        <v>7</v>
      </c>
      <c r="Q99">
        <v>1414500</v>
      </c>
    </row>
    <row r="100" spans="1:17" x14ac:dyDescent="0.3">
      <c r="A100" s="32" t="s">
        <v>139</v>
      </c>
      <c r="B100" s="4">
        <v>8</v>
      </c>
      <c r="C100" s="4">
        <v>2</v>
      </c>
      <c r="E100" t="str">
        <v>CUST0026</v>
      </c>
      <c r="F100">
        <v>8</v>
      </c>
      <c r="G100">
        <v>2</v>
      </c>
      <c r="K100" s="32" t="s">
        <v>141</v>
      </c>
      <c r="L100" s="4">
        <v>5</v>
      </c>
      <c r="M100" s="4">
        <v>1408350</v>
      </c>
      <c r="O100" t="str">
        <v>CUST0239</v>
      </c>
      <c r="P100">
        <v>5</v>
      </c>
      <c r="Q100">
        <v>1408350</v>
      </c>
    </row>
    <row r="101" spans="1:17" x14ac:dyDescent="0.3">
      <c r="A101" s="32" t="s">
        <v>183</v>
      </c>
      <c r="B101" s="4">
        <v>8</v>
      </c>
      <c r="C101" s="4">
        <v>113</v>
      </c>
      <c r="E101" t="str">
        <v>CUST0188</v>
      </c>
      <c r="F101">
        <v>8</v>
      </c>
      <c r="G101">
        <v>113</v>
      </c>
      <c r="K101" s="32" t="s">
        <v>290</v>
      </c>
      <c r="L101" s="4">
        <v>8</v>
      </c>
      <c r="M101" s="4">
        <v>1398510</v>
      </c>
      <c r="O101" t="str">
        <v>CUST0029</v>
      </c>
      <c r="P101">
        <v>8</v>
      </c>
      <c r="Q101">
        <v>1398510</v>
      </c>
    </row>
    <row r="102" spans="1:17" x14ac:dyDescent="0.3">
      <c r="A102" s="32" t="s">
        <v>33</v>
      </c>
      <c r="B102" s="4">
        <v>8</v>
      </c>
      <c r="C102" s="4">
        <v>31</v>
      </c>
      <c r="E102" t="str">
        <v>CUST0023</v>
      </c>
      <c r="F102">
        <v>8</v>
      </c>
      <c r="G102">
        <v>31</v>
      </c>
      <c r="K102" s="32" t="s">
        <v>58</v>
      </c>
      <c r="L102" s="4">
        <v>9</v>
      </c>
      <c r="M102" s="4">
        <v>1394820</v>
      </c>
      <c r="O102" t="str">
        <v>CUST0211</v>
      </c>
      <c r="P102">
        <v>9</v>
      </c>
      <c r="Q102">
        <v>1394820</v>
      </c>
    </row>
    <row r="103" spans="1:17" x14ac:dyDescent="0.3">
      <c r="A103" s="32" t="s">
        <v>123</v>
      </c>
      <c r="B103" s="4">
        <v>8</v>
      </c>
      <c r="C103" s="4">
        <v>109</v>
      </c>
      <c r="E103" t="str">
        <v>CUST0189</v>
      </c>
      <c r="F103">
        <v>8</v>
      </c>
      <c r="G103">
        <v>109</v>
      </c>
      <c r="K103" s="32" t="s">
        <v>81</v>
      </c>
      <c r="L103" s="4">
        <v>7</v>
      </c>
      <c r="M103" s="4">
        <v>1389900</v>
      </c>
      <c r="O103" t="str">
        <v>CUST0006</v>
      </c>
      <c r="P103">
        <v>7</v>
      </c>
      <c r="Q103">
        <v>1389900</v>
      </c>
    </row>
    <row r="104" spans="1:17" x14ac:dyDescent="0.3">
      <c r="A104" s="32" t="s">
        <v>30</v>
      </c>
      <c r="B104" s="4">
        <v>8</v>
      </c>
      <c r="C104" s="4">
        <v>144</v>
      </c>
      <c r="E104" t="str">
        <v>CUST0159</v>
      </c>
      <c r="F104">
        <v>8</v>
      </c>
      <c r="G104">
        <v>144</v>
      </c>
      <c r="K104" s="32" t="s">
        <v>56</v>
      </c>
      <c r="L104" s="4">
        <v>10</v>
      </c>
      <c r="M104" s="4">
        <v>1383750</v>
      </c>
      <c r="O104" t="str">
        <v>CUST0124</v>
      </c>
      <c r="P104">
        <v>10</v>
      </c>
      <c r="Q104">
        <v>1383750</v>
      </c>
    </row>
    <row r="105" spans="1:17" x14ac:dyDescent="0.3">
      <c r="A105" s="32" t="s">
        <v>189</v>
      </c>
      <c r="B105" s="4">
        <v>8</v>
      </c>
      <c r="C105" s="4">
        <v>23</v>
      </c>
      <c r="E105" t="str">
        <v>CUST0195</v>
      </c>
      <c r="F105">
        <v>8</v>
      </c>
      <c r="G105">
        <v>23</v>
      </c>
      <c r="K105" s="32" t="s">
        <v>229</v>
      </c>
      <c r="L105" s="4">
        <v>12</v>
      </c>
      <c r="M105" s="4">
        <v>1382520</v>
      </c>
      <c r="O105" t="str">
        <v>CUST0126</v>
      </c>
      <c r="P105">
        <v>12</v>
      </c>
      <c r="Q105">
        <v>1382520</v>
      </c>
    </row>
    <row r="106" spans="1:17" x14ac:dyDescent="0.3">
      <c r="A106" s="32" t="s">
        <v>121</v>
      </c>
      <c r="B106" s="4">
        <v>8</v>
      </c>
      <c r="C106" s="4">
        <v>140</v>
      </c>
      <c r="E106" t="str">
        <v>CUST0008</v>
      </c>
      <c r="F106">
        <v>8</v>
      </c>
      <c r="G106">
        <v>140</v>
      </c>
      <c r="K106" s="32" t="s">
        <v>205</v>
      </c>
      <c r="L106" s="4">
        <v>8</v>
      </c>
      <c r="M106" s="4">
        <v>1359150</v>
      </c>
      <c r="O106" t="str">
        <v>CUST0016</v>
      </c>
      <c r="P106">
        <v>8</v>
      </c>
      <c r="Q106">
        <v>1359150</v>
      </c>
    </row>
    <row r="107" spans="1:17" x14ac:dyDescent="0.3">
      <c r="A107" s="32" t="s">
        <v>103</v>
      </c>
      <c r="B107" s="4">
        <v>8</v>
      </c>
      <c r="C107" s="4">
        <v>29</v>
      </c>
      <c r="E107" t="str">
        <v>CUST0037</v>
      </c>
      <c r="F107">
        <v>8</v>
      </c>
      <c r="G107">
        <v>29</v>
      </c>
      <c r="K107" s="32" t="s">
        <v>197</v>
      </c>
      <c r="L107" s="4">
        <v>7</v>
      </c>
      <c r="M107" s="4">
        <v>1332090</v>
      </c>
      <c r="O107" t="str">
        <v>CUST0158</v>
      </c>
      <c r="P107">
        <v>7</v>
      </c>
      <c r="Q107">
        <v>1332090</v>
      </c>
    </row>
    <row r="108" spans="1:17" x14ac:dyDescent="0.3">
      <c r="A108" s="32" t="s">
        <v>55</v>
      </c>
      <c r="B108" s="4">
        <v>8</v>
      </c>
      <c r="C108" s="4">
        <v>224</v>
      </c>
      <c r="E108" t="str">
        <v>CUST0288</v>
      </c>
      <c r="F108">
        <v>8</v>
      </c>
      <c r="G108">
        <v>224</v>
      </c>
      <c r="K108" s="32" t="s">
        <v>49</v>
      </c>
      <c r="L108" s="4">
        <v>9</v>
      </c>
      <c r="M108" s="4">
        <v>1325940</v>
      </c>
      <c r="O108" t="str">
        <v>CUST0042</v>
      </c>
      <c r="P108">
        <v>9</v>
      </c>
      <c r="Q108">
        <v>1325940</v>
      </c>
    </row>
    <row r="109" spans="1:17" x14ac:dyDescent="0.3">
      <c r="A109" s="32" t="s">
        <v>137</v>
      </c>
      <c r="B109" s="4">
        <v>8</v>
      </c>
      <c r="C109" s="4">
        <v>39</v>
      </c>
      <c r="E109" t="str">
        <v>CUST0197</v>
      </c>
      <c r="F109">
        <v>8</v>
      </c>
      <c r="G109">
        <v>39</v>
      </c>
      <c r="K109" s="32" t="s">
        <v>195</v>
      </c>
      <c r="L109" s="4">
        <v>11</v>
      </c>
      <c r="M109" s="4">
        <v>1323480</v>
      </c>
      <c r="O109" t="str">
        <v>CUST0128</v>
      </c>
      <c r="P109">
        <v>11</v>
      </c>
      <c r="Q109">
        <v>1323480</v>
      </c>
    </row>
    <row r="110" spans="1:17" x14ac:dyDescent="0.3">
      <c r="A110" s="32" t="s">
        <v>93</v>
      </c>
      <c r="B110" s="4">
        <v>8</v>
      </c>
      <c r="C110" s="4">
        <v>134</v>
      </c>
      <c r="E110" t="str">
        <v>CUST0227</v>
      </c>
      <c r="F110">
        <v>8</v>
      </c>
      <c r="G110">
        <v>134</v>
      </c>
      <c r="K110" s="32" t="s">
        <v>291</v>
      </c>
      <c r="L110" s="4">
        <v>5</v>
      </c>
      <c r="M110" s="4">
        <v>1322250</v>
      </c>
      <c r="O110" t="str">
        <v>CUST0107</v>
      </c>
      <c r="P110">
        <v>5</v>
      </c>
      <c r="Q110">
        <v>1322250</v>
      </c>
    </row>
    <row r="111" spans="1:17" x14ac:dyDescent="0.3">
      <c r="A111" s="32" t="s">
        <v>36</v>
      </c>
      <c r="B111" s="4">
        <v>8</v>
      </c>
      <c r="C111" s="4">
        <v>67</v>
      </c>
      <c r="E111" t="str">
        <v>CUST0199</v>
      </c>
      <c r="F111">
        <v>8</v>
      </c>
      <c r="G111">
        <v>67</v>
      </c>
      <c r="K111" s="32" t="s">
        <v>131</v>
      </c>
      <c r="L111" s="4">
        <v>6</v>
      </c>
      <c r="M111" s="4">
        <v>1311180</v>
      </c>
      <c r="O111" t="str">
        <v>CUST0212</v>
      </c>
      <c r="P111">
        <v>6</v>
      </c>
      <c r="Q111">
        <v>1311180</v>
      </c>
    </row>
    <row r="112" spans="1:17" x14ac:dyDescent="0.3">
      <c r="A112" s="32" t="s">
        <v>212</v>
      </c>
      <c r="B112" s="4">
        <v>8</v>
      </c>
      <c r="C112" s="4">
        <v>10</v>
      </c>
      <c r="E112" t="str">
        <v>CUST0144</v>
      </c>
      <c r="F112">
        <v>8</v>
      </c>
      <c r="G112">
        <v>10</v>
      </c>
      <c r="K112" s="32" t="s">
        <v>123</v>
      </c>
      <c r="L112" s="4">
        <v>8</v>
      </c>
      <c r="M112" s="4">
        <v>1301340</v>
      </c>
      <c r="O112" t="str">
        <v>CUST0189</v>
      </c>
      <c r="P112">
        <v>8</v>
      </c>
      <c r="Q112">
        <v>1301340</v>
      </c>
    </row>
    <row r="113" spans="1:17" x14ac:dyDescent="0.3">
      <c r="A113" s="32" t="s">
        <v>244</v>
      </c>
      <c r="B113" s="4">
        <v>8</v>
      </c>
      <c r="C113" s="4">
        <v>181</v>
      </c>
      <c r="E113" t="str">
        <v>CUST0200</v>
      </c>
      <c r="F113">
        <v>8</v>
      </c>
      <c r="G113">
        <v>181</v>
      </c>
      <c r="K113" s="32" t="s">
        <v>120</v>
      </c>
      <c r="L113" s="4">
        <v>5</v>
      </c>
      <c r="M113" s="4">
        <v>1291500</v>
      </c>
      <c r="O113" t="str">
        <v>CUST0289</v>
      </c>
      <c r="P113">
        <v>5</v>
      </c>
      <c r="Q113">
        <v>1291500</v>
      </c>
    </row>
    <row r="114" spans="1:17" x14ac:dyDescent="0.3">
      <c r="A114" s="32" t="s">
        <v>84</v>
      </c>
      <c r="B114" s="4">
        <v>8</v>
      </c>
      <c r="C114" s="4">
        <v>95</v>
      </c>
      <c r="E114" t="str">
        <v>CUST0244</v>
      </c>
      <c r="F114">
        <v>8</v>
      </c>
      <c r="G114">
        <v>95</v>
      </c>
      <c r="K114" s="32" t="s">
        <v>110</v>
      </c>
      <c r="L114" s="4">
        <v>10</v>
      </c>
      <c r="M114" s="4">
        <v>1282890</v>
      </c>
      <c r="O114" t="str">
        <v>CUST0228</v>
      </c>
      <c r="P114">
        <v>10</v>
      </c>
      <c r="Q114">
        <v>1282890</v>
      </c>
    </row>
    <row r="115" spans="1:17" x14ac:dyDescent="0.3">
      <c r="A115" s="32" t="s">
        <v>161</v>
      </c>
      <c r="B115" s="4">
        <v>8</v>
      </c>
      <c r="C115" s="4">
        <v>5</v>
      </c>
      <c r="E115" t="str">
        <v>CUST0076</v>
      </c>
      <c r="F115">
        <v>8</v>
      </c>
      <c r="G115">
        <v>5</v>
      </c>
      <c r="K115" s="32" t="s">
        <v>35</v>
      </c>
      <c r="L115" s="4">
        <v>5</v>
      </c>
      <c r="M115" s="4">
        <v>1271820</v>
      </c>
      <c r="O115" t="str">
        <v>CUST0283</v>
      </c>
      <c r="P115">
        <v>5</v>
      </c>
      <c r="Q115">
        <v>1271820</v>
      </c>
    </row>
    <row r="116" spans="1:17" x14ac:dyDescent="0.3">
      <c r="A116" s="32" t="s">
        <v>166</v>
      </c>
      <c r="B116" s="4">
        <v>8</v>
      </c>
      <c r="C116" s="4">
        <v>161</v>
      </c>
      <c r="E116" t="str">
        <v>CUST0156</v>
      </c>
      <c r="F116">
        <v>8</v>
      </c>
      <c r="G116">
        <v>161</v>
      </c>
      <c r="K116" s="32" t="s">
        <v>225</v>
      </c>
      <c r="L116" s="4">
        <v>7</v>
      </c>
      <c r="M116" s="4">
        <v>1265670</v>
      </c>
      <c r="O116" t="str">
        <v>CUST0063</v>
      </c>
      <c r="P116">
        <v>7</v>
      </c>
      <c r="Q116">
        <v>1265670</v>
      </c>
    </row>
    <row r="117" spans="1:17" x14ac:dyDescent="0.3">
      <c r="A117" s="32" t="s">
        <v>177</v>
      </c>
      <c r="B117" s="4">
        <v>8</v>
      </c>
      <c r="C117" s="4">
        <v>49</v>
      </c>
      <c r="E117" t="str">
        <v>CUST0134</v>
      </c>
      <c r="F117">
        <v>8</v>
      </c>
      <c r="G117">
        <v>49</v>
      </c>
      <c r="K117" s="32" t="s">
        <v>64</v>
      </c>
      <c r="L117" s="4">
        <v>9</v>
      </c>
      <c r="M117" s="4">
        <v>1261980</v>
      </c>
      <c r="O117" t="str">
        <v>CUST0299</v>
      </c>
      <c r="P117">
        <v>9</v>
      </c>
      <c r="Q117">
        <v>1261980</v>
      </c>
    </row>
    <row r="118" spans="1:17" x14ac:dyDescent="0.3">
      <c r="A118" s="32" t="s">
        <v>98</v>
      </c>
      <c r="B118" s="4">
        <v>8</v>
      </c>
      <c r="C118" s="4">
        <v>74</v>
      </c>
      <c r="E118" t="str">
        <v>CUST0269</v>
      </c>
      <c r="F118">
        <v>8</v>
      </c>
      <c r="G118">
        <v>74</v>
      </c>
      <c r="K118" s="32" t="s">
        <v>51</v>
      </c>
      <c r="L118" s="4">
        <v>8</v>
      </c>
      <c r="M118" s="4">
        <v>1259520</v>
      </c>
      <c r="O118" t="str">
        <v>CUST0053</v>
      </c>
      <c r="P118">
        <v>8</v>
      </c>
      <c r="Q118">
        <v>1259520</v>
      </c>
    </row>
    <row r="119" spans="1:17" x14ac:dyDescent="0.3">
      <c r="A119" s="32" t="s">
        <v>106</v>
      </c>
      <c r="B119" s="4">
        <v>8</v>
      </c>
      <c r="C119" s="4">
        <v>64</v>
      </c>
      <c r="E119" t="str">
        <v>CUST0019</v>
      </c>
      <c r="F119">
        <v>8</v>
      </c>
      <c r="G119">
        <v>64</v>
      </c>
      <c r="K119" s="32" t="s">
        <v>169</v>
      </c>
      <c r="L119" s="4">
        <v>10</v>
      </c>
      <c r="M119" s="4">
        <v>1254600</v>
      </c>
      <c r="O119" t="str">
        <v>CUST0270</v>
      </c>
      <c r="P119">
        <v>10</v>
      </c>
      <c r="Q119">
        <v>1254600</v>
      </c>
    </row>
    <row r="120" spans="1:17" x14ac:dyDescent="0.3">
      <c r="A120" s="32" t="s">
        <v>77</v>
      </c>
      <c r="B120" s="4">
        <v>8</v>
      </c>
      <c r="C120" s="4">
        <v>30</v>
      </c>
      <c r="E120" t="str">
        <v>CUST0165</v>
      </c>
      <c r="F120">
        <v>8</v>
      </c>
      <c r="G120">
        <v>30</v>
      </c>
      <c r="K120" s="32" t="s">
        <v>311</v>
      </c>
      <c r="L120" s="4">
        <v>9</v>
      </c>
      <c r="M120" s="4">
        <v>1244760</v>
      </c>
      <c r="O120" t="str">
        <v>CUST0292</v>
      </c>
      <c r="P120">
        <v>9</v>
      </c>
      <c r="Q120">
        <v>1244760</v>
      </c>
    </row>
    <row r="121" spans="1:17" x14ac:dyDescent="0.3">
      <c r="A121" s="32" t="s">
        <v>92</v>
      </c>
      <c r="B121" s="4">
        <v>8</v>
      </c>
      <c r="C121" s="4">
        <v>25</v>
      </c>
      <c r="E121" t="str">
        <v>CUST0077</v>
      </c>
      <c r="F121">
        <v>8</v>
      </c>
      <c r="G121">
        <v>25</v>
      </c>
      <c r="K121" s="32" t="s">
        <v>129</v>
      </c>
      <c r="L121" s="4">
        <v>7</v>
      </c>
      <c r="M121" s="4">
        <v>1242300</v>
      </c>
      <c r="O121" t="str">
        <v>CUST0078</v>
      </c>
      <c r="P121">
        <v>7</v>
      </c>
      <c r="Q121">
        <v>1242300</v>
      </c>
    </row>
    <row r="122" spans="1:17" x14ac:dyDescent="0.3">
      <c r="A122" s="32" t="s">
        <v>290</v>
      </c>
      <c r="B122" s="4">
        <v>8</v>
      </c>
      <c r="C122" s="4">
        <v>14</v>
      </c>
      <c r="E122" t="str">
        <v>CUST0029</v>
      </c>
      <c r="F122">
        <v>8</v>
      </c>
      <c r="G122">
        <v>14</v>
      </c>
      <c r="K122" s="32" t="s">
        <v>261</v>
      </c>
      <c r="L122" s="4">
        <v>8</v>
      </c>
      <c r="M122" s="4">
        <v>1232460</v>
      </c>
      <c r="O122" t="str">
        <v>CUST0294</v>
      </c>
      <c r="P122">
        <v>8</v>
      </c>
      <c r="Q122">
        <v>1232460</v>
      </c>
    </row>
    <row r="123" spans="1:17" x14ac:dyDescent="0.3">
      <c r="A123" s="32" t="s">
        <v>248</v>
      </c>
      <c r="B123" s="4">
        <v>8</v>
      </c>
      <c r="C123" s="4">
        <v>33</v>
      </c>
      <c r="E123" t="str">
        <v>CUST0011</v>
      </c>
      <c r="F123">
        <v>8</v>
      </c>
      <c r="G123">
        <v>33</v>
      </c>
      <c r="K123" s="32" t="s">
        <v>155</v>
      </c>
      <c r="L123" s="4">
        <v>7</v>
      </c>
      <c r="M123" s="4">
        <v>1225080</v>
      </c>
      <c r="O123" t="str">
        <v>CUST0062</v>
      </c>
      <c r="P123">
        <v>7</v>
      </c>
      <c r="Q123">
        <v>1225080</v>
      </c>
    </row>
    <row r="124" spans="1:17" x14ac:dyDescent="0.3">
      <c r="A124" s="32" t="s">
        <v>60</v>
      </c>
      <c r="B124" s="4">
        <v>8</v>
      </c>
      <c r="C124" s="4">
        <v>37</v>
      </c>
      <c r="E124" t="str">
        <v>CUST0284</v>
      </c>
      <c r="F124">
        <v>8</v>
      </c>
      <c r="G124">
        <v>37</v>
      </c>
      <c r="K124" s="32" t="s">
        <v>209</v>
      </c>
      <c r="L124" s="4">
        <v>9</v>
      </c>
      <c r="M124" s="4">
        <v>1222620</v>
      </c>
      <c r="O124" t="str">
        <v>CUST0032</v>
      </c>
      <c r="P124">
        <v>9</v>
      </c>
      <c r="Q124">
        <v>1222620</v>
      </c>
    </row>
    <row r="125" spans="1:17" x14ac:dyDescent="0.3">
      <c r="A125" s="32" t="s">
        <v>51</v>
      </c>
      <c r="B125" s="4">
        <v>8</v>
      </c>
      <c r="C125" s="4">
        <v>245</v>
      </c>
      <c r="E125" t="str">
        <v>CUST0053</v>
      </c>
      <c r="F125">
        <v>8</v>
      </c>
      <c r="G125">
        <v>245</v>
      </c>
      <c r="K125" s="32" t="s">
        <v>109</v>
      </c>
      <c r="L125" s="4">
        <v>7</v>
      </c>
      <c r="M125" s="4">
        <v>1221390</v>
      </c>
      <c r="O125" t="str">
        <v>CUST0099</v>
      </c>
      <c r="P125">
        <v>7</v>
      </c>
      <c r="Q125">
        <v>1221390</v>
      </c>
    </row>
    <row r="126" spans="1:17" x14ac:dyDescent="0.3">
      <c r="A126" s="32" t="s">
        <v>261</v>
      </c>
      <c r="B126" s="4">
        <v>8</v>
      </c>
      <c r="C126" s="4">
        <v>169</v>
      </c>
      <c r="E126" t="str">
        <v>CUST0294</v>
      </c>
      <c r="F126">
        <v>8</v>
      </c>
      <c r="G126">
        <v>169</v>
      </c>
      <c r="K126" s="32" t="s">
        <v>306</v>
      </c>
      <c r="L126" s="4">
        <v>7</v>
      </c>
      <c r="M126" s="4">
        <v>1210320</v>
      </c>
      <c r="O126" t="str">
        <v>CUST0120</v>
      </c>
      <c r="P126">
        <v>7</v>
      </c>
      <c r="Q126">
        <v>1210320</v>
      </c>
    </row>
    <row r="127" spans="1:17" x14ac:dyDescent="0.3">
      <c r="A127" s="32" t="s">
        <v>145</v>
      </c>
      <c r="B127" s="4">
        <v>8</v>
      </c>
      <c r="C127" s="4">
        <v>53</v>
      </c>
      <c r="E127" t="str">
        <v>CUST0140</v>
      </c>
      <c r="F127">
        <v>8</v>
      </c>
      <c r="G127">
        <v>53</v>
      </c>
      <c r="K127" s="32" t="s">
        <v>46</v>
      </c>
      <c r="L127" s="4">
        <v>8</v>
      </c>
      <c r="M127" s="4">
        <v>1207860</v>
      </c>
      <c r="O127" t="str">
        <v>CUST0050</v>
      </c>
      <c r="P127">
        <v>8</v>
      </c>
      <c r="Q127">
        <v>1207860</v>
      </c>
    </row>
    <row r="128" spans="1:17" x14ac:dyDescent="0.3">
      <c r="A128" s="32" t="s">
        <v>273</v>
      </c>
      <c r="B128" s="4">
        <v>8</v>
      </c>
      <c r="C128" s="4">
        <v>13</v>
      </c>
      <c r="E128" t="str">
        <v>CUST0225</v>
      </c>
      <c r="F128">
        <v>8</v>
      </c>
      <c r="G128">
        <v>13</v>
      </c>
      <c r="K128" s="32" t="s">
        <v>266</v>
      </c>
      <c r="L128" s="4">
        <v>4</v>
      </c>
      <c r="M128" s="4">
        <v>1205400</v>
      </c>
      <c r="O128" t="str">
        <v>CUST0246</v>
      </c>
      <c r="P128">
        <v>4</v>
      </c>
      <c r="Q128">
        <v>1205400</v>
      </c>
    </row>
    <row r="129" spans="1:17" x14ac:dyDescent="0.3">
      <c r="A129" s="32" t="s">
        <v>205</v>
      </c>
      <c r="B129" s="4">
        <v>8</v>
      </c>
      <c r="C129" s="4">
        <v>21</v>
      </c>
      <c r="E129" t="str">
        <v>CUST0016</v>
      </c>
      <c r="F129">
        <v>8</v>
      </c>
      <c r="G129">
        <v>21</v>
      </c>
      <c r="K129" s="32" t="s">
        <v>242</v>
      </c>
      <c r="L129" s="4">
        <v>7</v>
      </c>
      <c r="M129" s="4">
        <v>1194330</v>
      </c>
      <c r="O129" t="str">
        <v>CUST0241</v>
      </c>
      <c r="P129">
        <v>7</v>
      </c>
      <c r="Q129">
        <v>1194330</v>
      </c>
    </row>
    <row r="130" spans="1:17" x14ac:dyDescent="0.3">
      <c r="A130" s="32" t="s">
        <v>72</v>
      </c>
      <c r="B130" s="4">
        <v>8</v>
      </c>
      <c r="C130" s="4">
        <v>58</v>
      </c>
      <c r="E130" t="str">
        <v>CUST0070</v>
      </c>
      <c r="F130">
        <v>8</v>
      </c>
      <c r="G130">
        <v>58</v>
      </c>
      <c r="K130" s="32" t="s">
        <v>135</v>
      </c>
      <c r="L130" s="4">
        <v>7</v>
      </c>
      <c r="M130" s="4">
        <v>1180800</v>
      </c>
      <c r="O130" t="str">
        <v>CUST0155</v>
      </c>
      <c r="P130">
        <v>7</v>
      </c>
      <c r="Q130">
        <v>1180800</v>
      </c>
    </row>
    <row r="131" spans="1:17" x14ac:dyDescent="0.3">
      <c r="A131" s="32" t="s">
        <v>70</v>
      </c>
      <c r="B131" s="4">
        <v>8</v>
      </c>
      <c r="C131" s="4">
        <v>178</v>
      </c>
      <c r="E131" t="str">
        <v>CUST0178</v>
      </c>
      <c r="F131">
        <v>8</v>
      </c>
      <c r="G131">
        <v>178</v>
      </c>
      <c r="K131" s="32" t="s">
        <v>108</v>
      </c>
      <c r="L131" s="4">
        <v>6</v>
      </c>
      <c r="M131" s="4">
        <v>1175880</v>
      </c>
      <c r="O131" t="str">
        <v>CUST0251</v>
      </c>
      <c r="P131">
        <v>6</v>
      </c>
      <c r="Q131">
        <v>1175880</v>
      </c>
    </row>
    <row r="132" spans="1:17" x14ac:dyDescent="0.3">
      <c r="A132" s="32" t="s">
        <v>115</v>
      </c>
      <c r="B132" s="4">
        <v>8</v>
      </c>
      <c r="C132" s="4">
        <v>21</v>
      </c>
      <c r="E132" t="str">
        <v>CUST0150</v>
      </c>
      <c r="F132">
        <v>8</v>
      </c>
      <c r="G132">
        <v>21</v>
      </c>
      <c r="K132" s="32" t="s">
        <v>231</v>
      </c>
      <c r="L132" s="4">
        <v>5</v>
      </c>
      <c r="M132" s="4">
        <v>1168500</v>
      </c>
      <c r="O132" t="str">
        <v>CUST0237</v>
      </c>
      <c r="P132">
        <v>5</v>
      </c>
      <c r="Q132">
        <v>1168500</v>
      </c>
    </row>
    <row r="133" spans="1:17" x14ac:dyDescent="0.3">
      <c r="A133" s="32" t="s">
        <v>181</v>
      </c>
      <c r="B133" s="4">
        <v>7</v>
      </c>
      <c r="C133" s="4">
        <v>47</v>
      </c>
      <c r="E133" t="str">
        <v>CUST0194</v>
      </c>
      <c r="F133">
        <v>7</v>
      </c>
      <c r="G133">
        <v>47</v>
      </c>
      <c r="K133" s="32" t="s">
        <v>127</v>
      </c>
      <c r="L133" s="4">
        <v>3</v>
      </c>
      <c r="M133" s="4">
        <v>1168500</v>
      </c>
      <c r="O133" t="str">
        <v>CUST0267</v>
      </c>
      <c r="P133">
        <v>3</v>
      </c>
      <c r="Q133">
        <v>1168500</v>
      </c>
    </row>
    <row r="134" spans="1:17" x14ac:dyDescent="0.3">
      <c r="A134" s="32" t="s">
        <v>61</v>
      </c>
      <c r="B134" s="4">
        <v>7</v>
      </c>
      <c r="C134" s="4">
        <v>17</v>
      </c>
      <c r="E134" t="str">
        <v>CUST0282</v>
      </c>
      <c r="F134">
        <v>7</v>
      </c>
      <c r="G134">
        <v>17</v>
      </c>
      <c r="K134" s="32" t="s">
        <v>227</v>
      </c>
      <c r="L134" s="4">
        <v>5</v>
      </c>
      <c r="M134" s="4">
        <v>1167270</v>
      </c>
      <c r="O134" t="str">
        <v>CUST0067</v>
      </c>
      <c r="P134">
        <v>5</v>
      </c>
      <c r="Q134">
        <v>1167270</v>
      </c>
    </row>
    <row r="135" spans="1:17" x14ac:dyDescent="0.3">
      <c r="A135" s="32" t="s">
        <v>282</v>
      </c>
      <c r="B135" s="4">
        <v>7</v>
      </c>
      <c r="C135" s="4">
        <v>59</v>
      </c>
      <c r="E135" t="str">
        <v>CUST0086</v>
      </c>
      <c r="F135">
        <v>7</v>
      </c>
      <c r="G135">
        <v>59</v>
      </c>
      <c r="K135" s="32" t="s">
        <v>88</v>
      </c>
      <c r="L135" s="4">
        <v>6</v>
      </c>
      <c r="M135" s="4">
        <v>1167270</v>
      </c>
      <c r="O135" t="str">
        <v>CUST0096</v>
      </c>
      <c r="P135">
        <v>6</v>
      </c>
      <c r="Q135">
        <v>1167270</v>
      </c>
    </row>
    <row r="136" spans="1:17" x14ac:dyDescent="0.3">
      <c r="A136" s="32" t="s">
        <v>235</v>
      </c>
      <c r="B136" s="4">
        <v>7</v>
      </c>
      <c r="C136" s="4">
        <v>54</v>
      </c>
      <c r="E136" t="str">
        <v>CUST0018</v>
      </c>
      <c r="F136">
        <v>7</v>
      </c>
      <c r="G136">
        <v>54</v>
      </c>
      <c r="K136" s="32" t="s">
        <v>275</v>
      </c>
      <c r="L136" s="4">
        <v>5</v>
      </c>
      <c r="M136" s="4">
        <v>1161120</v>
      </c>
      <c r="O136" t="str">
        <v>CUST0249</v>
      </c>
      <c r="P136">
        <v>5</v>
      </c>
      <c r="Q136">
        <v>1161120</v>
      </c>
    </row>
    <row r="137" spans="1:17" x14ac:dyDescent="0.3">
      <c r="A137" s="32" t="s">
        <v>75</v>
      </c>
      <c r="B137" s="4">
        <v>7</v>
      </c>
      <c r="C137" s="4">
        <v>44</v>
      </c>
      <c r="E137" t="str">
        <v>CUST0176</v>
      </c>
      <c r="F137">
        <v>7</v>
      </c>
      <c r="G137">
        <v>44</v>
      </c>
      <c r="K137" s="32" t="s">
        <v>179</v>
      </c>
      <c r="L137" s="4">
        <v>7</v>
      </c>
      <c r="M137" s="4">
        <v>1153740</v>
      </c>
      <c r="O137" t="str">
        <v>CUST0100</v>
      </c>
      <c r="P137">
        <v>7</v>
      </c>
      <c r="Q137">
        <v>1153740</v>
      </c>
    </row>
    <row r="138" spans="1:17" x14ac:dyDescent="0.3">
      <c r="A138" s="32" t="s">
        <v>313</v>
      </c>
      <c r="B138" s="4">
        <v>7</v>
      </c>
      <c r="C138" s="4">
        <v>1</v>
      </c>
      <c r="E138" t="str">
        <v>CUST0040</v>
      </c>
      <c r="F138">
        <v>7</v>
      </c>
      <c r="G138">
        <v>1</v>
      </c>
      <c r="K138" s="32" t="s">
        <v>97</v>
      </c>
      <c r="L138" s="4">
        <v>11</v>
      </c>
      <c r="M138" s="4">
        <v>1145130</v>
      </c>
      <c r="O138" t="str">
        <v>CUST0022</v>
      </c>
      <c r="P138">
        <v>11</v>
      </c>
      <c r="Q138">
        <v>1145130</v>
      </c>
    </row>
    <row r="139" spans="1:17" x14ac:dyDescent="0.3">
      <c r="A139" s="32" t="s">
        <v>102</v>
      </c>
      <c r="B139" s="4">
        <v>7</v>
      </c>
      <c r="C139" s="4">
        <v>167</v>
      </c>
      <c r="E139" t="str">
        <v>CUST0219</v>
      </c>
      <c r="F139">
        <v>7</v>
      </c>
      <c r="G139">
        <v>167</v>
      </c>
      <c r="K139" s="32" t="s">
        <v>282</v>
      </c>
      <c r="L139" s="4">
        <v>7</v>
      </c>
      <c r="M139" s="4">
        <v>1143900</v>
      </c>
      <c r="O139" t="str">
        <v>CUST0086</v>
      </c>
      <c r="P139">
        <v>7</v>
      </c>
      <c r="Q139">
        <v>1143900</v>
      </c>
    </row>
    <row r="140" spans="1:17" x14ac:dyDescent="0.3">
      <c r="A140" s="32" t="s">
        <v>83</v>
      </c>
      <c r="B140" s="4">
        <v>7</v>
      </c>
      <c r="C140" s="4">
        <v>159</v>
      </c>
      <c r="E140" t="str">
        <v>CUST0112</v>
      </c>
      <c r="F140">
        <v>7</v>
      </c>
      <c r="G140">
        <v>159</v>
      </c>
      <c r="K140" s="32" t="s">
        <v>259</v>
      </c>
      <c r="L140" s="4">
        <v>7</v>
      </c>
      <c r="M140" s="4">
        <v>1137750</v>
      </c>
      <c r="O140" t="str">
        <v>CUST0243</v>
      </c>
      <c r="P140">
        <v>7</v>
      </c>
      <c r="Q140">
        <v>1137750</v>
      </c>
    </row>
    <row r="141" spans="1:17" x14ac:dyDescent="0.3">
      <c r="A141" s="32" t="s">
        <v>296</v>
      </c>
      <c r="B141" s="4">
        <v>7</v>
      </c>
      <c r="C141" s="4">
        <v>22</v>
      </c>
      <c r="E141" t="str">
        <v>CUST0087</v>
      </c>
      <c r="F141">
        <v>7</v>
      </c>
      <c r="G141">
        <v>22</v>
      </c>
      <c r="K141" s="32" t="s">
        <v>238</v>
      </c>
      <c r="L141" s="4">
        <v>5</v>
      </c>
      <c r="M141" s="4">
        <v>1126680</v>
      </c>
      <c r="O141" t="str">
        <v>CUST0224</v>
      </c>
      <c r="P141">
        <v>5</v>
      </c>
      <c r="Q141">
        <v>1126680</v>
      </c>
    </row>
    <row r="142" spans="1:17" x14ac:dyDescent="0.3">
      <c r="A142" s="32" t="s">
        <v>157</v>
      </c>
      <c r="B142" s="4">
        <v>7</v>
      </c>
      <c r="C142" s="4">
        <v>219</v>
      </c>
      <c r="E142" t="str">
        <v>CUST0114</v>
      </c>
      <c r="F142">
        <v>7</v>
      </c>
      <c r="G142">
        <v>219</v>
      </c>
      <c r="K142" s="32" t="s">
        <v>170</v>
      </c>
      <c r="L142" s="4">
        <v>6</v>
      </c>
      <c r="M142" s="4">
        <v>1125450</v>
      </c>
      <c r="O142" t="str">
        <v>CUST0183</v>
      </c>
      <c r="P142">
        <v>6</v>
      </c>
      <c r="Q142">
        <v>1125450</v>
      </c>
    </row>
    <row r="143" spans="1:17" x14ac:dyDescent="0.3">
      <c r="A143" s="32" t="s">
        <v>179</v>
      </c>
      <c r="B143" s="4">
        <v>7</v>
      </c>
      <c r="C143" s="4">
        <v>129</v>
      </c>
      <c r="E143" t="str">
        <v>CUST0100</v>
      </c>
      <c r="F143">
        <v>7</v>
      </c>
      <c r="G143">
        <v>129</v>
      </c>
      <c r="K143" s="32" t="s">
        <v>230</v>
      </c>
      <c r="L143" s="4">
        <v>7</v>
      </c>
      <c r="M143" s="4">
        <v>1124220</v>
      </c>
      <c r="O143" t="str">
        <v>CUST0043</v>
      </c>
      <c r="P143">
        <v>7</v>
      </c>
      <c r="Q143">
        <v>1124220</v>
      </c>
    </row>
    <row r="144" spans="1:17" x14ac:dyDescent="0.3">
      <c r="A144" s="32" t="s">
        <v>306</v>
      </c>
      <c r="B144" s="4">
        <v>7</v>
      </c>
      <c r="C144" s="4">
        <v>121</v>
      </c>
      <c r="E144" t="str">
        <v>CUST0120</v>
      </c>
      <c r="F144">
        <v>7</v>
      </c>
      <c r="G144">
        <v>121</v>
      </c>
      <c r="K144" s="32" t="s">
        <v>232</v>
      </c>
      <c r="L144" s="4">
        <v>7</v>
      </c>
      <c r="M144" s="4">
        <v>1119300</v>
      </c>
      <c r="O144" t="str">
        <v>CUST0058</v>
      </c>
      <c r="P144">
        <v>7</v>
      </c>
      <c r="Q144">
        <v>1119300</v>
      </c>
    </row>
    <row r="145" spans="1:17" x14ac:dyDescent="0.3">
      <c r="A145" s="32" t="s">
        <v>81</v>
      </c>
      <c r="B145" s="4">
        <v>7</v>
      </c>
      <c r="C145" s="4">
        <v>263</v>
      </c>
      <c r="E145" t="str">
        <v>CUST0006</v>
      </c>
      <c r="F145">
        <v>7</v>
      </c>
      <c r="G145">
        <v>263</v>
      </c>
      <c r="K145" s="32" t="s">
        <v>34</v>
      </c>
      <c r="L145" s="4">
        <v>10</v>
      </c>
      <c r="M145" s="4">
        <v>1118070</v>
      </c>
      <c r="O145" t="str">
        <v>CUST0201</v>
      </c>
      <c r="P145">
        <v>10</v>
      </c>
      <c r="Q145">
        <v>1118070</v>
      </c>
    </row>
    <row r="146" spans="1:17" x14ac:dyDescent="0.3">
      <c r="A146" s="32" t="s">
        <v>22</v>
      </c>
      <c r="B146" s="4">
        <v>7</v>
      </c>
      <c r="C146" s="4">
        <v>43</v>
      </c>
      <c r="E146" t="str">
        <v>CUST0002</v>
      </c>
      <c r="F146">
        <v>7</v>
      </c>
      <c r="G146">
        <v>43</v>
      </c>
      <c r="K146" s="32" t="s">
        <v>36</v>
      </c>
      <c r="L146" s="4">
        <v>8</v>
      </c>
      <c r="M146" s="4">
        <v>1113150</v>
      </c>
      <c r="O146" t="str">
        <v>CUST0199</v>
      </c>
      <c r="P146">
        <v>8</v>
      </c>
      <c r="Q146">
        <v>1113150</v>
      </c>
    </row>
    <row r="147" spans="1:17" x14ac:dyDescent="0.3">
      <c r="A147" s="32" t="s">
        <v>301</v>
      </c>
      <c r="B147" s="4">
        <v>7</v>
      </c>
      <c r="C147" s="4">
        <v>23</v>
      </c>
      <c r="E147" t="str">
        <v>CUST0104</v>
      </c>
      <c r="F147">
        <v>7</v>
      </c>
      <c r="G147">
        <v>23</v>
      </c>
      <c r="K147" s="32" t="s">
        <v>270</v>
      </c>
      <c r="L147" s="4">
        <v>5</v>
      </c>
      <c r="M147" s="4">
        <v>1107000</v>
      </c>
      <c r="O147" t="str">
        <v>CUST0206</v>
      </c>
      <c r="P147">
        <v>5</v>
      </c>
      <c r="Q147">
        <v>1107000</v>
      </c>
    </row>
    <row r="148" spans="1:17" x14ac:dyDescent="0.3">
      <c r="A148" s="32" t="s">
        <v>230</v>
      </c>
      <c r="B148" s="4">
        <v>7</v>
      </c>
      <c r="C148" s="4">
        <v>58</v>
      </c>
      <c r="E148" t="str">
        <v>CUST0043</v>
      </c>
      <c r="F148">
        <v>7</v>
      </c>
      <c r="G148">
        <v>58</v>
      </c>
      <c r="K148" s="32" t="s">
        <v>293</v>
      </c>
      <c r="L148" s="4">
        <v>6</v>
      </c>
      <c r="M148" s="4">
        <v>1107000</v>
      </c>
      <c r="O148" t="str">
        <v>CUST0101</v>
      </c>
      <c r="P148">
        <v>6</v>
      </c>
      <c r="Q148">
        <v>1107000</v>
      </c>
    </row>
    <row r="149" spans="1:17" x14ac:dyDescent="0.3">
      <c r="A149" s="32" t="s">
        <v>86</v>
      </c>
      <c r="B149" s="4">
        <v>7</v>
      </c>
      <c r="C149" s="4">
        <v>161</v>
      </c>
      <c r="E149" t="str">
        <v>CUST0083</v>
      </c>
      <c r="F149">
        <v>7</v>
      </c>
      <c r="G149">
        <v>161</v>
      </c>
      <c r="K149" s="32" t="s">
        <v>115</v>
      </c>
      <c r="L149" s="4">
        <v>8</v>
      </c>
      <c r="M149" s="4">
        <v>1103310</v>
      </c>
      <c r="O149" t="str">
        <v>CUST0150</v>
      </c>
      <c r="P149">
        <v>8</v>
      </c>
      <c r="Q149">
        <v>1103310</v>
      </c>
    </row>
    <row r="150" spans="1:17" x14ac:dyDescent="0.3">
      <c r="A150" s="32" t="s">
        <v>76</v>
      </c>
      <c r="B150" s="4">
        <v>7</v>
      </c>
      <c r="C150" s="4">
        <v>47</v>
      </c>
      <c r="E150" t="str">
        <v>CUST0125</v>
      </c>
      <c r="F150">
        <v>7</v>
      </c>
      <c r="G150">
        <v>47</v>
      </c>
      <c r="K150" s="32" t="s">
        <v>186</v>
      </c>
      <c r="L150" s="4">
        <v>8</v>
      </c>
      <c r="M150" s="4">
        <v>1100850</v>
      </c>
      <c r="O150" t="str">
        <v>CUST0253</v>
      </c>
      <c r="P150">
        <v>8</v>
      </c>
      <c r="Q150">
        <v>1100850</v>
      </c>
    </row>
    <row r="151" spans="1:17" x14ac:dyDescent="0.3">
      <c r="A151" s="32" t="s">
        <v>48</v>
      </c>
      <c r="B151" s="4">
        <v>7</v>
      </c>
      <c r="C151" s="4">
        <v>110</v>
      </c>
      <c r="E151" t="str">
        <v>CUST0242</v>
      </c>
      <c r="F151">
        <v>7</v>
      </c>
      <c r="G151">
        <v>110</v>
      </c>
      <c r="K151" s="32" t="s">
        <v>150</v>
      </c>
      <c r="L151" s="4">
        <v>6</v>
      </c>
      <c r="M151" s="4">
        <v>1081170</v>
      </c>
      <c r="O151" t="str">
        <v>CUST0202</v>
      </c>
      <c r="P151">
        <v>6</v>
      </c>
      <c r="Q151">
        <v>1081170</v>
      </c>
    </row>
    <row r="152" spans="1:17" x14ac:dyDescent="0.3">
      <c r="A152" s="32" t="s">
        <v>164</v>
      </c>
      <c r="B152" s="4">
        <v>7</v>
      </c>
      <c r="C152" s="4">
        <v>37</v>
      </c>
      <c r="E152" t="str">
        <v>CUST0127</v>
      </c>
      <c r="F152">
        <v>7</v>
      </c>
      <c r="G152">
        <v>37</v>
      </c>
      <c r="K152" s="32" t="s">
        <v>265</v>
      </c>
      <c r="L152" s="4">
        <v>5</v>
      </c>
      <c r="M152" s="4">
        <v>1079940</v>
      </c>
      <c r="O152" t="str">
        <v>CUST0068</v>
      </c>
      <c r="P152">
        <v>5</v>
      </c>
      <c r="Q152">
        <v>1079940</v>
      </c>
    </row>
    <row r="153" spans="1:17" x14ac:dyDescent="0.3">
      <c r="A153" s="32" t="s">
        <v>190</v>
      </c>
      <c r="B153" s="4">
        <v>7</v>
      </c>
      <c r="C153" s="4">
        <v>25</v>
      </c>
      <c r="E153" t="str">
        <v>CUST0272</v>
      </c>
      <c r="F153">
        <v>7</v>
      </c>
      <c r="G153">
        <v>25</v>
      </c>
      <c r="K153" s="32" t="s">
        <v>273</v>
      </c>
      <c r="L153" s="4">
        <v>8</v>
      </c>
      <c r="M153" s="4">
        <v>1077480</v>
      </c>
      <c r="O153" t="str">
        <v>CUST0225</v>
      </c>
      <c r="P153">
        <v>8</v>
      </c>
      <c r="Q153">
        <v>1077480</v>
      </c>
    </row>
    <row r="154" spans="1:17" x14ac:dyDescent="0.3">
      <c r="A154" s="32" t="s">
        <v>15</v>
      </c>
      <c r="B154" s="4">
        <v>7</v>
      </c>
      <c r="C154" s="4">
        <v>101</v>
      </c>
      <c r="E154" t="str">
        <v>CUST0046</v>
      </c>
      <c r="F154">
        <v>7</v>
      </c>
      <c r="G154">
        <v>101</v>
      </c>
      <c r="K154" s="32" t="s">
        <v>139</v>
      </c>
      <c r="L154" s="4">
        <v>8</v>
      </c>
      <c r="M154" s="4">
        <v>1075020</v>
      </c>
      <c r="O154" t="str">
        <v>CUST0026</v>
      </c>
      <c r="P154">
        <v>8</v>
      </c>
      <c r="Q154">
        <v>1075020</v>
      </c>
    </row>
    <row r="155" spans="1:17" x14ac:dyDescent="0.3">
      <c r="A155" s="32" t="s">
        <v>109</v>
      </c>
      <c r="B155" s="4">
        <v>7</v>
      </c>
      <c r="C155" s="4">
        <v>38</v>
      </c>
      <c r="E155" t="str">
        <v>CUST0099</v>
      </c>
      <c r="F155">
        <v>7</v>
      </c>
      <c r="G155">
        <v>38</v>
      </c>
      <c r="K155" s="32" t="s">
        <v>113</v>
      </c>
      <c r="L155" s="4">
        <v>4</v>
      </c>
      <c r="M155" s="4">
        <v>1073790</v>
      </c>
      <c r="O155" t="str">
        <v>CUST0192</v>
      </c>
      <c r="P155">
        <v>4</v>
      </c>
      <c r="Q155">
        <v>1073790</v>
      </c>
    </row>
    <row r="156" spans="1:17" x14ac:dyDescent="0.3">
      <c r="A156" s="32" t="s">
        <v>277</v>
      </c>
      <c r="B156" s="4">
        <v>7</v>
      </c>
      <c r="C156" s="4">
        <v>148</v>
      </c>
      <c r="E156" t="str">
        <v>CUST0048</v>
      </c>
      <c r="F156">
        <v>7</v>
      </c>
      <c r="G156">
        <v>148</v>
      </c>
      <c r="K156" s="32" t="s">
        <v>101</v>
      </c>
      <c r="L156" s="4">
        <v>7</v>
      </c>
      <c r="M156" s="4">
        <v>1067640</v>
      </c>
      <c r="O156" t="str">
        <v>CUST0182</v>
      </c>
      <c r="P156">
        <v>7</v>
      </c>
      <c r="Q156">
        <v>1067640</v>
      </c>
    </row>
    <row r="157" spans="1:17" x14ac:dyDescent="0.3">
      <c r="A157" s="32" t="s">
        <v>225</v>
      </c>
      <c r="B157" s="4">
        <v>7</v>
      </c>
      <c r="C157" s="4">
        <v>255</v>
      </c>
      <c r="E157" t="str">
        <v>CUST0063</v>
      </c>
      <c r="F157">
        <v>7</v>
      </c>
      <c r="G157">
        <v>255</v>
      </c>
      <c r="K157" s="32" t="s">
        <v>308</v>
      </c>
      <c r="L157" s="4">
        <v>4</v>
      </c>
      <c r="M157" s="4">
        <v>1057800</v>
      </c>
      <c r="O157" t="str">
        <v>CUST0234</v>
      </c>
      <c r="P157">
        <v>4</v>
      </c>
      <c r="Q157">
        <v>1057800</v>
      </c>
    </row>
    <row r="158" spans="1:17" x14ac:dyDescent="0.3">
      <c r="A158" s="32" t="s">
        <v>294</v>
      </c>
      <c r="B158" s="4">
        <v>7</v>
      </c>
      <c r="C158" s="4">
        <v>37</v>
      </c>
      <c r="E158" t="str">
        <v>CUST0135</v>
      </c>
      <c r="F158">
        <v>7</v>
      </c>
      <c r="G158">
        <v>37</v>
      </c>
      <c r="K158" s="32" t="s">
        <v>191</v>
      </c>
      <c r="L158" s="4">
        <v>6</v>
      </c>
      <c r="M158" s="4">
        <v>1057800</v>
      </c>
      <c r="O158" t="str">
        <v>CUST0256</v>
      </c>
      <c r="P158">
        <v>6</v>
      </c>
      <c r="Q158">
        <v>1057800</v>
      </c>
    </row>
    <row r="159" spans="1:17" x14ac:dyDescent="0.3">
      <c r="A159" s="32" t="s">
        <v>144</v>
      </c>
      <c r="B159" s="4">
        <v>7</v>
      </c>
      <c r="C159" s="4">
        <v>140</v>
      </c>
      <c r="E159" t="str">
        <v>CUST0177</v>
      </c>
      <c r="F159">
        <v>7</v>
      </c>
      <c r="G159">
        <v>140</v>
      </c>
      <c r="K159" s="32" t="s">
        <v>181</v>
      </c>
      <c r="L159" s="4">
        <v>7</v>
      </c>
      <c r="M159" s="4">
        <v>1046730</v>
      </c>
      <c r="O159" t="str">
        <v>CUST0194</v>
      </c>
      <c r="P159">
        <v>7</v>
      </c>
      <c r="Q159">
        <v>1046730</v>
      </c>
    </row>
    <row r="160" spans="1:17" x14ac:dyDescent="0.3">
      <c r="A160" s="32" t="s">
        <v>233</v>
      </c>
      <c r="B160" s="4">
        <v>7</v>
      </c>
      <c r="C160" s="4">
        <v>69</v>
      </c>
      <c r="E160" t="str">
        <v>CUST0054</v>
      </c>
      <c r="F160">
        <v>7</v>
      </c>
      <c r="G160">
        <v>69</v>
      </c>
      <c r="K160" s="32" t="s">
        <v>214</v>
      </c>
      <c r="L160" s="4">
        <v>10</v>
      </c>
      <c r="M160" s="4">
        <v>1041810</v>
      </c>
      <c r="O160" t="str">
        <v>CUST0148</v>
      </c>
      <c r="P160">
        <v>10</v>
      </c>
      <c r="Q160">
        <v>1041810</v>
      </c>
    </row>
    <row r="161" spans="1:17" x14ac:dyDescent="0.3">
      <c r="A161" s="32" t="s">
        <v>101</v>
      </c>
      <c r="B161" s="4">
        <v>7</v>
      </c>
      <c r="C161" s="4">
        <v>239</v>
      </c>
      <c r="E161" t="str">
        <v>CUST0182</v>
      </c>
      <c r="F161">
        <v>7</v>
      </c>
      <c r="G161">
        <v>239</v>
      </c>
      <c r="K161" s="32" t="s">
        <v>151</v>
      </c>
      <c r="L161" s="4">
        <v>6</v>
      </c>
      <c r="M161" s="4">
        <v>1039350</v>
      </c>
      <c r="O161" t="str">
        <v>CUST0259</v>
      </c>
      <c r="P161">
        <v>6</v>
      </c>
      <c r="Q161">
        <v>1039350</v>
      </c>
    </row>
    <row r="162" spans="1:17" x14ac:dyDescent="0.3">
      <c r="A162" s="32" t="s">
        <v>206</v>
      </c>
      <c r="B162" s="4">
        <v>7</v>
      </c>
      <c r="C162" s="4">
        <v>101</v>
      </c>
      <c r="E162" t="str">
        <v>CUST0152</v>
      </c>
      <c r="F162">
        <v>7</v>
      </c>
      <c r="G162">
        <v>101</v>
      </c>
      <c r="K162" s="32" t="s">
        <v>148</v>
      </c>
      <c r="L162" s="4">
        <v>12</v>
      </c>
      <c r="M162" s="4">
        <v>1030740</v>
      </c>
      <c r="O162" t="str">
        <v>CUST0174</v>
      </c>
      <c r="P162">
        <v>12</v>
      </c>
      <c r="Q162">
        <v>1030740</v>
      </c>
    </row>
    <row r="163" spans="1:17" x14ac:dyDescent="0.3">
      <c r="A163" s="32" t="s">
        <v>194</v>
      </c>
      <c r="B163" s="4">
        <v>7</v>
      </c>
      <c r="C163" s="4">
        <v>103</v>
      </c>
      <c r="E163" t="str">
        <v>CUST0012</v>
      </c>
      <c r="F163">
        <v>7</v>
      </c>
      <c r="G163">
        <v>103</v>
      </c>
      <c r="K163" s="32" t="s">
        <v>247</v>
      </c>
      <c r="L163" s="4">
        <v>5</v>
      </c>
      <c r="M163" s="4">
        <v>1028280</v>
      </c>
      <c r="O163" t="str">
        <v>CUST0098</v>
      </c>
      <c r="P163">
        <v>5</v>
      </c>
      <c r="Q163">
        <v>1028280</v>
      </c>
    </row>
    <row r="164" spans="1:17" x14ac:dyDescent="0.3">
      <c r="A164" s="32" t="s">
        <v>135</v>
      </c>
      <c r="B164" s="4">
        <v>7</v>
      </c>
      <c r="C164" s="4">
        <v>44</v>
      </c>
      <c r="E164" t="str">
        <v>CUST0155</v>
      </c>
      <c r="F164">
        <v>7</v>
      </c>
      <c r="G164">
        <v>44</v>
      </c>
      <c r="K164" s="32" t="s">
        <v>149</v>
      </c>
      <c r="L164" s="4">
        <v>5</v>
      </c>
      <c r="M164" s="4">
        <v>1024590</v>
      </c>
      <c r="O164" t="str">
        <v>CUST0141</v>
      </c>
      <c r="P164">
        <v>5</v>
      </c>
      <c r="Q164">
        <v>1024590</v>
      </c>
    </row>
    <row r="165" spans="1:17" x14ac:dyDescent="0.3">
      <c r="A165" s="32" t="s">
        <v>129</v>
      </c>
      <c r="B165" s="4">
        <v>7</v>
      </c>
      <c r="C165" s="4">
        <v>3</v>
      </c>
      <c r="E165" t="str">
        <v>CUST0078</v>
      </c>
      <c r="F165">
        <v>7</v>
      </c>
      <c r="G165">
        <v>3</v>
      </c>
      <c r="K165" s="32" t="s">
        <v>60</v>
      </c>
      <c r="L165" s="4">
        <v>8</v>
      </c>
      <c r="M165" s="4">
        <v>1022130</v>
      </c>
      <c r="O165" t="str">
        <v>CUST0284</v>
      </c>
      <c r="P165">
        <v>8</v>
      </c>
      <c r="Q165">
        <v>1022130</v>
      </c>
    </row>
    <row r="166" spans="1:17" x14ac:dyDescent="0.3">
      <c r="A166" s="32" t="s">
        <v>271</v>
      </c>
      <c r="B166" s="4">
        <v>7</v>
      </c>
      <c r="C166" s="4">
        <v>32</v>
      </c>
      <c r="E166" t="str">
        <v>CUST0157</v>
      </c>
      <c r="F166">
        <v>7</v>
      </c>
      <c r="G166">
        <v>32</v>
      </c>
      <c r="K166" s="32" t="s">
        <v>304</v>
      </c>
      <c r="L166" s="4">
        <v>5</v>
      </c>
      <c r="M166" s="4">
        <v>1020900</v>
      </c>
      <c r="O166" t="str">
        <v>CUST0079</v>
      </c>
      <c r="P166">
        <v>5</v>
      </c>
      <c r="Q166">
        <v>1020900</v>
      </c>
    </row>
    <row r="167" spans="1:17" x14ac:dyDescent="0.3">
      <c r="A167" s="32" t="s">
        <v>228</v>
      </c>
      <c r="B167" s="4">
        <v>7</v>
      </c>
      <c r="C167" s="4">
        <v>13</v>
      </c>
      <c r="E167" t="str">
        <v>CUST0221</v>
      </c>
      <c r="F167">
        <v>7</v>
      </c>
      <c r="G167">
        <v>13</v>
      </c>
      <c r="K167" s="32" t="s">
        <v>243</v>
      </c>
      <c r="L167" s="4">
        <v>3</v>
      </c>
      <c r="M167" s="4">
        <v>1020900</v>
      </c>
      <c r="O167" t="str">
        <v>CUST0123</v>
      </c>
      <c r="P167">
        <v>3</v>
      </c>
      <c r="Q167">
        <v>1020900</v>
      </c>
    </row>
    <row r="168" spans="1:17" x14ac:dyDescent="0.3">
      <c r="A168" s="32" t="s">
        <v>197</v>
      </c>
      <c r="B168" s="4">
        <v>7</v>
      </c>
      <c r="C168" s="4">
        <v>2</v>
      </c>
      <c r="E168" t="str">
        <v>CUST0158</v>
      </c>
      <c r="F168">
        <v>7</v>
      </c>
      <c r="G168">
        <v>2</v>
      </c>
      <c r="K168" s="32" t="s">
        <v>122</v>
      </c>
      <c r="L168" s="4">
        <v>4</v>
      </c>
      <c r="M168" s="4">
        <v>1011060</v>
      </c>
      <c r="O168" t="str">
        <v>CUST0015</v>
      </c>
      <c r="P168">
        <v>4</v>
      </c>
      <c r="Q168">
        <v>1011060</v>
      </c>
    </row>
    <row r="169" spans="1:17" x14ac:dyDescent="0.3">
      <c r="A169" s="32" t="s">
        <v>269</v>
      </c>
      <c r="B169" s="4">
        <v>7</v>
      </c>
      <c r="C169" s="4">
        <v>200</v>
      </c>
      <c r="E169" t="str">
        <v>CUST0235</v>
      </c>
      <c r="F169">
        <v>7</v>
      </c>
      <c r="G169">
        <v>200</v>
      </c>
      <c r="K169" s="32" t="s">
        <v>112</v>
      </c>
      <c r="L169" s="4">
        <v>6</v>
      </c>
      <c r="M169" s="4">
        <v>1008600</v>
      </c>
      <c r="O169" t="str">
        <v>CUST0113</v>
      </c>
      <c r="P169">
        <v>6</v>
      </c>
      <c r="Q169">
        <v>1008600</v>
      </c>
    </row>
    <row r="170" spans="1:17" x14ac:dyDescent="0.3">
      <c r="A170" s="32" t="s">
        <v>232</v>
      </c>
      <c r="B170" s="4">
        <v>7</v>
      </c>
      <c r="C170" s="4">
        <v>360</v>
      </c>
      <c r="E170" t="str">
        <v>CUST0058</v>
      </c>
      <c r="F170">
        <v>7</v>
      </c>
      <c r="G170">
        <v>360</v>
      </c>
      <c r="K170" s="32" t="s">
        <v>184</v>
      </c>
      <c r="L170" s="4">
        <v>6</v>
      </c>
      <c r="M170" s="4">
        <v>1001220</v>
      </c>
      <c r="O170" t="str">
        <v>CUST0092</v>
      </c>
      <c r="P170">
        <v>6</v>
      </c>
      <c r="Q170">
        <v>1001220</v>
      </c>
    </row>
    <row r="171" spans="1:17" x14ac:dyDescent="0.3">
      <c r="A171" s="32" t="s">
        <v>242</v>
      </c>
      <c r="B171" s="4">
        <v>7</v>
      </c>
      <c r="C171" s="4">
        <v>22</v>
      </c>
      <c r="E171" t="str">
        <v>CUST0241</v>
      </c>
      <c r="F171">
        <v>7</v>
      </c>
      <c r="G171">
        <v>22</v>
      </c>
      <c r="K171" s="32" t="s">
        <v>292</v>
      </c>
      <c r="L171" s="4">
        <v>3</v>
      </c>
      <c r="M171" s="4">
        <v>977850</v>
      </c>
      <c r="O171" t="str">
        <v>CUST0117</v>
      </c>
      <c r="P171">
        <v>3</v>
      </c>
      <c r="Q171">
        <v>977850</v>
      </c>
    </row>
    <row r="172" spans="1:17" x14ac:dyDescent="0.3">
      <c r="A172" s="32" t="s">
        <v>256</v>
      </c>
      <c r="B172" s="4">
        <v>7</v>
      </c>
      <c r="C172" s="4">
        <v>353</v>
      </c>
      <c r="E172" t="str">
        <v>CUST0160</v>
      </c>
      <c r="F172">
        <v>7</v>
      </c>
      <c r="G172">
        <v>353</v>
      </c>
      <c r="K172" s="32" t="s">
        <v>118</v>
      </c>
      <c r="L172" s="4">
        <v>4</v>
      </c>
      <c r="M172" s="4">
        <v>972930</v>
      </c>
      <c r="O172" t="str">
        <v>CUST0223</v>
      </c>
      <c r="P172">
        <v>4</v>
      </c>
      <c r="Q172">
        <v>972930</v>
      </c>
    </row>
    <row r="173" spans="1:17" x14ac:dyDescent="0.3">
      <c r="A173" s="32" t="s">
        <v>259</v>
      </c>
      <c r="B173" s="4">
        <v>7</v>
      </c>
      <c r="C173" s="4">
        <v>18</v>
      </c>
      <c r="E173" t="str">
        <v>CUST0243</v>
      </c>
      <c r="F173">
        <v>7</v>
      </c>
      <c r="G173">
        <v>18</v>
      </c>
      <c r="K173" s="32" t="s">
        <v>211</v>
      </c>
      <c r="L173" s="4">
        <v>6</v>
      </c>
      <c r="M173" s="4">
        <v>959400</v>
      </c>
      <c r="O173" t="str">
        <v>CUST0051</v>
      </c>
      <c r="P173">
        <v>6</v>
      </c>
      <c r="Q173">
        <v>959400</v>
      </c>
    </row>
    <row r="174" spans="1:17" x14ac:dyDescent="0.3">
      <c r="A174" s="32" t="s">
        <v>236</v>
      </c>
      <c r="B174" s="4">
        <v>7</v>
      </c>
      <c r="C174" s="4">
        <v>44</v>
      </c>
      <c r="E174" t="str">
        <v>CUST0059</v>
      </c>
      <c r="F174">
        <v>7</v>
      </c>
      <c r="G174">
        <v>44</v>
      </c>
      <c r="K174" s="32" t="s">
        <v>54</v>
      </c>
      <c r="L174" s="4">
        <v>11</v>
      </c>
      <c r="M174" s="4">
        <v>956940</v>
      </c>
      <c r="O174" t="str">
        <v>CUST0038</v>
      </c>
      <c r="P174">
        <v>11</v>
      </c>
      <c r="Q174">
        <v>956940</v>
      </c>
    </row>
    <row r="175" spans="1:17" x14ac:dyDescent="0.3">
      <c r="A175" s="32" t="s">
        <v>94</v>
      </c>
      <c r="B175" s="4">
        <v>7</v>
      </c>
      <c r="C175" s="4">
        <v>91</v>
      </c>
      <c r="E175" t="str">
        <v>CUST0245</v>
      </c>
      <c r="F175">
        <v>7</v>
      </c>
      <c r="G175">
        <v>91</v>
      </c>
      <c r="K175" s="32" t="s">
        <v>234</v>
      </c>
      <c r="L175" s="4">
        <v>3</v>
      </c>
      <c r="M175" s="4">
        <v>953250</v>
      </c>
      <c r="O175" t="str">
        <v>CUST0187</v>
      </c>
      <c r="P175">
        <v>3</v>
      </c>
      <c r="Q175">
        <v>953250</v>
      </c>
    </row>
    <row r="176" spans="1:17" x14ac:dyDescent="0.3">
      <c r="A176" s="32" t="s">
        <v>117</v>
      </c>
      <c r="B176" s="4">
        <v>7</v>
      </c>
      <c r="C176" s="4">
        <v>94</v>
      </c>
      <c r="E176" t="str">
        <v>CUST0163</v>
      </c>
      <c r="F176">
        <v>7</v>
      </c>
      <c r="G176">
        <v>94</v>
      </c>
      <c r="K176" s="32" t="s">
        <v>96</v>
      </c>
      <c r="L176" s="4">
        <v>5</v>
      </c>
      <c r="M176" s="4">
        <v>947100</v>
      </c>
      <c r="O176" t="str">
        <v>CUST0179</v>
      </c>
      <c r="P176">
        <v>5</v>
      </c>
      <c r="Q176">
        <v>947100</v>
      </c>
    </row>
    <row r="177" spans="1:17" x14ac:dyDescent="0.3">
      <c r="A177" s="32" t="s">
        <v>134</v>
      </c>
      <c r="B177" s="4">
        <v>7</v>
      </c>
      <c r="C177" s="4">
        <v>16</v>
      </c>
      <c r="E177" t="str">
        <v>CUST0036</v>
      </c>
      <c r="F177">
        <v>7</v>
      </c>
      <c r="G177">
        <v>16</v>
      </c>
      <c r="K177" s="32" t="s">
        <v>216</v>
      </c>
      <c r="L177" s="4">
        <v>6</v>
      </c>
      <c r="M177" s="4">
        <v>940950</v>
      </c>
      <c r="O177" t="str">
        <v>CUST0220</v>
      </c>
      <c r="P177">
        <v>6</v>
      </c>
      <c r="Q177">
        <v>940950</v>
      </c>
    </row>
    <row r="178" spans="1:17" x14ac:dyDescent="0.3">
      <c r="A178" s="32" t="s">
        <v>59</v>
      </c>
      <c r="B178" s="4">
        <v>7</v>
      </c>
      <c r="C178" s="4">
        <v>186</v>
      </c>
      <c r="E178" t="str">
        <v>CUST0060</v>
      </c>
      <c r="F178">
        <v>7</v>
      </c>
      <c r="G178">
        <v>186</v>
      </c>
      <c r="K178" s="32" t="s">
        <v>91</v>
      </c>
      <c r="L178" s="4">
        <v>2</v>
      </c>
      <c r="M178" s="4">
        <v>933570</v>
      </c>
      <c r="O178" t="str">
        <v>CUST0261</v>
      </c>
      <c r="P178">
        <v>2</v>
      </c>
      <c r="Q178">
        <v>933570</v>
      </c>
    </row>
    <row r="179" spans="1:17" x14ac:dyDescent="0.3">
      <c r="A179" s="32" t="s">
        <v>303</v>
      </c>
      <c r="B179" s="4">
        <v>7</v>
      </c>
      <c r="C179" s="4">
        <v>12</v>
      </c>
      <c r="E179" t="str">
        <v>CUST0287</v>
      </c>
      <c r="F179">
        <v>7</v>
      </c>
      <c r="G179">
        <v>12</v>
      </c>
      <c r="K179" s="32" t="s">
        <v>248</v>
      </c>
      <c r="L179" s="4">
        <v>8</v>
      </c>
      <c r="M179" s="4">
        <v>931110</v>
      </c>
      <c r="O179" t="str">
        <v>CUST0011</v>
      </c>
      <c r="P179">
        <v>8</v>
      </c>
      <c r="Q179">
        <v>931110</v>
      </c>
    </row>
    <row r="180" spans="1:17" x14ac:dyDescent="0.3">
      <c r="A180" s="32" t="s">
        <v>300</v>
      </c>
      <c r="B180" s="4">
        <v>7</v>
      </c>
      <c r="C180" s="4">
        <v>78</v>
      </c>
      <c r="E180" t="str">
        <v>CUST0061</v>
      </c>
      <c r="F180">
        <v>7</v>
      </c>
      <c r="G180">
        <v>78</v>
      </c>
      <c r="K180" s="32" t="s">
        <v>251</v>
      </c>
      <c r="L180" s="4">
        <v>5</v>
      </c>
      <c r="M180" s="4">
        <v>926190</v>
      </c>
      <c r="O180" t="str">
        <v>CUST0193</v>
      </c>
      <c r="P180">
        <v>5</v>
      </c>
      <c r="Q180">
        <v>926190</v>
      </c>
    </row>
    <row r="181" spans="1:17" x14ac:dyDescent="0.3">
      <c r="A181" s="32" t="s">
        <v>43</v>
      </c>
      <c r="B181" s="4">
        <v>7</v>
      </c>
      <c r="C181" s="4">
        <v>4</v>
      </c>
      <c r="E181" t="str">
        <v>CUST0293</v>
      </c>
      <c r="F181">
        <v>7</v>
      </c>
      <c r="G181">
        <v>4</v>
      </c>
      <c r="K181" s="32" t="s">
        <v>192</v>
      </c>
      <c r="L181" s="4">
        <v>6</v>
      </c>
      <c r="M181" s="4">
        <v>907740</v>
      </c>
      <c r="O181" t="str">
        <v>CUST0279</v>
      </c>
      <c r="P181">
        <v>6</v>
      </c>
      <c r="Q181">
        <v>907740</v>
      </c>
    </row>
    <row r="182" spans="1:17" x14ac:dyDescent="0.3">
      <c r="A182" s="32" t="s">
        <v>276</v>
      </c>
      <c r="B182" s="4">
        <v>7</v>
      </c>
      <c r="C182" s="4">
        <v>48</v>
      </c>
      <c r="E182" t="str">
        <v>CUST0172</v>
      </c>
      <c r="F182">
        <v>7</v>
      </c>
      <c r="G182">
        <v>48</v>
      </c>
      <c r="K182" s="32" t="s">
        <v>154</v>
      </c>
      <c r="L182" s="4">
        <v>11</v>
      </c>
      <c r="M182" s="4">
        <v>900360</v>
      </c>
      <c r="O182" t="str">
        <v>CUST0216</v>
      </c>
      <c r="P182">
        <v>11</v>
      </c>
      <c r="Q182">
        <v>900360</v>
      </c>
    </row>
    <row r="183" spans="1:17" x14ac:dyDescent="0.3">
      <c r="A183" s="32" t="s">
        <v>155</v>
      </c>
      <c r="B183" s="4">
        <v>7</v>
      </c>
      <c r="C183" s="4">
        <v>34</v>
      </c>
      <c r="E183" t="str">
        <v>CUST0062</v>
      </c>
      <c r="F183">
        <v>7</v>
      </c>
      <c r="G183">
        <v>34</v>
      </c>
      <c r="K183" s="32" t="s">
        <v>236</v>
      </c>
      <c r="L183" s="4">
        <v>7</v>
      </c>
      <c r="M183" s="4">
        <v>899130</v>
      </c>
      <c r="O183" t="str">
        <v>CUST0059</v>
      </c>
      <c r="P183">
        <v>7</v>
      </c>
      <c r="Q183">
        <v>899130</v>
      </c>
    </row>
    <row r="184" spans="1:17" x14ac:dyDescent="0.3">
      <c r="A184" s="32" t="s">
        <v>90</v>
      </c>
      <c r="B184" s="4">
        <v>7</v>
      </c>
      <c r="C184" s="4">
        <v>120</v>
      </c>
      <c r="E184" t="str">
        <v>CUST0296</v>
      </c>
      <c r="F184">
        <v>7</v>
      </c>
      <c r="G184">
        <v>120</v>
      </c>
      <c r="K184" s="32" t="s">
        <v>206</v>
      </c>
      <c r="L184" s="4">
        <v>7</v>
      </c>
      <c r="M184" s="4">
        <v>889290</v>
      </c>
      <c r="O184" t="str">
        <v>CUST0152</v>
      </c>
      <c r="P184">
        <v>7</v>
      </c>
      <c r="Q184">
        <v>889290</v>
      </c>
    </row>
    <row r="185" spans="1:17" x14ac:dyDescent="0.3">
      <c r="A185" s="32" t="s">
        <v>88</v>
      </c>
      <c r="B185" s="4">
        <v>6</v>
      </c>
      <c r="C185" s="4">
        <v>47</v>
      </c>
      <c r="E185" t="str">
        <v>CUST0096</v>
      </c>
      <c r="F185">
        <v>6</v>
      </c>
      <c r="G185">
        <v>47</v>
      </c>
      <c r="K185" s="32" t="s">
        <v>143</v>
      </c>
      <c r="L185" s="4">
        <v>6</v>
      </c>
      <c r="M185" s="4">
        <v>885600</v>
      </c>
      <c r="O185" t="str">
        <v>CUST0258</v>
      </c>
      <c r="P185">
        <v>6</v>
      </c>
      <c r="Q185">
        <v>885600</v>
      </c>
    </row>
    <row r="186" spans="1:17" x14ac:dyDescent="0.3">
      <c r="A186" s="32" t="s">
        <v>151</v>
      </c>
      <c r="B186" s="4">
        <v>6</v>
      </c>
      <c r="C186" s="4">
        <v>12</v>
      </c>
      <c r="E186" t="str">
        <v>CUST0259</v>
      </c>
      <c r="F186">
        <v>6</v>
      </c>
      <c r="G186">
        <v>12</v>
      </c>
      <c r="K186" s="32" t="s">
        <v>215</v>
      </c>
      <c r="L186" s="4">
        <v>5</v>
      </c>
      <c r="M186" s="4">
        <v>876990</v>
      </c>
      <c r="O186" t="str">
        <v>CUST0291</v>
      </c>
      <c r="P186">
        <v>5</v>
      </c>
      <c r="Q186">
        <v>876990</v>
      </c>
    </row>
    <row r="187" spans="1:17" x14ac:dyDescent="0.3">
      <c r="A187" s="32" t="s">
        <v>66</v>
      </c>
      <c r="B187" s="4">
        <v>6</v>
      </c>
      <c r="C187" s="4">
        <v>228</v>
      </c>
      <c r="E187" t="str">
        <v>CUST0073</v>
      </c>
      <c r="F187">
        <v>6</v>
      </c>
      <c r="G187">
        <v>228</v>
      </c>
      <c r="K187" s="32" t="s">
        <v>50</v>
      </c>
      <c r="L187" s="4">
        <v>9</v>
      </c>
      <c r="M187" s="4">
        <v>870840</v>
      </c>
      <c r="O187" t="str">
        <v>CUST0264</v>
      </c>
      <c r="P187">
        <v>9</v>
      </c>
      <c r="Q187">
        <v>870840</v>
      </c>
    </row>
    <row r="188" spans="1:17" x14ac:dyDescent="0.3">
      <c r="A188" s="32" t="s">
        <v>264</v>
      </c>
      <c r="B188" s="4">
        <v>6</v>
      </c>
      <c r="C188" s="4">
        <v>121</v>
      </c>
      <c r="E188" t="str">
        <v>CUST0149</v>
      </c>
      <c r="F188">
        <v>6</v>
      </c>
      <c r="G188">
        <v>121</v>
      </c>
      <c r="K188" s="32" t="s">
        <v>302</v>
      </c>
      <c r="L188" s="4">
        <v>2</v>
      </c>
      <c r="M188" s="4">
        <v>861000</v>
      </c>
      <c r="O188" t="str">
        <v>CUST0191</v>
      </c>
      <c r="P188">
        <v>2</v>
      </c>
      <c r="Q188">
        <v>861000</v>
      </c>
    </row>
    <row r="189" spans="1:17" x14ac:dyDescent="0.3">
      <c r="A189" s="32" t="s">
        <v>253</v>
      </c>
      <c r="B189" s="4">
        <v>6</v>
      </c>
      <c r="C189" s="4">
        <v>24</v>
      </c>
      <c r="E189" t="str">
        <v>CUST0274</v>
      </c>
      <c r="F189">
        <v>6</v>
      </c>
      <c r="G189">
        <v>24</v>
      </c>
      <c r="K189" s="32" t="s">
        <v>134</v>
      </c>
      <c r="L189" s="4">
        <v>7</v>
      </c>
      <c r="M189" s="4">
        <v>861000</v>
      </c>
      <c r="O189" t="str">
        <v>CUST0036</v>
      </c>
      <c r="P189">
        <v>7</v>
      </c>
      <c r="Q189">
        <v>861000</v>
      </c>
    </row>
    <row r="190" spans="1:17" x14ac:dyDescent="0.3">
      <c r="A190" s="32" t="s">
        <v>312</v>
      </c>
      <c r="B190" s="4">
        <v>6</v>
      </c>
      <c r="C190" s="4">
        <v>85</v>
      </c>
      <c r="E190" t="str">
        <v>CUST0166</v>
      </c>
      <c r="F190">
        <v>6</v>
      </c>
      <c r="G190">
        <v>85</v>
      </c>
      <c r="K190" s="32" t="s">
        <v>163</v>
      </c>
      <c r="L190" s="4">
        <v>9</v>
      </c>
      <c r="M190" s="4">
        <v>857310</v>
      </c>
      <c r="O190" t="str">
        <v>CUST0004</v>
      </c>
      <c r="P190">
        <v>9</v>
      </c>
      <c r="Q190">
        <v>857310</v>
      </c>
    </row>
    <row r="191" spans="1:17" x14ac:dyDescent="0.3">
      <c r="A191" s="32" t="s">
        <v>249</v>
      </c>
      <c r="B191" s="4">
        <v>6</v>
      </c>
      <c r="C191" s="4">
        <v>65</v>
      </c>
      <c r="E191" t="str">
        <v>CUST0290</v>
      </c>
      <c r="F191">
        <v>6</v>
      </c>
      <c r="G191">
        <v>65</v>
      </c>
      <c r="K191" s="32" t="s">
        <v>217</v>
      </c>
      <c r="L191" s="4">
        <v>10</v>
      </c>
      <c r="M191" s="4">
        <v>854850</v>
      </c>
      <c r="O191" t="str">
        <v>CUST0161</v>
      </c>
      <c r="P191">
        <v>10</v>
      </c>
      <c r="Q191">
        <v>854850</v>
      </c>
    </row>
    <row r="192" spans="1:17" x14ac:dyDescent="0.3">
      <c r="A192" s="32" t="s">
        <v>131</v>
      </c>
      <c r="B192" s="4">
        <v>6</v>
      </c>
      <c r="C192" s="4">
        <v>42</v>
      </c>
      <c r="E192" t="str">
        <v>CUST0212</v>
      </c>
      <c r="F192">
        <v>6</v>
      </c>
      <c r="G192">
        <v>42</v>
      </c>
      <c r="K192" s="32" t="s">
        <v>30</v>
      </c>
      <c r="L192" s="4">
        <v>8</v>
      </c>
      <c r="M192" s="4">
        <v>846240</v>
      </c>
      <c r="O192" t="str">
        <v>CUST0159</v>
      </c>
      <c r="P192">
        <v>8</v>
      </c>
      <c r="Q192">
        <v>846240</v>
      </c>
    </row>
    <row r="193" spans="1:17" x14ac:dyDescent="0.3">
      <c r="A193" s="32" t="s">
        <v>191</v>
      </c>
      <c r="B193" s="4">
        <v>6</v>
      </c>
      <c r="C193" s="4">
        <v>159</v>
      </c>
      <c r="E193" t="str">
        <v>CUST0256</v>
      </c>
      <c r="F193">
        <v>6</v>
      </c>
      <c r="G193">
        <v>159</v>
      </c>
      <c r="K193" s="32" t="s">
        <v>264</v>
      </c>
      <c r="L193" s="4">
        <v>6</v>
      </c>
      <c r="M193" s="4">
        <v>842550</v>
      </c>
      <c r="O193" t="str">
        <v>CUST0149</v>
      </c>
      <c r="P193">
        <v>6</v>
      </c>
      <c r="Q193">
        <v>842550</v>
      </c>
    </row>
    <row r="194" spans="1:17" x14ac:dyDescent="0.3">
      <c r="A194" s="32" t="s">
        <v>80</v>
      </c>
      <c r="B194" s="4">
        <v>6</v>
      </c>
      <c r="C194" s="4">
        <v>20</v>
      </c>
      <c r="E194" t="str">
        <v>CUST0167</v>
      </c>
      <c r="F194">
        <v>6</v>
      </c>
      <c r="G194">
        <v>20</v>
      </c>
      <c r="K194" s="32" t="s">
        <v>168</v>
      </c>
      <c r="L194" s="4">
        <v>5</v>
      </c>
      <c r="M194" s="4">
        <v>842550</v>
      </c>
      <c r="O194" t="str">
        <v>CUST0226</v>
      </c>
      <c r="P194">
        <v>5</v>
      </c>
      <c r="Q194">
        <v>842550</v>
      </c>
    </row>
    <row r="195" spans="1:17" x14ac:dyDescent="0.3">
      <c r="A195" s="32" t="s">
        <v>184</v>
      </c>
      <c r="B195" s="4">
        <v>6</v>
      </c>
      <c r="C195" s="4">
        <v>18</v>
      </c>
      <c r="E195" t="str">
        <v>CUST0092</v>
      </c>
      <c r="F195">
        <v>6</v>
      </c>
      <c r="G195">
        <v>18</v>
      </c>
      <c r="K195" s="32" t="s">
        <v>69</v>
      </c>
      <c r="L195" s="4">
        <v>11</v>
      </c>
      <c r="M195" s="4">
        <v>838860</v>
      </c>
      <c r="O195" t="str">
        <v>CUST0130</v>
      </c>
      <c r="P195">
        <v>11</v>
      </c>
      <c r="Q195">
        <v>838860</v>
      </c>
    </row>
    <row r="196" spans="1:17" x14ac:dyDescent="0.3">
      <c r="A196" s="32" t="s">
        <v>216</v>
      </c>
      <c r="B196" s="4">
        <v>6</v>
      </c>
      <c r="C196" s="4">
        <v>49</v>
      </c>
      <c r="E196" t="str">
        <v>CUST0220</v>
      </c>
      <c r="F196">
        <v>6</v>
      </c>
      <c r="G196">
        <v>49</v>
      </c>
      <c r="K196" s="32" t="s">
        <v>267</v>
      </c>
      <c r="L196" s="4">
        <v>5</v>
      </c>
      <c r="M196" s="4">
        <v>831480</v>
      </c>
      <c r="O196" t="str">
        <v>CUST0248</v>
      </c>
      <c r="P196">
        <v>5</v>
      </c>
      <c r="Q196">
        <v>831480</v>
      </c>
    </row>
    <row r="197" spans="1:17" x14ac:dyDescent="0.3">
      <c r="A197" s="32" t="s">
        <v>192</v>
      </c>
      <c r="B197" s="4">
        <v>6</v>
      </c>
      <c r="C197" s="4">
        <v>94</v>
      </c>
      <c r="E197" t="str">
        <v>CUST0279</v>
      </c>
      <c r="F197">
        <v>6</v>
      </c>
      <c r="G197">
        <v>94</v>
      </c>
      <c r="K197" s="32" t="s">
        <v>87</v>
      </c>
      <c r="L197" s="4">
        <v>6</v>
      </c>
      <c r="M197" s="4">
        <v>817950</v>
      </c>
      <c r="O197" t="str">
        <v>CUST0065</v>
      </c>
      <c r="P197">
        <v>6</v>
      </c>
      <c r="Q197">
        <v>817950</v>
      </c>
    </row>
    <row r="198" spans="1:17" x14ac:dyDescent="0.3">
      <c r="A198" s="32" t="s">
        <v>37</v>
      </c>
      <c r="B198" s="4">
        <v>6</v>
      </c>
      <c r="C198" s="4">
        <v>242</v>
      </c>
      <c r="E198" t="str">
        <v>CUST0039</v>
      </c>
      <c r="F198">
        <v>6</v>
      </c>
      <c r="G198">
        <v>242</v>
      </c>
      <c r="K198" s="32" t="s">
        <v>235</v>
      </c>
      <c r="L198" s="4">
        <v>7</v>
      </c>
      <c r="M198" s="4">
        <v>815490</v>
      </c>
      <c r="O198" t="str">
        <v>CUST0018</v>
      </c>
      <c r="P198">
        <v>7</v>
      </c>
      <c r="Q198">
        <v>815490</v>
      </c>
    </row>
    <row r="199" spans="1:17" x14ac:dyDescent="0.3">
      <c r="A199" s="32" t="s">
        <v>240</v>
      </c>
      <c r="B199" s="4">
        <v>6</v>
      </c>
      <c r="C199" s="4">
        <v>191</v>
      </c>
      <c r="E199" t="str">
        <v>CUST0285</v>
      </c>
      <c r="F199">
        <v>6</v>
      </c>
      <c r="G199">
        <v>191</v>
      </c>
      <c r="K199" s="32" t="s">
        <v>200</v>
      </c>
      <c r="L199" s="4">
        <v>9</v>
      </c>
      <c r="M199" s="4">
        <v>814260</v>
      </c>
      <c r="O199" t="str">
        <v>CUST0071</v>
      </c>
      <c r="P199">
        <v>9</v>
      </c>
      <c r="Q199">
        <v>814260</v>
      </c>
    </row>
    <row r="200" spans="1:17" x14ac:dyDescent="0.3">
      <c r="A200" s="32" t="s">
        <v>52</v>
      </c>
      <c r="B200" s="4">
        <v>6</v>
      </c>
      <c r="C200" s="4">
        <v>177</v>
      </c>
      <c r="E200" t="str">
        <v>CUST0154</v>
      </c>
      <c r="F200">
        <v>6</v>
      </c>
      <c r="G200">
        <v>177</v>
      </c>
      <c r="K200" s="32" t="s">
        <v>144</v>
      </c>
      <c r="L200" s="4">
        <v>7</v>
      </c>
      <c r="M200" s="4">
        <v>800730</v>
      </c>
      <c r="O200" t="str">
        <v>CUST0177</v>
      </c>
      <c r="P200">
        <v>7</v>
      </c>
      <c r="Q200">
        <v>800730</v>
      </c>
    </row>
    <row r="201" spans="1:17" x14ac:dyDescent="0.3">
      <c r="A201" s="32" t="s">
        <v>254</v>
      </c>
      <c r="B201" s="4">
        <v>6</v>
      </c>
      <c r="C201" s="4">
        <v>58</v>
      </c>
      <c r="E201" t="str">
        <v>CUST0013</v>
      </c>
      <c r="F201">
        <v>6</v>
      </c>
      <c r="G201">
        <v>58</v>
      </c>
      <c r="K201" s="32" t="s">
        <v>130</v>
      </c>
      <c r="L201" s="4">
        <v>5</v>
      </c>
      <c r="M201" s="4">
        <v>798270</v>
      </c>
      <c r="O201" t="str">
        <v>CUST0003</v>
      </c>
      <c r="P201">
        <v>5</v>
      </c>
      <c r="Q201">
        <v>798270</v>
      </c>
    </row>
    <row r="202" spans="1:17" x14ac:dyDescent="0.3">
      <c r="A202" s="32" t="s">
        <v>208</v>
      </c>
      <c r="B202" s="4">
        <v>6</v>
      </c>
      <c r="C202" s="4">
        <v>144</v>
      </c>
      <c r="E202" t="str">
        <v>CUST0229</v>
      </c>
      <c r="F202">
        <v>6</v>
      </c>
      <c r="G202">
        <v>144</v>
      </c>
      <c r="K202" s="32" t="s">
        <v>167</v>
      </c>
      <c r="L202" s="4">
        <v>13</v>
      </c>
      <c r="M202" s="4">
        <v>797040</v>
      </c>
      <c r="O202" t="str">
        <v>CUST0052</v>
      </c>
      <c r="P202">
        <v>13</v>
      </c>
      <c r="Q202">
        <v>797040</v>
      </c>
    </row>
    <row r="203" spans="1:17" x14ac:dyDescent="0.3">
      <c r="A203" s="32" t="s">
        <v>297</v>
      </c>
      <c r="B203" s="4">
        <v>6</v>
      </c>
      <c r="C203" s="4">
        <v>112</v>
      </c>
      <c r="E203" t="str">
        <v>CUST0255</v>
      </c>
      <c r="F203">
        <v>6</v>
      </c>
      <c r="G203">
        <v>112</v>
      </c>
      <c r="K203" s="32" t="s">
        <v>222</v>
      </c>
      <c r="L203" s="4">
        <v>5</v>
      </c>
      <c r="M203" s="4">
        <v>793350</v>
      </c>
      <c r="O203" t="str">
        <v>CUST0085</v>
      </c>
      <c r="P203">
        <v>5</v>
      </c>
      <c r="Q203">
        <v>793350</v>
      </c>
    </row>
    <row r="204" spans="1:17" x14ac:dyDescent="0.3">
      <c r="A204" s="32" t="s">
        <v>268</v>
      </c>
      <c r="B204" s="4">
        <v>6</v>
      </c>
      <c r="C204" s="4">
        <v>27</v>
      </c>
      <c r="E204" t="str">
        <v>CUST0020</v>
      </c>
      <c r="F204">
        <v>6</v>
      </c>
      <c r="G204">
        <v>27</v>
      </c>
      <c r="K204" s="32" t="s">
        <v>249</v>
      </c>
      <c r="L204" s="4">
        <v>6</v>
      </c>
      <c r="M204" s="4">
        <v>789660</v>
      </c>
      <c r="O204" t="str">
        <v>CUST0290</v>
      </c>
      <c r="P204">
        <v>6</v>
      </c>
      <c r="Q204">
        <v>789660</v>
      </c>
    </row>
    <row r="205" spans="1:17" x14ac:dyDescent="0.3">
      <c r="A205" s="32" t="s">
        <v>143</v>
      </c>
      <c r="B205" s="4">
        <v>6</v>
      </c>
      <c r="C205" s="4">
        <v>44</v>
      </c>
      <c r="E205" t="str">
        <v>CUST0258</v>
      </c>
      <c r="F205">
        <v>6</v>
      </c>
      <c r="G205">
        <v>44</v>
      </c>
      <c r="K205" s="32" t="s">
        <v>74</v>
      </c>
      <c r="L205" s="4">
        <v>10</v>
      </c>
      <c r="M205" s="4">
        <v>787200</v>
      </c>
      <c r="O205" t="str">
        <v>CUST0168</v>
      </c>
      <c r="P205">
        <v>10</v>
      </c>
      <c r="Q205">
        <v>787200</v>
      </c>
    </row>
    <row r="206" spans="1:17" x14ac:dyDescent="0.3">
      <c r="A206" s="32" t="s">
        <v>210</v>
      </c>
      <c r="B206" s="4">
        <v>6</v>
      </c>
      <c r="C206" s="4">
        <v>117</v>
      </c>
      <c r="E206" t="str">
        <v>CUST0238</v>
      </c>
      <c r="F206">
        <v>6</v>
      </c>
      <c r="G206">
        <v>117</v>
      </c>
      <c r="K206" s="32" t="s">
        <v>178</v>
      </c>
      <c r="L206" s="4">
        <v>9</v>
      </c>
      <c r="M206" s="4">
        <v>771210</v>
      </c>
      <c r="O206" t="str">
        <v>CUST0116</v>
      </c>
      <c r="P206">
        <v>9</v>
      </c>
      <c r="Q206">
        <v>771210</v>
      </c>
    </row>
    <row r="207" spans="1:17" x14ac:dyDescent="0.3">
      <c r="A207" s="32" t="s">
        <v>278</v>
      </c>
      <c r="B207" s="4">
        <v>6</v>
      </c>
      <c r="C207" s="4">
        <v>29</v>
      </c>
      <c r="E207" t="str">
        <v>CUST0260</v>
      </c>
      <c r="F207">
        <v>6</v>
      </c>
      <c r="G207">
        <v>29</v>
      </c>
      <c r="K207" s="32" t="s">
        <v>164</v>
      </c>
      <c r="L207" s="4">
        <v>7</v>
      </c>
      <c r="M207" s="4">
        <v>768750</v>
      </c>
      <c r="O207" t="str">
        <v>CUST0127</v>
      </c>
      <c r="P207">
        <v>7</v>
      </c>
      <c r="Q207">
        <v>768750</v>
      </c>
    </row>
    <row r="208" spans="1:17" x14ac:dyDescent="0.3">
      <c r="A208" s="32" t="s">
        <v>112</v>
      </c>
      <c r="B208" s="4">
        <v>6</v>
      </c>
      <c r="C208" s="4">
        <v>27</v>
      </c>
      <c r="E208" t="str">
        <v>CUST0113</v>
      </c>
      <c r="F208">
        <v>6</v>
      </c>
      <c r="G208">
        <v>27</v>
      </c>
      <c r="K208" s="32" t="s">
        <v>53</v>
      </c>
      <c r="L208" s="4">
        <v>5</v>
      </c>
      <c r="M208" s="4">
        <v>768750</v>
      </c>
      <c r="O208" t="str">
        <v>CUST0190</v>
      </c>
      <c r="P208">
        <v>5</v>
      </c>
      <c r="Q208">
        <v>768750</v>
      </c>
    </row>
    <row r="209" spans="1:17" x14ac:dyDescent="0.3">
      <c r="A209" s="32" t="s">
        <v>293</v>
      </c>
      <c r="B209" s="4">
        <v>6</v>
      </c>
      <c r="C209" s="4">
        <v>27</v>
      </c>
      <c r="E209" t="str">
        <v>CUST0101</v>
      </c>
      <c r="F209">
        <v>6</v>
      </c>
      <c r="G209">
        <v>27</v>
      </c>
      <c r="K209" s="32" t="s">
        <v>202</v>
      </c>
      <c r="L209" s="4">
        <v>9</v>
      </c>
      <c r="M209" s="4">
        <v>762600</v>
      </c>
      <c r="O209" t="str">
        <v>CUST0280</v>
      </c>
      <c r="P209">
        <v>9</v>
      </c>
      <c r="Q209">
        <v>762600</v>
      </c>
    </row>
    <row r="210" spans="1:17" x14ac:dyDescent="0.3">
      <c r="A210" s="32" t="s">
        <v>211</v>
      </c>
      <c r="B210" s="4">
        <v>6</v>
      </c>
      <c r="C210" s="4">
        <v>79</v>
      </c>
      <c r="E210" t="str">
        <v>CUST0051</v>
      </c>
      <c r="F210">
        <v>6</v>
      </c>
      <c r="G210">
        <v>79</v>
      </c>
      <c r="K210" s="32" t="s">
        <v>119</v>
      </c>
      <c r="L210" s="4">
        <v>5</v>
      </c>
      <c r="M210" s="4">
        <v>762600</v>
      </c>
      <c r="O210" t="str">
        <v>CUST0266</v>
      </c>
      <c r="P210">
        <v>5</v>
      </c>
      <c r="Q210">
        <v>762600</v>
      </c>
    </row>
    <row r="211" spans="1:17" x14ac:dyDescent="0.3">
      <c r="A211" s="32" t="s">
        <v>237</v>
      </c>
      <c r="B211" s="4">
        <v>6</v>
      </c>
      <c r="C211" s="4">
        <v>28</v>
      </c>
      <c r="E211" t="str">
        <v>CUST0103</v>
      </c>
      <c r="F211">
        <v>6</v>
      </c>
      <c r="G211">
        <v>28</v>
      </c>
      <c r="K211" s="32" t="s">
        <v>296</v>
      </c>
      <c r="L211" s="4">
        <v>7</v>
      </c>
      <c r="M211" s="4">
        <v>757680</v>
      </c>
      <c r="O211" t="str">
        <v>CUST0087</v>
      </c>
      <c r="P211">
        <v>7</v>
      </c>
      <c r="Q211">
        <v>757680</v>
      </c>
    </row>
    <row r="212" spans="1:17" x14ac:dyDescent="0.3">
      <c r="A212" s="32" t="s">
        <v>136</v>
      </c>
      <c r="B212" s="4">
        <v>6</v>
      </c>
      <c r="C212" s="4">
        <v>97</v>
      </c>
      <c r="E212" t="str">
        <v>CUST0138</v>
      </c>
      <c r="F212">
        <v>6</v>
      </c>
      <c r="G212">
        <v>97</v>
      </c>
      <c r="K212" s="32" t="s">
        <v>89</v>
      </c>
      <c r="L212" s="4">
        <v>6</v>
      </c>
      <c r="M212" s="4">
        <v>757680</v>
      </c>
      <c r="O212" t="str">
        <v>CUST0045</v>
      </c>
      <c r="P212">
        <v>6</v>
      </c>
      <c r="Q212">
        <v>757680</v>
      </c>
    </row>
    <row r="213" spans="1:17" x14ac:dyDescent="0.3">
      <c r="A213" s="32" t="s">
        <v>272</v>
      </c>
      <c r="B213" s="4">
        <v>6</v>
      </c>
      <c r="C213" s="4">
        <v>20</v>
      </c>
      <c r="E213" t="str">
        <v>CUST0017</v>
      </c>
      <c r="F213">
        <v>6</v>
      </c>
      <c r="G213">
        <v>20</v>
      </c>
      <c r="K213" s="32" t="s">
        <v>37</v>
      </c>
      <c r="L213" s="4">
        <v>6</v>
      </c>
      <c r="M213" s="4">
        <v>750300</v>
      </c>
      <c r="O213" t="str">
        <v>CUST0039</v>
      </c>
      <c r="P213">
        <v>6</v>
      </c>
      <c r="Q213">
        <v>750300</v>
      </c>
    </row>
    <row r="214" spans="1:17" x14ac:dyDescent="0.3">
      <c r="A214" s="32" t="s">
        <v>89</v>
      </c>
      <c r="B214" s="4">
        <v>6</v>
      </c>
      <c r="C214" s="4">
        <v>12</v>
      </c>
      <c r="E214" t="str">
        <v>CUST0045</v>
      </c>
      <c r="F214">
        <v>6</v>
      </c>
      <c r="G214">
        <v>12</v>
      </c>
      <c r="K214" s="32" t="s">
        <v>79</v>
      </c>
      <c r="L214" s="4">
        <v>4</v>
      </c>
      <c r="M214" s="4">
        <v>731850</v>
      </c>
      <c r="O214" t="str">
        <v>CUST0207</v>
      </c>
      <c r="P214">
        <v>4</v>
      </c>
      <c r="Q214">
        <v>731850</v>
      </c>
    </row>
    <row r="215" spans="1:17" x14ac:dyDescent="0.3">
      <c r="A215" s="32" t="s">
        <v>219</v>
      </c>
      <c r="B215" s="4">
        <v>6</v>
      </c>
      <c r="C215" s="4">
        <v>177</v>
      </c>
      <c r="E215" t="str">
        <v>CUST0162</v>
      </c>
      <c r="F215">
        <v>6</v>
      </c>
      <c r="G215">
        <v>177</v>
      </c>
      <c r="K215" s="32" t="s">
        <v>93</v>
      </c>
      <c r="L215" s="4">
        <v>8</v>
      </c>
      <c r="M215" s="4">
        <v>730620</v>
      </c>
      <c r="O215" t="str">
        <v>CUST0227</v>
      </c>
      <c r="P215">
        <v>8</v>
      </c>
      <c r="Q215">
        <v>730620</v>
      </c>
    </row>
    <row r="216" spans="1:17" x14ac:dyDescent="0.3">
      <c r="A216" s="32" t="s">
        <v>87</v>
      </c>
      <c r="B216" s="4">
        <v>6</v>
      </c>
      <c r="C216" s="4">
        <v>352</v>
      </c>
      <c r="E216" t="str">
        <v>CUST0065</v>
      </c>
      <c r="F216">
        <v>6</v>
      </c>
      <c r="G216">
        <v>352</v>
      </c>
      <c r="K216" s="32" t="s">
        <v>160</v>
      </c>
      <c r="L216" s="4">
        <v>10</v>
      </c>
      <c r="M216" s="4">
        <v>725700</v>
      </c>
      <c r="O216" t="str">
        <v>CUST0142</v>
      </c>
      <c r="P216">
        <v>10</v>
      </c>
      <c r="Q216">
        <v>725700</v>
      </c>
    </row>
    <row r="217" spans="1:17" x14ac:dyDescent="0.3">
      <c r="A217" s="32" t="s">
        <v>142</v>
      </c>
      <c r="B217" s="4">
        <v>6</v>
      </c>
      <c r="C217" s="4">
        <v>80</v>
      </c>
      <c r="E217" t="str">
        <v>CUST0069</v>
      </c>
      <c r="F217">
        <v>6</v>
      </c>
      <c r="G217">
        <v>80</v>
      </c>
      <c r="K217" s="32" t="s">
        <v>246</v>
      </c>
      <c r="L217" s="4">
        <v>5</v>
      </c>
      <c r="M217" s="4">
        <v>719550</v>
      </c>
      <c r="O217" t="str">
        <v>CUST0118</v>
      </c>
      <c r="P217">
        <v>5</v>
      </c>
      <c r="Q217">
        <v>719550</v>
      </c>
    </row>
    <row r="218" spans="1:17" x14ac:dyDescent="0.3">
      <c r="A218" s="32" t="s">
        <v>255</v>
      </c>
      <c r="B218" s="4">
        <v>6</v>
      </c>
      <c r="C218" s="4">
        <v>229</v>
      </c>
      <c r="E218" t="str">
        <v>CUST0025</v>
      </c>
      <c r="F218">
        <v>6</v>
      </c>
      <c r="G218">
        <v>229</v>
      </c>
      <c r="K218" s="32" t="s">
        <v>90</v>
      </c>
      <c r="L218" s="4">
        <v>7</v>
      </c>
      <c r="M218" s="4">
        <v>714630</v>
      </c>
      <c r="O218" t="str">
        <v>CUST0296</v>
      </c>
      <c r="P218">
        <v>7</v>
      </c>
      <c r="Q218">
        <v>714630</v>
      </c>
    </row>
    <row r="219" spans="1:17" x14ac:dyDescent="0.3">
      <c r="A219" s="32" t="s">
        <v>25</v>
      </c>
      <c r="B219" s="4">
        <v>6</v>
      </c>
      <c r="C219" s="4">
        <v>15</v>
      </c>
      <c r="E219" t="str">
        <v>CUST0147</v>
      </c>
      <c r="F219">
        <v>6</v>
      </c>
      <c r="G219">
        <v>15</v>
      </c>
      <c r="K219" s="32" t="s">
        <v>106</v>
      </c>
      <c r="L219" s="4">
        <v>8</v>
      </c>
      <c r="M219" s="4">
        <v>713400</v>
      </c>
      <c r="O219" t="str">
        <v>CUST0019</v>
      </c>
      <c r="P219">
        <v>8</v>
      </c>
      <c r="Q219">
        <v>713400</v>
      </c>
    </row>
    <row r="220" spans="1:17" x14ac:dyDescent="0.3">
      <c r="A220" s="32" t="s">
        <v>68</v>
      </c>
      <c r="B220" s="4">
        <v>6</v>
      </c>
      <c r="C220" s="4">
        <v>127</v>
      </c>
      <c r="E220" t="str">
        <v>CUST0247</v>
      </c>
      <c r="F220">
        <v>6</v>
      </c>
      <c r="G220">
        <v>127</v>
      </c>
      <c r="K220" s="32" t="s">
        <v>312</v>
      </c>
      <c r="L220" s="4">
        <v>6</v>
      </c>
      <c r="M220" s="4">
        <v>709710</v>
      </c>
      <c r="O220" t="str">
        <v>CUST0166</v>
      </c>
      <c r="P220">
        <v>6</v>
      </c>
      <c r="Q220">
        <v>709710</v>
      </c>
    </row>
    <row r="221" spans="1:17" x14ac:dyDescent="0.3">
      <c r="A221" s="32" t="s">
        <v>241</v>
      </c>
      <c r="B221" s="4">
        <v>6</v>
      </c>
      <c r="C221" s="4">
        <v>161</v>
      </c>
      <c r="E221" t="str">
        <v>CUST0198</v>
      </c>
      <c r="F221">
        <v>6</v>
      </c>
      <c r="G221">
        <v>161</v>
      </c>
      <c r="K221" s="32" t="s">
        <v>162</v>
      </c>
      <c r="L221" s="4">
        <v>8</v>
      </c>
      <c r="M221" s="4">
        <v>688800</v>
      </c>
      <c r="O221" t="str">
        <v>CUST0105</v>
      </c>
      <c r="P221">
        <v>8</v>
      </c>
      <c r="Q221">
        <v>688800</v>
      </c>
    </row>
    <row r="222" spans="1:17" x14ac:dyDescent="0.3">
      <c r="A222" s="32" t="s">
        <v>108</v>
      </c>
      <c r="B222" s="4">
        <v>6</v>
      </c>
      <c r="C222" s="4">
        <v>220</v>
      </c>
      <c r="E222" t="str">
        <v>CUST0251</v>
      </c>
      <c r="F222">
        <v>6</v>
      </c>
      <c r="G222">
        <v>220</v>
      </c>
      <c r="K222" s="32" t="s">
        <v>194</v>
      </c>
      <c r="L222" s="4">
        <v>7</v>
      </c>
      <c r="M222" s="4">
        <v>687570</v>
      </c>
      <c r="O222" t="str">
        <v>CUST0012</v>
      </c>
      <c r="P222">
        <v>7</v>
      </c>
      <c r="Q222">
        <v>687570</v>
      </c>
    </row>
    <row r="223" spans="1:17" x14ac:dyDescent="0.3">
      <c r="A223" s="32" t="s">
        <v>260</v>
      </c>
      <c r="B223" s="4">
        <v>6</v>
      </c>
      <c r="C223" s="4">
        <v>30</v>
      </c>
      <c r="E223" t="str">
        <v>CUST0252</v>
      </c>
      <c r="F223">
        <v>6</v>
      </c>
      <c r="G223">
        <v>30</v>
      </c>
      <c r="K223" s="32" t="s">
        <v>133</v>
      </c>
      <c r="L223" s="4">
        <v>5</v>
      </c>
      <c r="M223" s="4">
        <v>683880</v>
      </c>
      <c r="O223" t="str">
        <v>CUST0082</v>
      </c>
      <c r="P223">
        <v>5</v>
      </c>
      <c r="Q223">
        <v>683880</v>
      </c>
    </row>
    <row r="224" spans="1:17" x14ac:dyDescent="0.3">
      <c r="A224" s="32" t="s">
        <v>170</v>
      </c>
      <c r="B224" s="4">
        <v>6</v>
      </c>
      <c r="C224" s="4">
        <v>53</v>
      </c>
      <c r="E224" t="str">
        <v>CUST0183</v>
      </c>
      <c r="F224">
        <v>6</v>
      </c>
      <c r="G224">
        <v>53</v>
      </c>
      <c r="K224" s="32" t="s">
        <v>132</v>
      </c>
      <c r="L224" s="4">
        <v>3</v>
      </c>
      <c r="M224" s="4">
        <v>666660</v>
      </c>
      <c r="O224" t="str">
        <v>CUST0146</v>
      </c>
      <c r="P224">
        <v>3</v>
      </c>
      <c r="Q224">
        <v>666660</v>
      </c>
    </row>
    <row r="225" spans="1:17" x14ac:dyDescent="0.3">
      <c r="A225" s="32" t="s">
        <v>279</v>
      </c>
      <c r="B225" s="4">
        <v>6</v>
      </c>
      <c r="C225" s="4">
        <v>260</v>
      </c>
      <c r="E225" t="str">
        <v>CUST0185</v>
      </c>
      <c r="F225">
        <v>6</v>
      </c>
      <c r="G225">
        <v>260</v>
      </c>
      <c r="K225" s="32" t="s">
        <v>228</v>
      </c>
      <c r="L225" s="4">
        <v>7</v>
      </c>
      <c r="M225" s="4">
        <v>659280</v>
      </c>
      <c r="O225" t="str">
        <v>CUST0221</v>
      </c>
      <c r="P225">
        <v>7</v>
      </c>
      <c r="Q225">
        <v>659280</v>
      </c>
    </row>
    <row r="226" spans="1:17" x14ac:dyDescent="0.3">
      <c r="A226" s="32" t="s">
        <v>150</v>
      </c>
      <c r="B226" s="4">
        <v>6</v>
      </c>
      <c r="C226" s="4">
        <v>93</v>
      </c>
      <c r="E226" t="str">
        <v>CUST0202</v>
      </c>
      <c r="F226">
        <v>6</v>
      </c>
      <c r="G226">
        <v>93</v>
      </c>
      <c r="K226" s="32" t="s">
        <v>158</v>
      </c>
      <c r="L226" s="4">
        <v>5</v>
      </c>
      <c r="M226" s="4">
        <v>656820</v>
      </c>
      <c r="O226" t="str">
        <v>CUST0184</v>
      </c>
      <c r="P226">
        <v>5</v>
      </c>
      <c r="Q226">
        <v>656820</v>
      </c>
    </row>
    <row r="227" spans="1:17" x14ac:dyDescent="0.3">
      <c r="A227" s="32" t="s">
        <v>305</v>
      </c>
      <c r="B227" s="4">
        <v>5</v>
      </c>
      <c r="C227" s="4">
        <v>122</v>
      </c>
      <c r="E227" t="str">
        <v>CUST0090</v>
      </c>
      <c r="F227">
        <v>5</v>
      </c>
      <c r="G227">
        <v>122</v>
      </c>
      <c r="K227" s="32" t="s">
        <v>172</v>
      </c>
      <c r="L227" s="4">
        <v>9</v>
      </c>
      <c r="M227" s="4">
        <v>654360</v>
      </c>
      <c r="O227" t="str">
        <v>CUST0208</v>
      </c>
      <c r="P227">
        <v>9</v>
      </c>
      <c r="Q227">
        <v>654360</v>
      </c>
    </row>
    <row r="228" spans="1:17" x14ac:dyDescent="0.3">
      <c r="A228" s="32" t="s">
        <v>114</v>
      </c>
      <c r="B228" s="4">
        <v>5</v>
      </c>
      <c r="C228" s="4">
        <v>117</v>
      </c>
      <c r="E228" t="str">
        <v>CUST0153</v>
      </c>
      <c r="F228">
        <v>5</v>
      </c>
      <c r="G228">
        <v>117</v>
      </c>
      <c r="K228" s="32" t="s">
        <v>226</v>
      </c>
      <c r="L228" s="4">
        <v>4</v>
      </c>
      <c r="M228" s="4">
        <v>651900</v>
      </c>
      <c r="O228" t="str">
        <v>CUST0097</v>
      </c>
      <c r="P228">
        <v>4</v>
      </c>
      <c r="Q228">
        <v>651900</v>
      </c>
    </row>
    <row r="229" spans="1:17" x14ac:dyDescent="0.3">
      <c r="A229" s="32" t="s">
        <v>35</v>
      </c>
      <c r="B229" s="4">
        <v>5</v>
      </c>
      <c r="C229" s="4">
        <v>265</v>
      </c>
      <c r="E229" t="str">
        <v>CUST0283</v>
      </c>
      <c r="F229">
        <v>5</v>
      </c>
      <c r="G229">
        <v>265</v>
      </c>
      <c r="K229" s="32" t="s">
        <v>233</v>
      </c>
      <c r="L229" s="4">
        <v>7</v>
      </c>
      <c r="M229" s="4">
        <v>646980</v>
      </c>
      <c r="O229" t="str">
        <v>CUST0054</v>
      </c>
      <c r="P229">
        <v>7</v>
      </c>
      <c r="Q229">
        <v>646980</v>
      </c>
    </row>
    <row r="230" spans="1:17" x14ac:dyDescent="0.3">
      <c r="A230" s="32" t="s">
        <v>62</v>
      </c>
      <c r="B230" s="4">
        <v>5</v>
      </c>
      <c r="C230" s="4">
        <v>57</v>
      </c>
      <c r="E230" t="str">
        <v>CUST0205</v>
      </c>
      <c r="F230">
        <v>5</v>
      </c>
      <c r="G230">
        <v>57</v>
      </c>
      <c r="K230" s="32" t="s">
        <v>268</v>
      </c>
      <c r="L230" s="4">
        <v>6</v>
      </c>
      <c r="M230" s="4">
        <v>634680</v>
      </c>
      <c r="O230" t="str">
        <v>CUST0020</v>
      </c>
      <c r="P230">
        <v>6</v>
      </c>
      <c r="Q230">
        <v>634680</v>
      </c>
    </row>
    <row r="231" spans="1:17" x14ac:dyDescent="0.3">
      <c r="A231" s="32" t="s">
        <v>138</v>
      </c>
      <c r="B231" s="4">
        <v>5</v>
      </c>
      <c r="C231" s="4">
        <v>442</v>
      </c>
      <c r="E231" t="str">
        <v>CUST0066</v>
      </c>
      <c r="F231">
        <v>5</v>
      </c>
      <c r="G231">
        <v>442</v>
      </c>
      <c r="K231" s="32" t="s">
        <v>159</v>
      </c>
      <c r="L231" s="4">
        <v>4</v>
      </c>
      <c r="M231" s="4">
        <v>633450</v>
      </c>
      <c r="O231" t="str">
        <v>CUST0075</v>
      </c>
      <c r="P231">
        <v>4</v>
      </c>
      <c r="Q231">
        <v>633450</v>
      </c>
    </row>
    <row r="232" spans="1:17" x14ac:dyDescent="0.3">
      <c r="A232" s="32" t="s">
        <v>270</v>
      </c>
      <c r="B232" s="4">
        <v>5</v>
      </c>
      <c r="C232" s="4">
        <v>17</v>
      </c>
      <c r="E232" t="str">
        <v>CUST0206</v>
      </c>
      <c r="F232">
        <v>5</v>
      </c>
      <c r="G232">
        <v>17</v>
      </c>
      <c r="K232" s="32" t="s">
        <v>254</v>
      </c>
      <c r="L232" s="4">
        <v>6</v>
      </c>
      <c r="M232" s="4">
        <v>621150</v>
      </c>
      <c r="O232" t="str">
        <v>CUST0013</v>
      </c>
      <c r="P232">
        <v>6</v>
      </c>
      <c r="Q232">
        <v>621150</v>
      </c>
    </row>
    <row r="233" spans="1:17" x14ac:dyDescent="0.3">
      <c r="A233" s="32" t="s">
        <v>265</v>
      </c>
      <c r="B233" s="4">
        <v>5</v>
      </c>
      <c r="C233" s="4">
        <v>117</v>
      </c>
      <c r="E233" t="str">
        <v>CUST0068</v>
      </c>
      <c r="F233">
        <v>5</v>
      </c>
      <c r="G233">
        <v>117</v>
      </c>
      <c r="K233" s="32" t="s">
        <v>92</v>
      </c>
      <c r="L233" s="4">
        <v>8</v>
      </c>
      <c r="M233" s="4">
        <v>611310</v>
      </c>
      <c r="O233" t="str">
        <v>CUST0077</v>
      </c>
      <c r="P233">
        <v>8</v>
      </c>
      <c r="Q233">
        <v>611310</v>
      </c>
    </row>
    <row r="234" spans="1:17" x14ac:dyDescent="0.3">
      <c r="A234" s="32" t="s">
        <v>41</v>
      </c>
      <c r="B234" s="4">
        <v>5</v>
      </c>
      <c r="C234" s="4">
        <v>112</v>
      </c>
      <c r="E234" t="str">
        <v>CUST0210</v>
      </c>
      <c r="F234">
        <v>5</v>
      </c>
      <c r="G234">
        <v>112</v>
      </c>
      <c r="K234" s="32" t="s">
        <v>240</v>
      </c>
      <c r="L234" s="4">
        <v>6</v>
      </c>
      <c r="M234" s="4">
        <v>584250</v>
      </c>
      <c r="O234" t="str">
        <v>CUST0285</v>
      </c>
      <c r="P234">
        <v>6</v>
      </c>
      <c r="Q234">
        <v>584250</v>
      </c>
    </row>
    <row r="235" spans="1:17" x14ac:dyDescent="0.3">
      <c r="A235" s="32" t="s">
        <v>258</v>
      </c>
      <c r="B235" s="4">
        <v>5</v>
      </c>
      <c r="C235" s="4">
        <v>246</v>
      </c>
      <c r="E235" t="str">
        <v>CUST0136</v>
      </c>
      <c r="F235">
        <v>5</v>
      </c>
      <c r="G235">
        <v>246</v>
      </c>
      <c r="K235" s="32" t="s">
        <v>41</v>
      </c>
      <c r="L235" s="4">
        <v>5</v>
      </c>
      <c r="M235" s="4">
        <v>584250</v>
      </c>
      <c r="O235" t="str">
        <v>CUST0210</v>
      </c>
      <c r="P235">
        <v>5</v>
      </c>
      <c r="Q235">
        <v>584250</v>
      </c>
    </row>
    <row r="236" spans="1:17" x14ac:dyDescent="0.3">
      <c r="A236" s="32" t="s">
        <v>111</v>
      </c>
      <c r="B236" s="4">
        <v>5</v>
      </c>
      <c r="C236" s="4">
        <v>40</v>
      </c>
      <c r="E236" t="str">
        <v>CUST0024</v>
      </c>
      <c r="F236">
        <v>5</v>
      </c>
      <c r="G236">
        <v>40</v>
      </c>
      <c r="K236" s="32" t="s">
        <v>117</v>
      </c>
      <c r="L236" s="4">
        <v>7</v>
      </c>
      <c r="M236" s="4">
        <v>578100</v>
      </c>
      <c r="O236" t="str">
        <v>CUST0163</v>
      </c>
      <c r="P236">
        <v>7</v>
      </c>
      <c r="Q236">
        <v>578100</v>
      </c>
    </row>
    <row r="237" spans="1:17" x14ac:dyDescent="0.3">
      <c r="A237" s="32" t="s">
        <v>316</v>
      </c>
      <c r="B237" s="4">
        <v>5</v>
      </c>
      <c r="C237" s="4">
        <v>71</v>
      </c>
      <c r="E237" t="str">
        <v>CUST0257</v>
      </c>
      <c r="F237">
        <v>5</v>
      </c>
      <c r="G237">
        <v>71</v>
      </c>
      <c r="K237" s="32" t="s">
        <v>287</v>
      </c>
      <c r="L237" s="4">
        <v>4</v>
      </c>
      <c r="M237" s="4">
        <v>578100</v>
      </c>
      <c r="O237" t="str">
        <v>CUST0030</v>
      </c>
      <c r="P237">
        <v>4</v>
      </c>
      <c r="Q237">
        <v>578100</v>
      </c>
    </row>
    <row r="238" spans="1:17" x14ac:dyDescent="0.3">
      <c r="A238" s="32" t="s">
        <v>304</v>
      </c>
      <c r="B238" s="4">
        <v>5</v>
      </c>
      <c r="C238" s="4">
        <v>131</v>
      </c>
      <c r="E238" t="str">
        <v>CUST0079</v>
      </c>
      <c r="F238">
        <v>5</v>
      </c>
      <c r="G238">
        <v>131</v>
      </c>
      <c r="K238" s="32" t="s">
        <v>193</v>
      </c>
      <c r="L238" s="4">
        <v>5</v>
      </c>
      <c r="M238" s="4">
        <v>571950</v>
      </c>
      <c r="O238" t="str">
        <v>CUST0250</v>
      </c>
      <c r="P238">
        <v>5</v>
      </c>
      <c r="Q238">
        <v>571950</v>
      </c>
    </row>
    <row r="239" spans="1:17" x14ac:dyDescent="0.3">
      <c r="A239" s="32" t="s">
        <v>309</v>
      </c>
      <c r="B239" s="4">
        <v>5</v>
      </c>
      <c r="C239" s="4">
        <v>37</v>
      </c>
      <c r="E239" t="str">
        <v>CUST0265</v>
      </c>
      <c r="F239">
        <v>5</v>
      </c>
      <c r="G239">
        <v>37</v>
      </c>
      <c r="K239" s="32" t="s">
        <v>156</v>
      </c>
      <c r="L239" s="4">
        <v>4</v>
      </c>
      <c r="M239" s="4">
        <v>565800</v>
      </c>
      <c r="O239" t="str">
        <v>CUST0056</v>
      </c>
      <c r="P239">
        <v>4</v>
      </c>
      <c r="Q239">
        <v>565800</v>
      </c>
    </row>
    <row r="240" spans="1:17" x14ac:dyDescent="0.3">
      <c r="A240" s="32" t="s">
        <v>149</v>
      </c>
      <c r="B240" s="4">
        <v>5</v>
      </c>
      <c r="C240" s="4">
        <v>11</v>
      </c>
      <c r="E240" t="str">
        <v>CUST0141</v>
      </c>
      <c r="F240">
        <v>5</v>
      </c>
      <c r="G240">
        <v>11</v>
      </c>
      <c r="K240" s="32" t="s">
        <v>80</v>
      </c>
      <c r="L240" s="4">
        <v>6</v>
      </c>
      <c r="M240" s="4">
        <v>559650</v>
      </c>
      <c r="O240" t="str">
        <v>CUST0167</v>
      </c>
      <c r="P240">
        <v>6</v>
      </c>
      <c r="Q240">
        <v>559650</v>
      </c>
    </row>
    <row r="241" spans="1:17" x14ac:dyDescent="0.3">
      <c r="A241" s="32" t="s">
        <v>227</v>
      </c>
      <c r="B241" s="4">
        <v>5</v>
      </c>
      <c r="C241" s="4">
        <v>9</v>
      </c>
      <c r="E241" t="str">
        <v>CUST0067</v>
      </c>
      <c r="F241">
        <v>5</v>
      </c>
      <c r="G241">
        <v>9</v>
      </c>
      <c r="K241" s="32" t="s">
        <v>285</v>
      </c>
      <c r="L241" s="4">
        <v>2</v>
      </c>
      <c r="M241" s="4">
        <v>553500</v>
      </c>
      <c r="O241" t="str">
        <v>CUST0171</v>
      </c>
      <c r="P241">
        <v>2</v>
      </c>
      <c r="Q241">
        <v>553500</v>
      </c>
    </row>
    <row r="242" spans="1:17" x14ac:dyDescent="0.3">
      <c r="A242" s="32" t="s">
        <v>63</v>
      </c>
      <c r="B242" s="4">
        <v>5</v>
      </c>
      <c r="C242" s="4">
        <v>83</v>
      </c>
      <c r="E242" t="str">
        <v>CUST0222</v>
      </c>
      <c r="F242">
        <v>5</v>
      </c>
      <c r="G242">
        <v>83</v>
      </c>
      <c r="K242" s="32" t="s">
        <v>138</v>
      </c>
      <c r="L242" s="4">
        <v>5</v>
      </c>
      <c r="M242" s="4">
        <v>552270</v>
      </c>
      <c r="O242" t="str">
        <v>CUST0066</v>
      </c>
      <c r="P242">
        <v>5</v>
      </c>
      <c r="Q242">
        <v>552270</v>
      </c>
    </row>
    <row r="243" spans="1:17" x14ac:dyDescent="0.3">
      <c r="A243" s="32" t="s">
        <v>207</v>
      </c>
      <c r="B243" s="4">
        <v>5</v>
      </c>
      <c r="C243" s="4">
        <v>10</v>
      </c>
      <c r="E243" t="str">
        <v>CUST0278</v>
      </c>
      <c r="F243">
        <v>5</v>
      </c>
      <c r="G243">
        <v>10</v>
      </c>
      <c r="K243" s="32" t="s">
        <v>182</v>
      </c>
      <c r="L243" s="4">
        <v>5</v>
      </c>
      <c r="M243" s="4">
        <v>552270</v>
      </c>
      <c r="O243" t="str">
        <v>CUST0273</v>
      </c>
      <c r="P243">
        <v>5</v>
      </c>
      <c r="Q243">
        <v>552270</v>
      </c>
    </row>
    <row r="244" spans="1:17" x14ac:dyDescent="0.3">
      <c r="A244" s="32" t="s">
        <v>238</v>
      </c>
      <c r="B244" s="4">
        <v>5</v>
      </c>
      <c r="C244" s="4">
        <v>71</v>
      </c>
      <c r="E244" t="str">
        <v>CUST0224</v>
      </c>
      <c r="F244">
        <v>5</v>
      </c>
      <c r="G244">
        <v>71</v>
      </c>
      <c r="K244" s="32" t="s">
        <v>180</v>
      </c>
      <c r="L244" s="4">
        <v>8</v>
      </c>
      <c r="M244" s="4">
        <v>549810</v>
      </c>
      <c r="O244" t="str">
        <v>CUST0094</v>
      </c>
      <c r="P244">
        <v>8</v>
      </c>
      <c r="Q244">
        <v>549810</v>
      </c>
    </row>
    <row r="245" spans="1:17" x14ac:dyDescent="0.3">
      <c r="A245" s="32" t="s">
        <v>247</v>
      </c>
      <c r="B245" s="4">
        <v>5</v>
      </c>
      <c r="C245" s="4">
        <v>10</v>
      </c>
      <c r="E245" t="str">
        <v>CUST0098</v>
      </c>
      <c r="F245">
        <v>5</v>
      </c>
      <c r="G245">
        <v>10</v>
      </c>
      <c r="K245" s="32" t="s">
        <v>199</v>
      </c>
      <c r="L245" s="4">
        <v>9</v>
      </c>
      <c r="M245" s="4">
        <v>541200</v>
      </c>
      <c r="O245" t="str">
        <v>CUST0055</v>
      </c>
      <c r="P245">
        <v>9</v>
      </c>
      <c r="Q245">
        <v>541200</v>
      </c>
    </row>
    <row r="246" spans="1:17" x14ac:dyDescent="0.3">
      <c r="A246" s="32" t="s">
        <v>130</v>
      </c>
      <c r="B246" s="4">
        <v>5</v>
      </c>
      <c r="C246" s="4">
        <v>157</v>
      </c>
      <c r="E246" t="str">
        <v>CUST0003</v>
      </c>
      <c r="F246">
        <v>5</v>
      </c>
      <c r="G246">
        <v>157</v>
      </c>
      <c r="K246" s="32" t="s">
        <v>114</v>
      </c>
      <c r="L246" s="4">
        <v>5</v>
      </c>
      <c r="M246" s="4">
        <v>511680</v>
      </c>
      <c r="O246" t="str">
        <v>CUST0153</v>
      </c>
      <c r="P246">
        <v>5</v>
      </c>
      <c r="Q246">
        <v>511680</v>
      </c>
    </row>
    <row r="247" spans="1:17" x14ac:dyDescent="0.3">
      <c r="A247" s="32" t="s">
        <v>82</v>
      </c>
      <c r="B247" s="4">
        <v>5</v>
      </c>
      <c r="C247" s="4">
        <v>25</v>
      </c>
      <c r="E247" t="str">
        <v>CUST0041</v>
      </c>
      <c r="F247">
        <v>5</v>
      </c>
      <c r="G247">
        <v>25</v>
      </c>
      <c r="K247" s="32" t="s">
        <v>280</v>
      </c>
      <c r="L247" s="4">
        <v>5</v>
      </c>
      <c r="M247" s="4">
        <v>506760</v>
      </c>
      <c r="O247" t="str">
        <v>CUST0009</v>
      </c>
      <c r="P247">
        <v>5</v>
      </c>
      <c r="Q247">
        <v>506760</v>
      </c>
    </row>
    <row r="248" spans="1:17" x14ac:dyDescent="0.3">
      <c r="A248" s="32" t="s">
        <v>168</v>
      </c>
      <c r="B248" s="4">
        <v>5</v>
      </c>
      <c r="C248" s="4">
        <v>34</v>
      </c>
      <c r="E248" t="str">
        <v>CUST0226</v>
      </c>
      <c r="F248">
        <v>5</v>
      </c>
      <c r="G248">
        <v>34</v>
      </c>
      <c r="K248" s="32" t="s">
        <v>111</v>
      </c>
      <c r="L248" s="4">
        <v>5</v>
      </c>
      <c r="M248" s="4">
        <v>504300</v>
      </c>
      <c r="O248" t="str">
        <v>CUST0024</v>
      </c>
      <c r="P248">
        <v>5</v>
      </c>
      <c r="Q248">
        <v>504300</v>
      </c>
    </row>
    <row r="249" spans="1:17" x14ac:dyDescent="0.3">
      <c r="A249" s="32" t="s">
        <v>291</v>
      </c>
      <c r="B249" s="4">
        <v>5</v>
      </c>
      <c r="C249" s="4">
        <v>76</v>
      </c>
      <c r="E249" t="str">
        <v>CUST0107</v>
      </c>
      <c r="F249">
        <v>5</v>
      </c>
      <c r="G249">
        <v>76</v>
      </c>
      <c r="K249" s="32" t="s">
        <v>204</v>
      </c>
      <c r="L249" s="4">
        <v>4</v>
      </c>
      <c r="M249" s="4">
        <v>503070</v>
      </c>
      <c r="O249" t="str">
        <v>CUST0300</v>
      </c>
      <c r="P249">
        <v>4</v>
      </c>
      <c r="Q249">
        <v>503070</v>
      </c>
    </row>
    <row r="250" spans="1:17" x14ac:dyDescent="0.3">
      <c r="A250" s="32" t="s">
        <v>133</v>
      </c>
      <c r="B250" s="4">
        <v>5</v>
      </c>
      <c r="C250" s="4">
        <v>158</v>
      </c>
      <c r="E250" t="str">
        <v>CUST0082</v>
      </c>
      <c r="F250">
        <v>5</v>
      </c>
      <c r="G250">
        <v>158</v>
      </c>
      <c r="K250" s="32" t="s">
        <v>314</v>
      </c>
      <c r="L250" s="4">
        <v>4</v>
      </c>
      <c r="M250" s="4">
        <v>485850</v>
      </c>
      <c r="O250" t="str">
        <v>CUST0209</v>
      </c>
      <c r="P250">
        <v>4</v>
      </c>
      <c r="Q250">
        <v>485850</v>
      </c>
    </row>
    <row r="251" spans="1:17" x14ac:dyDescent="0.3">
      <c r="A251" s="32" t="s">
        <v>158</v>
      </c>
      <c r="B251" s="4">
        <v>5</v>
      </c>
      <c r="C251" s="4">
        <v>101</v>
      </c>
      <c r="E251" t="str">
        <v>CUST0184</v>
      </c>
      <c r="F251">
        <v>5</v>
      </c>
      <c r="G251">
        <v>101</v>
      </c>
      <c r="K251" s="32" t="s">
        <v>157</v>
      </c>
      <c r="L251" s="4">
        <v>7</v>
      </c>
      <c r="M251" s="4">
        <v>477240</v>
      </c>
      <c r="O251" t="str">
        <v>CUST0114</v>
      </c>
      <c r="P251">
        <v>7</v>
      </c>
      <c r="Q251">
        <v>477240</v>
      </c>
    </row>
    <row r="252" spans="1:17" x14ac:dyDescent="0.3">
      <c r="A252" s="32" t="s">
        <v>246</v>
      </c>
      <c r="B252" s="4">
        <v>5</v>
      </c>
      <c r="C252" s="4">
        <v>105</v>
      </c>
      <c r="E252" t="str">
        <v>CUST0118</v>
      </c>
      <c r="F252">
        <v>5</v>
      </c>
      <c r="G252">
        <v>105</v>
      </c>
      <c r="K252" s="32" t="s">
        <v>66</v>
      </c>
      <c r="L252" s="4">
        <v>6</v>
      </c>
      <c r="M252" s="4">
        <v>467400</v>
      </c>
      <c r="O252" t="str">
        <v>CUST0073</v>
      </c>
      <c r="P252">
        <v>6</v>
      </c>
      <c r="Q252">
        <v>467400</v>
      </c>
    </row>
    <row r="253" spans="1:17" x14ac:dyDescent="0.3">
      <c r="A253" s="32" t="s">
        <v>188</v>
      </c>
      <c r="B253" s="4">
        <v>5</v>
      </c>
      <c r="C253" s="4">
        <v>364</v>
      </c>
      <c r="E253" t="str">
        <v>CUST0263</v>
      </c>
      <c r="F253">
        <v>5</v>
      </c>
      <c r="G253">
        <v>364</v>
      </c>
      <c r="K253" s="32" t="s">
        <v>121</v>
      </c>
      <c r="L253" s="4">
        <v>8</v>
      </c>
      <c r="M253" s="4">
        <v>457560</v>
      </c>
      <c r="O253" t="str">
        <v>CUST0008</v>
      </c>
      <c r="P253">
        <v>8</v>
      </c>
      <c r="Q253">
        <v>457560</v>
      </c>
    </row>
    <row r="254" spans="1:17" x14ac:dyDescent="0.3">
      <c r="A254" s="32" t="s">
        <v>222</v>
      </c>
      <c r="B254" s="4">
        <v>5</v>
      </c>
      <c r="C254" s="4">
        <v>177</v>
      </c>
      <c r="E254" t="str">
        <v>CUST0085</v>
      </c>
      <c r="F254">
        <v>5</v>
      </c>
      <c r="G254">
        <v>177</v>
      </c>
      <c r="K254" s="32" t="s">
        <v>189</v>
      </c>
      <c r="L254" s="4">
        <v>8</v>
      </c>
      <c r="M254" s="4">
        <v>455100</v>
      </c>
      <c r="O254" t="str">
        <v>CUST0195</v>
      </c>
      <c r="P254">
        <v>8</v>
      </c>
      <c r="Q254">
        <v>455100</v>
      </c>
    </row>
    <row r="255" spans="1:17" x14ac:dyDescent="0.3">
      <c r="A255" s="32" t="s">
        <v>119</v>
      </c>
      <c r="B255" s="4">
        <v>5</v>
      </c>
      <c r="C255" s="4">
        <v>309</v>
      </c>
      <c r="E255" t="str">
        <v>CUST0266</v>
      </c>
      <c r="F255">
        <v>5</v>
      </c>
      <c r="G255">
        <v>309</v>
      </c>
      <c r="K255" s="32" t="s">
        <v>284</v>
      </c>
      <c r="L255" s="4">
        <v>9</v>
      </c>
      <c r="M255" s="4">
        <v>453870</v>
      </c>
      <c r="O255" t="str">
        <v>CUST0271</v>
      </c>
      <c r="P255">
        <v>9</v>
      </c>
      <c r="Q255">
        <v>453870</v>
      </c>
    </row>
    <row r="256" spans="1:17" x14ac:dyDescent="0.3">
      <c r="A256" s="32" t="s">
        <v>307</v>
      </c>
      <c r="B256" s="4">
        <v>5</v>
      </c>
      <c r="C256" s="4">
        <v>82</v>
      </c>
      <c r="E256" t="str">
        <v>CUST0233</v>
      </c>
      <c r="F256">
        <v>5</v>
      </c>
      <c r="G256">
        <v>82</v>
      </c>
      <c r="K256" s="32" t="s">
        <v>86</v>
      </c>
      <c r="L256" s="4">
        <v>7</v>
      </c>
      <c r="M256" s="4">
        <v>432960</v>
      </c>
      <c r="O256" t="str">
        <v>CUST0083</v>
      </c>
      <c r="P256">
        <v>7</v>
      </c>
      <c r="Q256">
        <v>432960</v>
      </c>
    </row>
    <row r="257" spans="1:17" x14ac:dyDescent="0.3">
      <c r="A257" s="32" t="s">
        <v>153</v>
      </c>
      <c r="B257" s="4">
        <v>5</v>
      </c>
      <c r="C257" s="4">
        <v>175</v>
      </c>
      <c r="E257" t="str">
        <v>CUST0093</v>
      </c>
      <c r="F257">
        <v>5</v>
      </c>
      <c r="G257">
        <v>175</v>
      </c>
      <c r="K257" s="32" t="s">
        <v>250</v>
      </c>
      <c r="L257" s="4">
        <v>4</v>
      </c>
      <c r="M257" s="4">
        <v>430500</v>
      </c>
      <c r="O257" t="str">
        <v>CUST0164</v>
      </c>
      <c r="P257">
        <v>4</v>
      </c>
      <c r="Q257">
        <v>430500</v>
      </c>
    </row>
    <row r="258" spans="1:17" x14ac:dyDescent="0.3">
      <c r="A258" s="32" t="s">
        <v>231</v>
      </c>
      <c r="B258" s="4">
        <v>5</v>
      </c>
      <c r="C258" s="4">
        <v>29</v>
      </c>
      <c r="E258" t="str">
        <v>CUST0237</v>
      </c>
      <c r="F258">
        <v>5</v>
      </c>
      <c r="G258">
        <v>29</v>
      </c>
      <c r="K258" s="32" t="s">
        <v>260</v>
      </c>
      <c r="L258" s="4">
        <v>6</v>
      </c>
      <c r="M258" s="4">
        <v>418200</v>
      </c>
      <c r="O258" t="str">
        <v>CUST0252</v>
      </c>
      <c r="P258">
        <v>6</v>
      </c>
      <c r="Q258">
        <v>418200</v>
      </c>
    </row>
    <row r="259" spans="1:17" x14ac:dyDescent="0.3">
      <c r="A259" s="32" t="s">
        <v>182</v>
      </c>
      <c r="B259" s="4">
        <v>5</v>
      </c>
      <c r="C259" s="4">
        <v>326</v>
      </c>
      <c r="E259" t="str">
        <v>CUST0273</v>
      </c>
      <c r="F259">
        <v>5</v>
      </c>
      <c r="G259">
        <v>326</v>
      </c>
      <c r="K259" s="32" t="s">
        <v>22</v>
      </c>
      <c r="L259" s="4">
        <v>7</v>
      </c>
      <c r="M259" s="4">
        <v>387450</v>
      </c>
      <c r="O259" t="str">
        <v>CUST0002</v>
      </c>
      <c r="P259">
        <v>7</v>
      </c>
      <c r="Q259">
        <v>387450</v>
      </c>
    </row>
    <row r="260" spans="1:17" x14ac:dyDescent="0.3">
      <c r="A260" s="32" t="s">
        <v>141</v>
      </c>
      <c r="B260" s="4">
        <v>5</v>
      </c>
      <c r="C260" s="4">
        <v>267</v>
      </c>
      <c r="E260" t="str">
        <v>CUST0239</v>
      </c>
      <c r="F260">
        <v>5</v>
      </c>
      <c r="G260">
        <v>267</v>
      </c>
      <c r="K260" s="32" t="s">
        <v>274</v>
      </c>
      <c r="L260" s="4">
        <v>5</v>
      </c>
      <c r="M260" s="4">
        <v>381300</v>
      </c>
      <c r="O260" t="str">
        <v>CUST0145</v>
      </c>
      <c r="P260">
        <v>5</v>
      </c>
      <c r="Q260">
        <v>381300</v>
      </c>
    </row>
    <row r="261" spans="1:17" x14ac:dyDescent="0.3">
      <c r="A261" s="32" t="s">
        <v>53</v>
      </c>
      <c r="B261" s="4">
        <v>5</v>
      </c>
      <c r="C261" s="4">
        <v>79</v>
      </c>
      <c r="E261" t="str">
        <v>CUST0190</v>
      </c>
      <c r="F261">
        <v>5</v>
      </c>
      <c r="G261">
        <v>79</v>
      </c>
      <c r="K261" s="32" t="s">
        <v>255</v>
      </c>
      <c r="L261" s="4">
        <v>6</v>
      </c>
      <c r="M261" s="4">
        <v>375150</v>
      </c>
      <c r="O261" t="str">
        <v>CUST0025</v>
      </c>
      <c r="P261">
        <v>6</v>
      </c>
      <c r="Q261">
        <v>375150</v>
      </c>
    </row>
    <row r="262" spans="1:17" x14ac:dyDescent="0.3">
      <c r="A262" s="32" t="s">
        <v>274</v>
      </c>
      <c r="B262" s="4">
        <v>5</v>
      </c>
      <c r="C262" s="4">
        <v>76</v>
      </c>
      <c r="E262" t="str">
        <v>CUST0145</v>
      </c>
      <c r="F262">
        <v>5</v>
      </c>
      <c r="G262">
        <v>76</v>
      </c>
      <c r="K262" s="32" t="s">
        <v>277</v>
      </c>
      <c r="L262" s="4">
        <v>7</v>
      </c>
      <c r="M262" s="4">
        <v>369000</v>
      </c>
      <c r="O262" t="str">
        <v>CUST0048</v>
      </c>
      <c r="P262">
        <v>7</v>
      </c>
      <c r="Q262">
        <v>369000</v>
      </c>
    </row>
    <row r="263" spans="1:17" x14ac:dyDescent="0.3">
      <c r="A263" s="32" t="s">
        <v>251</v>
      </c>
      <c r="B263" s="4">
        <v>5</v>
      </c>
      <c r="C263" s="4">
        <v>23</v>
      </c>
      <c r="E263" t="str">
        <v>CUST0193</v>
      </c>
      <c r="F263">
        <v>5</v>
      </c>
      <c r="G263">
        <v>23</v>
      </c>
      <c r="K263" s="32" t="s">
        <v>237</v>
      </c>
      <c r="L263" s="4">
        <v>6</v>
      </c>
      <c r="M263" s="4">
        <v>361620</v>
      </c>
      <c r="O263" t="str">
        <v>CUST0103</v>
      </c>
      <c r="P263">
        <v>6</v>
      </c>
      <c r="Q263">
        <v>361620</v>
      </c>
    </row>
    <row r="264" spans="1:17" x14ac:dyDescent="0.3">
      <c r="A264" s="32" t="s">
        <v>281</v>
      </c>
      <c r="B264" s="4">
        <v>5</v>
      </c>
      <c r="C264" s="4">
        <v>168</v>
      </c>
      <c r="E264" t="str">
        <v>CUST0001</v>
      </c>
      <c r="F264">
        <v>5</v>
      </c>
      <c r="G264">
        <v>168</v>
      </c>
      <c r="K264" s="32" t="s">
        <v>44</v>
      </c>
      <c r="L264" s="4">
        <v>3</v>
      </c>
      <c r="M264" s="4">
        <v>356700</v>
      </c>
      <c r="O264" t="str">
        <v>CUST0049</v>
      </c>
      <c r="P264">
        <v>3</v>
      </c>
      <c r="Q264">
        <v>356700</v>
      </c>
    </row>
    <row r="265" spans="1:17" x14ac:dyDescent="0.3">
      <c r="A265" s="32" t="s">
        <v>280</v>
      </c>
      <c r="B265" s="4">
        <v>5</v>
      </c>
      <c r="C265" s="4">
        <v>12</v>
      </c>
      <c r="E265" t="str">
        <v>CUST0009</v>
      </c>
      <c r="F265">
        <v>5</v>
      </c>
      <c r="G265">
        <v>12</v>
      </c>
      <c r="K265" s="32" t="s">
        <v>153</v>
      </c>
      <c r="L265" s="4">
        <v>5</v>
      </c>
      <c r="M265" s="4">
        <v>354240</v>
      </c>
      <c r="O265" t="str">
        <v>CUST0093</v>
      </c>
      <c r="P265">
        <v>5</v>
      </c>
      <c r="Q265">
        <v>354240</v>
      </c>
    </row>
    <row r="266" spans="1:17" x14ac:dyDescent="0.3">
      <c r="A266" s="32" t="s">
        <v>96</v>
      </c>
      <c r="B266" s="4">
        <v>5</v>
      </c>
      <c r="C266" s="4">
        <v>61</v>
      </c>
      <c r="E266" t="str">
        <v>CUST0179</v>
      </c>
      <c r="F266">
        <v>5</v>
      </c>
      <c r="G266">
        <v>61</v>
      </c>
      <c r="K266" s="32" t="s">
        <v>252</v>
      </c>
      <c r="L266" s="4">
        <v>5</v>
      </c>
      <c r="M266" s="4">
        <v>339480</v>
      </c>
      <c r="O266" t="str">
        <v>CUST0005</v>
      </c>
      <c r="P266">
        <v>5</v>
      </c>
      <c r="Q266">
        <v>339480</v>
      </c>
    </row>
    <row r="267" spans="1:17" x14ac:dyDescent="0.3">
      <c r="A267" s="32" t="s">
        <v>120</v>
      </c>
      <c r="B267" s="4">
        <v>5</v>
      </c>
      <c r="C267" s="4">
        <v>118</v>
      </c>
      <c r="E267" t="str">
        <v>CUST0289</v>
      </c>
      <c r="F267">
        <v>5</v>
      </c>
      <c r="G267">
        <v>118</v>
      </c>
      <c r="K267" s="32" t="s">
        <v>276</v>
      </c>
      <c r="L267" s="4">
        <v>7</v>
      </c>
      <c r="M267" s="4">
        <v>339480</v>
      </c>
      <c r="O267" t="str">
        <v>CUST0172</v>
      </c>
      <c r="P267">
        <v>7</v>
      </c>
      <c r="Q267">
        <v>339480</v>
      </c>
    </row>
    <row r="268" spans="1:17" x14ac:dyDescent="0.3">
      <c r="A268" s="32" t="s">
        <v>275</v>
      </c>
      <c r="B268" s="4">
        <v>5</v>
      </c>
      <c r="C268" s="4">
        <v>24</v>
      </c>
      <c r="E268" t="str">
        <v>CUST0249</v>
      </c>
      <c r="F268">
        <v>5</v>
      </c>
      <c r="G268">
        <v>24</v>
      </c>
      <c r="K268" s="32" t="s">
        <v>210</v>
      </c>
      <c r="L268" s="4">
        <v>6</v>
      </c>
      <c r="M268" s="4">
        <v>334560</v>
      </c>
      <c r="O268" t="str">
        <v>CUST0238</v>
      </c>
      <c r="P268">
        <v>6</v>
      </c>
      <c r="Q268">
        <v>334560</v>
      </c>
    </row>
    <row r="269" spans="1:17" x14ac:dyDescent="0.3">
      <c r="A269" s="32" t="s">
        <v>215</v>
      </c>
      <c r="B269" s="4">
        <v>5</v>
      </c>
      <c r="C269" s="4">
        <v>134</v>
      </c>
      <c r="E269" t="str">
        <v>CUST0291</v>
      </c>
      <c r="F269">
        <v>5</v>
      </c>
      <c r="G269">
        <v>134</v>
      </c>
      <c r="K269" s="32" t="s">
        <v>269</v>
      </c>
      <c r="L269" s="4">
        <v>7</v>
      </c>
      <c r="M269" s="4">
        <v>330870</v>
      </c>
      <c r="O269" t="str">
        <v>CUST0235</v>
      </c>
      <c r="P269">
        <v>7</v>
      </c>
      <c r="Q269">
        <v>330870</v>
      </c>
    </row>
    <row r="270" spans="1:17" x14ac:dyDescent="0.3">
      <c r="A270" s="32" t="s">
        <v>193</v>
      </c>
      <c r="B270" s="4">
        <v>5</v>
      </c>
      <c r="C270" s="4">
        <v>38</v>
      </c>
      <c r="E270" t="str">
        <v>CUST0250</v>
      </c>
      <c r="F270">
        <v>5</v>
      </c>
      <c r="G270">
        <v>38</v>
      </c>
      <c r="K270" s="32" t="s">
        <v>188</v>
      </c>
      <c r="L270" s="4">
        <v>5</v>
      </c>
      <c r="M270" s="4">
        <v>307500</v>
      </c>
      <c r="O270" t="str">
        <v>CUST0263</v>
      </c>
      <c r="P270">
        <v>5</v>
      </c>
      <c r="Q270">
        <v>307500</v>
      </c>
    </row>
    <row r="271" spans="1:17" x14ac:dyDescent="0.3">
      <c r="A271" s="32" t="s">
        <v>252</v>
      </c>
      <c r="B271" s="4">
        <v>5</v>
      </c>
      <c r="C271" s="4">
        <v>106</v>
      </c>
      <c r="E271" t="str">
        <v>CUST0005</v>
      </c>
      <c r="F271">
        <v>5</v>
      </c>
      <c r="G271">
        <v>106</v>
      </c>
      <c r="K271" s="32" t="s">
        <v>300</v>
      </c>
      <c r="L271" s="4">
        <v>7</v>
      </c>
      <c r="M271" s="4">
        <v>301350</v>
      </c>
      <c r="O271" t="str">
        <v>CUST0061</v>
      </c>
      <c r="P271">
        <v>7</v>
      </c>
      <c r="Q271">
        <v>301350</v>
      </c>
    </row>
    <row r="272" spans="1:17" x14ac:dyDescent="0.3">
      <c r="A272" s="32" t="s">
        <v>315</v>
      </c>
      <c r="B272" s="4">
        <v>5</v>
      </c>
      <c r="C272" s="4">
        <v>203</v>
      </c>
      <c r="E272" t="str">
        <v>CUST0014</v>
      </c>
      <c r="F272">
        <v>5</v>
      </c>
      <c r="G272">
        <v>203</v>
      </c>
      <c r="K272" s="32" t="s">
        <v>161</v>
      </c>
      <c r="L272" s="4">
        <v>8</v>
      </c>
      <c r="M272" s="4">
        <v>300120</v>
      </c>
      <c r="O272" t="str">
        <v>CUST0076</v>
      </c>
      <c r="P272">
        <v>8</v>
      </c>
      <c r="Q272">
        <v>300120</v>
      </c>
    </row>
    <row r="273" spans="1:17" x14ac:dyDescent="0.3">
      <c r="A273" s="32" t="s">
        <v>267</v>
      </c>
      <c r="B273" s="4">
        <v>5</v>
      </c>
      <c r="C273" s="4">
        <v>7</v>
      </c>
      <c r="E273" t="str">
        <v>CUST0248</v>
      </c>
      <c r="F273">
        <v>5</v>
      </c>
      <c r="G273">
        <v>7</v>
      </c>
      <c r="K273" s="32" t="s">
        <v>145</v>
      </c>
      <c r="L273" s="4">
        <v>8</v>
      </c>
      <c r="M273" s="4">
        <v>300120</v>
      </c>
      <c r="O273" t="str">
        <v>CUST0140</v>
      </c>
      <c r="P273">
        <v>8</v>
      </c>
      <c r="Q273">
        <v>300120</v>
      </c>
    </row>
    <row r="274" spans="1:17" x14ac:dyDescent="0.3">
      <c r="A274" s="32" t="s">
        <v>250</v>
      </c>
      <c r="B274" s="4">
        <v>4</v>
      </c>
      <c r="C274" s="4">
        <v>16</v>
      </c>
      <c r="E274" t="str">
        <v>CUST0164</v>
      </c>
      <c r="F274">
        <v>4</v>
      </c>
      <c r="G274">
        <v>16</v>
      </c>
      <c r="K274" s="32" t="s">
        <v>278</v>
      </c>
      <c r="L274" s="4">
        <v>6</v>
      </c>
      <c r="M274" s="4">
        <v>295200</v>
      </c>
      <c r="O274" t="str">
        <v>CUST0260</v>
      </c>
      <c r="P274">
        <v>6</v>
      </c>
      <c r="Q274">
        <v>295200</v>
      </c>
    </row>
    <row r="275" spans="1:17" x14ac:dyDescent="0.3">
      <c r="A275" s="32" t="s">
        <v>287</v>
      </c>
      <c r="B275" s="4">
        <v>4</v>
      </c>
      <c r="C275" s="4">
        <v>48</v>
      </c>
      <c r="E275" t="str">
        <v>CUST0030</v>
      </c>
      <c r="F275">
        <v>4</v>
      </c>
      <c r="G275">
        <v>48</v>
      </c>
      <c r="K275" s="32" t="s">
        <v>52</v>
      </c>
      <c r="L275" s="4">
        <v>6</v>
      </c>
      <c r="M275" s="4">
        <v>292740</v>
      </c>
      <c r="O275" t="str">
        <v>CUST0154</v>
      </c>
      <c r="P275">
        <v>6</v>
      </c>
      <c r="Q275">
        <v>292740</v>
      </c>
    </row>
    <row r="276" spans="1:17" x14ac:dyDescent="0.3">
      <c r="A276" s="32" t="s">
        <v>156</v>
      </c>
      <c r="B276" s="4">
        <v>4</v>
      </c>
      <c r="C276" s="4">
        <v>33</v>
      </c>
      <c r="E276" t="str">
        <v>CUST0056</v>
      </c>
      <c r="F276">
        <v>4</v>
      </c>
      <c r="G276">
        <v>33</v>
      </c>
      <c r="K276" s="32" t="s">
        <v>307</v>
      </c>
      <c r="L276" s="4">
        <v>5</v>
      </c>
      <c r="M276" s="4">
        <v>282900</v>
      </c>
      <c r="O276" t="str">
        <v>CUST0233</v>
      </c>
      <c r="P276">
        <v>5</v>
      </c>
      <c r="Q276">
        <v>282900</v>
      </c>
    </row>
    <row r="277" spans="1:17" x14ac:dyDescent="0.3">
      <c r="A277" s="32" t="s">
        <v>100</v>
      </c>
      <c r="B277" s="4">
        <v>4</v>
      </c>
      <c r="C277" s="4">
        <v>69</v>
      </c>
      <c r="E277" t="str">
        <v>CUST0170</v>
      </c>
      <c r="F277">
        <v>4</v>
      </c>
      <c r="G277">
        <v>69</v>
      </c>
      <c r="K277" s="32" t="s">
        <v>286</v>
      </c>
      <c r="L277" s="4">
        <v>3</v>
      </c>
      <c r="M277" s="4">
        <v>277980</v>
      </c>
      <c r="O277" t="str">
        <v>CUST0213</v>
      </c>
      <c r="P277">
        <v>3</v>
      </c>
      <c r="Q277">
        <v>277980</v>
      </c>
    </row>
    <row r="278" spans="1:17" x14ac:dyDescent="0.3">
      <c r="A278" s="32" t="s">
        <v>118</v>
      </c>
      <c r="B278" s="4">
        <v>4</v>
      </c>
      <c r="C278" s="4">
        <v>235</v>
      </c>
      <c r="E278" t="str">
        <v>CUST0223</v>
      </c>
      <c r="F278">
        <v>4</v>
      </c>
      <c r="G278">
        <v>235</v>
      </c>
      <c r="K278" s="32" t="s">
        <v>39</v>
      </c>
      <c r="L278" s="4">
        <v>2</v>
      </c>
      <c r="M278" s="4">
        <v>270600</v>
      </c>
      <c r="O278" t="str">
        <v>CUST0143</v>
      </c>
      <c r="P278">
        <v>2</v>
      </c>
      <c r="Q278">
        <v>270600</v>
      </c>
    </row>
    <row r="279" spans="1:17" x14ac:dyDescent="0.3">
      <c r="A279" s="32" t="s">
        <v>298</v>
      </c>
      <c r="B279" s="4">
        <v>4</v>
      </c>
      <c r="C279" s="4">
        <v>279</v>
      </c>
      <c r="E279" t="str">
        <v>CUST0034</v>
      </c>
      <c r="F279">
        <v>4</v>
      </c>
      <c r="G279">
        <v>279</v>
      </c>
      <c r="K279" s="32" t="s">
        <v>105</v>
      </c>
      <c r="L279" s="4">
        <v>3</v>
      </c>
      <c r="M279" s="4">
        <v>270600</v>
      </c>
      <c r="O279" t="str">
        <v>CUST0286</v>
      </c>
      <c r="P279">
        <v>3</v>
      </c>
      <c r="Q279">
        <v>270600</v>
      </c>
    </row>
    <row r="280" spans="1:17" x14ac:dyDescent="0.3">
      <c r="A280" s="32" t="s">
        <v>308</v>
      </c>
      <c r="B280" s="4">
        <v>4</v>
      </c>
      <c r="C280" s="4">
        <v>188</v>
      </c>
      <c r="E280" t="str">
        <v>CUST0234</v>
      </c>
      <c r="F280">
        <v>4</v>
      </c>
      <c r="G280">
        <v>188</v>
      </c>
      <c r="K280" s="32" t="s">
        <v>99</v>
      </c>
      <c r="L280" s="4">
        <v>3</v>
      </c>
      <c r="M280" s="4">
        <v>270600</v>
      </c>
      <c r="O280" t="str">
        <v>CUST0181</v>
      </c>
      <c r="P280">
        <v>3</v>
      </c>
      <c r="Q280">
        <v>270600</v>
      </c>
    </row>
    <row r="281" spans="1:17" x14ac:dyDescent="0.3">
      <c r="A281" s="32" t="s">
        <v>107</v>
      </c>
      <c r="B281" s="4">
        <v>4</v>
      </c>
      <c r="C281" s="4">
        <v>262</v>
      </c>
      <c r="E281" t="str">
        <v>CUST0236</v>
      </c>
      <c r="F281">
        <v>4</v>
      </c>
      <c r="G281">
        <v>262</v>
      </c>
      <c r="K281" s="32" t="s">
        <v>207</v>
      </c>
      <c r="L281" s="4">
        <v>5</v>
      </c>
      <c r="M281" s="4">
        <v>264450</v>
      </c>
      <c r="O281" t="str">
        <v>CUST0278</v>
      </c>
      <c r="P281">
        <v>5</v>
      </c>
      <c r="Q281">
        <v>264450</v>
      </c>
    </row>
    <row r="282" spans="1:17" x14ac:dyDescent="0.3">
      <c r="A282" s="32" t="s">
        <v>28</v>
      </c>
      <c r="B282" s="4">
        <v>4</v>
      </c>
      <c r="C282" s="4">
        <v>142</v>
      </c>
      <c r="E282" t="str">
        <v>CUST0262</v>
      </c>
      <c r="F282">
        <v>4</v>
      </c>
      <c r="G282">
        <v>142</v>
      </c>
      <c r="K282" s="32" t="s">
        <v>258</v>
      </c>
      <c r="L282" s="4">
        <v>5</v>
      </c>
      <c r="M282" s="4">
        <v>246000</v>
      </c>
      <c r="O282" t="str">
        <v>CUST0136</v>
      </c>
      <c r="P282">
        <v>5</v>
      </c>
      <c r="Q282">
        <v>246000</v>
      </c>
    </row>
    <row r="283" spans="1:17" x14ac:dyDescent="0.3">
      <c r="A283" s="32" t="s">
        <v>314</v>
      </c>
      <c r="B283" s="4">
        <v>4</v>
      </c>
      <c r="C283" s="4">
        <v>139</v>
      </c>
      <c r="E283" t="str">
        <v>CUST0209</v>
      </c>
      <c r="F283">
        <v>4</v>
      </c>
      <c r="G283">
        <v>139</v>
      </c>
      <c r="K283" s="32" t="s">
        <v>25</v>
      </c>
      <c r="L283" s="4">
        <v>6</v>
      </c>
      <c r="M283" s="4">
        <v>238620</v>
      </c>
      <c r="O283" t="str">
        <v>CUST0147</v>
      </c>
      <c r="P283">
        <v>6</v>
      </c>
      <c r="Q283">
        <v>238620</v>
      </c>
    </row>
    <row r="284" spans="1:17" x14ac:dyDescent="0.3">
      <c r="A284" s="32" t="s">
        <v>266</v>
      </c>
      <c r="B284" s="4">
        <v>4</v>
      </c>
      <c r="C284" s="4">
        <v>262</v>
      </c>
      <c r="E284" t="str">
        <v>CUST0246</v>
      </c>
      <c r="F284">
        <v>4</v>
      </c>
      <c r="G284">
        <v>262</v>
      </c>
      <c r="K284" s="32" t="s">
        <v>78</v>
      </c>
      <c r="L284" s="4">
        <v>3</v>
      </c>
      <c r="M284" s="4">
        <v>227550</v>
      </c>
      <c r="O284" t="str">
        <v>CUST0057</v>
      </c>
      <c r="P284">
        <v>3</v>
      </c>
      <c r="Q284">
        <v>227550</v>
      </c>
    </row>
    <row r="285" spans="1:17" x14ac:dyDescent="0.3">
      <c r="A285" s="32" t="s">
        <v>113</v>
      </c>
      <c r="B285" s="4">
        <v>4</v>
      </c>
      <c r="C285" s="4">
        <v>94</v>
      </c>
      <c r="E285" t="str">
        <v>CUST0192</v>
      </c>
      <c r="F285">
        <v>4</v>
      </c>
      <c r="G285">
        <v>94</v>
      </c>
      <c r="K285" s="32" t="s">
        <v>262</v>
      </c>
      <c r="L285" s="4">
        <v>3</v>
      </c>
      <c r="M285" s="4">
        <v>226320</v>
      </c>
      <c r="O285" t="str">
        <v>CUST0215</v>
      </c>
      <c r="P285">
        <v>3</v>
      </c>
      <c r="Q285">
        <v>226320</v>
      </c>
    </row>
    <row r="286" spans="1:17" x14ac:dyDescent="0.3">
      <c r="A286" s="32" t="s">
        <v>204</v>
      </c>
      <c r="B286" s="4">
        <v>4</v>
      </c>
      <c r="C286" s="4">
        <v>142</v>
      </c>
      <c r="E286" t="str">
        <v>CUST0300</v>
      </c>
      <c r="F286">
        <v>4</v>
      </c>
      <c r="G286">
        <v>142</v>
      </c>
      <c r="K286" s="32" t="s">
        <v>317</v>
      </c>
      <c r="L286" s="4">
        <v>3</v>
      </c>
      <c r="M286" s="4">
        <v>222630</v>
      </c>
      <c r="O286" t="str">
        <v>CUST0217</v>
      </c>
      <c r="P286">
        <v>3</v>
      </c>
      <c r="Q286">
        <v>222630</v>
      </c>
    </row>
    <row r="287" spans="1:17" x14ac:dyDescent="0.3">
      <c r="A287" s="32" t="s">
        <v>122</v>
      </c>
      <c r="B287" s="4">
        <v>4</v>
      </c>
      <c r="C287" s="4">
        <v>97</v>
      </c>
      <c r="E287" t="str">
        <v>CUST0015</v>
      </c>
      <c r="F287">
        <v>4</v>
      </c>
      <c r="G287">
        <v>97</v>
      </c>
      <c r="K287" s="32" t="s">
        <v>309</v>
      </c>
      <c r="L287" s="4">
        <v>5</v>
      </c>
      <c r="M287" s="4">
        <v>210330</v>
      </c>
      <c r="O287" t="str">
        <v>CUST0265</v>
      </c>
      <c r="P287">
        <v>5</v>
      </c>
      <c r="Q287">
        <v>210330</v>
      </c>
    </row>
    <row r="288" spans="1:17" x14ac:dyDescent="0.3">
      <c r="A288" s="32" t="s">
        <v>159</v>
      </c>
      <c r="B288" s="4">
        <v>4</v>
      </c>
      <c r="C288" s="4">
        <v>112</v>
      </c>
      <c r="E288" t="str">
        <v>CUST0075</v>
      </c>
      <c r="F288">
        <v>4</v>
      </c>
      <c r="G288">
        <v>112</v>
      </c>
      <c r="K288" s="32" t="s">
        <v>208</v>
      </c>
      <c r="L288" s="4">
        <v>6</v>
      </c>
      <c r="M288" s="4">
        <v>207870</v>
      </c>
      <c r="O288" t="str">
        <v>CUST0229</v>
      </c>
      <c r="P288">
        <v>6</v>
      </c>
      <c r="Q288">
        <v>207870</v>
      </c>
    </row>
    <row r="289" spans="1:17" x14ac:dyDescent="0.3">
      <c r="A289" s="32" t="s">
        <v>79</v>
      </c>
      <c r="B289" s="4">
        <v>4</v>
      </c>
      <c r="C289" s="4">
        <v>21</v>
      </c>
      <c r="E289" t="str">
        <v>CUST0207</v>
      </c>
      <c r="F289">
        <v>4</v>
      </c>
      <c r="G289">
        <v>21</v>
      </c>
      <c r="K289" s="32" t="s">
        <v>196</v>
      </c>
      <c r="L289" s="4">
        <v>3</v>
      </c>
      <c r="M289" s="4">
        <v>195570</v>
      </c>
      <c r="O289" t="str">
        <v>CUST0115</v>
      </c>
      <c r="P289">
        <v>3</v>
      </c>
      <c r="Q289">
        <v>195570</v>
      </c>
    </row>
    <row r="290" spans="1:17" x14ac:dyDescent="0.3">
      <c r="A290" s="32" t="s">
        <v>226</v>
      </c>
      <c r="B290" s="4">
        <v>4</v>
      </c>
      <c r="C290" s="4">
        <v>205</v>
      </c>
      <c r="E290" t="str">
        <v>CUST0097</v>
      </c>
      <c r="F290">
        <v>4</v>
      </c>
      <c r="G290">
        <v>205</v>
      </c>
      <c r="K290" s="32" t="s">
        <v>301</v>
      </c>
      <c r="L290" s="4">
        <v>7</v>
      </c>
      <c r="M290" s="4">
        <v>190650</v>
      </c>
      <c r="O290" t="str">
        <v>CUST0104</v>
      </c>
      <c r="P290">
        <v>7</v>
      </c>
      <c r="Q290">
        <v>190650</v>
      </c>
    </row>
    <row r="291" spans="1:17" x14ac:dyDescent="0.3">
      <c r="A291" s="32" t="s">
        <v>283</v>
      </c>
      <c r="B291" s="4">
        <v>4</v>
      </c>
      <c r="C291" s="4">
        <v>137</v>
      </c>
      <c r="E291" t="str">
        <v>CUST0021</v>
      </c>
      <c r="F291">
        <v>4</v>
      </c>
      <c r="G291">
        <v>137</v>
      </c>
      <c r="K291" s="32" t="s">
        <v>165</v>
      </c>
      <c r="L291" s="4">
        <v>3</v>
      </c>
      <c r="M291" s="4">
        <v>184500</v>
      </c>
      <c r="O291" t="str">
        <v>CUST0072</v>
      </c>
      <c r="P291">
        <v>3</v>
      </c>
      <c r="Q291">
        <v>184500</v>
      </c>
    </row>
    <row r="292" spans="1:17" x14ac:dyDescent="0.3">
      <c r="A292" s="32" t="s">
        <v>126</v>
      </c>
      <c r="B292" s="4">
        <v>3</v>
      </c>
      <c r="C292" s="4">
        <v>175</v>
      </c>
      <c r="E292" t="str">
        <v>CUST0297</v>
      </c>
      <c r="F292">
        <v>3</v>
      </c>
      <c r="G292">
        <v>175</v>
      </c>
      <c r="K292" s="32" t="s">
        <v>203</v>
      </c>
      <c r="L292" s="4">
        <v>2</v>
      </c>
      <c r="M292" s="4">
        <v>172200</v>
      </c>
      <c r="O292" t="str">
        <v>CUST0074</v>
      </c>
      <c r="P292">
        <v>2</v>
      </c>
      <c r="Q292">
        <v>172200</v>
      </c>
    </row>
    <row r="293" spans="1:17" x14ac:dyDescent="0.3">
      <c r="A293" s="32" t="s">
        <v>196</v>
      </c>
      <c r="B293" s="4">
        <v>3</v>
      </c>
      <c r="C293" s="4">
        <v>529</v>
      </c>
      <c r="E293" t="str">
        <v>CUST0115</v>
      </c>
      <c r="F293">
        <v>3</v>
      </c>
      <c r="G293">
        <v>529</v>
      </c>
      <c r="K293" s="32" t="s">
        <v>62</v>
      </c>
      <c r="L293" s="4">
        <v>5</v>
      </c>
      <c r="M293" s="4">
        <v>166050</v>
      </c>
      <c r="O293" t="str">
        <v>CUST0205</v>
      </c>
      <c r="P293">
        <v>5</v>
      </c>
      <c r="Q293">
        <v>166050</v>
      </c>
    </row>
    <row r="294" spans="1:17" x14ac:dyDescent="0.3">
      <c r="A294" s="32" t="s">
        <v>146</v>
      </c>
      <c r="B294" s="4">
        <v>3</v>
      </c>
      <c r="C294" s="4">
        <v>354</v>
      </c>
      <c r="E294" t="str">
        <v>CUST0089</v>
      </c>
      <c r="F294">
        <v>3</v>
      </c>
      <c r="G294">
        <v>354</v>
      </c>
      <c r="K294" s="32" t="s">
        <v>126</v>
      </c>
      <c r="L294" s="4">
        <v>3</v>
      </c>
      <c r="M294" s="4">
        <v>166050</v>
      </c>
      <c r="O294" t="str">
        <v>CUST0297</v>
      </c>
      <c r="P294">
        <v>3</v>
      </c>
      <c r="Q294">
        <v>166050</v>
      </c>
    </row>
    <row r="295" spans="1:17" x14ac:dyDescent="0.3">
      <c r="A295" s="32" t="s">
        <v>220</v>
      </c>
      <c r="B295" s="4">
        <v>3</v>
      </c>
      <c r="C295" s="4">
        <v>242</v>
      </c>
      <c r="E295" t="str">
        <v>CUST0121</v>
      </c>
      <c r="F295">
        <v>3</v>
      </c>
      <c r="G295">
        <v>242</v>
      </c>
      <c r="K295" s="32" t="s">
        <v>220</v>
      </c>
      <c r="L295" s="4">
        <v>3</v>
      </c>
      <c r="M295" s="4">
        <v>166050</v>
      </c>
      <c r="O295" t="str">
        <v>CUST0121</v>
      </c>
      <c r="P295">
        <v>3</v>
      </c>
      <c r="Q295">
        <v>166050</v>
      </c>
    </row>
    <row r="296" spans="1:17" x14ac:dyDescent="0.3">
      <c r="A296" s="32" t="s">
        <v>317</v>
      </c>
      <c r="B296" s="4">
        <v>3</v>
      </c>
      <c r="C296" s="4">
        <v>193</v>
      </c>
      <c r="E296" t="str">
        <v>CUST0217</v>
      </c>
      <c r="F296">
        <v>3</v>
      </c>
      <c r="G296">
        <v>193</v>
      </c>
      <c r="K296" s="32" t="s">
        <v>316</v>
      </c>
      <c r="L296" s="4">
        <v>5</v>
      </c>
      <c r="M296" s="4">
        <v>161130</v>
      </c>
      <c r="O296" t="str">
        <v>CUST0257</v>
      </c>
      <c r="P296">
        <v>5</v>
      </c>
      <c r="Q296">
        <v>161130</v>
      </c>
    </row>
    <row r="297" spans="1:17" x14ac:dyDescent="0.3">
      <c r="A297" s="32" t="s">
        <v>262</v>
      </c>
      <c r="B297" s="4">
        <v>3</v>
      </c>
      <c r="C297" s="4">
        <v>33</v>
      </c>
      <c r="E297" t="str">
        <v>CUST0215</v>
      </c>
      <c r="F297">
        <v>3</v>
      </c>
      <c r="G297">
        <v>33</v>
      </c>
      <c r="K297" s="32" t="s">
        <v>146</v>
      </c>
      <c r="L297" s="4">
        <v>3</v>
      </c>
      <c r="M297" s="4">
        <v>158670</v>
      </c>
      <c r="O297" t="str">
        <v>CUST0089</v>
      </c>
      <c r="P297">
        <v>3</v>
      </c>
      <c r="Q297">
        <v>158670</v>
      </c>
    </row>
    <row r="298" spans="1:17" x14ac:dyDescent="0.3">
      <c r="A298" s="32" t="s">
        <v>99</v>
      </c>
      <c r="B298" s="4">
        <v>3</v>
      </c>
      <c r="C298" s="4">
        <v>112</v>
      </c>
      <c r="E298" t="str">
        <v>CUST0181</v>
      </c>
      <c r="F298">
        <v>3</v>
      </c>
      <c r="G298">
        <v>112</v>
      </c>
      <c r="K298" s="32" t="s">
        <v>28</v>
      </c>
      <c r="L298" s="4">
        <v>4</v>
      </c>
      <c r="M298" s="4">
        <v>119310</v>
      </c>
      <c r="O298" t="str">
        <v>CUST0262</v>
      </c>
      <c r="P298">
        <v>4</v>
      </c>
      <c r="Q298">
        <v>119310</v>
      </c>
    </row>
    <row r="299" spans="1:17" x14ac:dyDescent="0.3">
      <c r="A299" s="32" t="s">
        <v>44</v>
      </c>
      <c r="B299" s="4">
        <v>3</v>
      </c>
      <c r="C299" s="4">
        <v>353</v>
      </c>
      <c r="E299" t="str">
        <v>CUST0049</v>
      </c>
      <c r="F299">
        <v>3</v>
      </c>
      <c r="G299">
        <v>353</v>
      </c>
      <c r="K299" s="32" t="s">
        <v>315</v>
      </c>
      <c r="L299" s="4">
        <v>5</v>
      </c>
      <c r="M299" s="4">
        <v>116850</v>
      </c>
      <c r="O299" t="str">
        <v>CUST0014</v>
      </c>
      <c r="P299">
        <v>5</v>
      </c>
      <c r="Q299">
        <v>116850</v>
      </c>
    </row>
    <row r="300" spans="1:17" x14ac:dyDescent="0.3">
      <c r="A300" s="32" t="s">
        <v>127</v>
      </c>
      <c r="B300" s="4">
        <v>3</v>
      </c>
      <c r="C300" s="4">
        <v>72</v>
      </c>
      <c r="E300" t="str">
        <v>CUST0267</v>
      </c>
      <c r="F300">
        <v>3</v>
      </c>
      <c r="G300">
        <v>72</v>
      </c>
      <c r="K300" s="32" t="s">
        <v>283</v>
      </c>
      <c r="L300" s="4">
        <v>4</v>
      </c>
      <c r="M300" s="4">
        <v>111930</v>
      </c>
      <c r="O300" t="str">
        <v>CUST0021</v>
      </c>
      <c r="P300">
        <v>4</v>
      </c>
      <c r="Q300">
        <v>111930</v>
      </c>
    </row>
    <row r="301" spans="1:17" x14ac:dyDescent="0.3">
      <c r="A301" s="32" t="s">
        <v>292</v>
      </c>
      <c r="B301" s="4">
        <v>3</v>
      </c>
      <c r="C301" s="4">
        <v>280</v>
      </c>
      <c r="E301" t="str">
        <v>CUST0117</v>
      </c>
      <c r="F301">
        <v>3</v>
      </c>
      <c r="G301">
        <v>280</v>
      </c>
      <c r="K301" s="32" t="s">
        <v>288</v>
      </c>
      <c r="L301" s="4">
        <v>1</v>
      </c>
      <c r="M301" s="4">
        <v>110700</v>
      </c>
      <c r="O301" t="str">
        <v>CUST0111</v>
      </c>
      <c r="P301">
        <v>1</v>
      </c>
      <c r="Q301">
        <v>110700</v>
      </c>
    </row>
    <row r="302" spans="1:17" x14ac:dyDescent="0.3">
      <c r="A302" s="32" t="s">
        <v>165</v>
      </c>
      <c r="B302" s="4">
        <v>3</v>
      </c>
      <c r="C302" s="4">
        <v>304</v>
      </c>
      <c r="E302" t="str">
        <v>CUST0072</v>
      </c>
      <c r="F302">
        <v>3</v>
      </c>
      <c r="G302">
        <v>304</v>
      </c>
      <c r="K302" s="32" t="s">
        <v>218</v>
      </c>
      <c r="L302" s="4">
        <v>1</v>
      </c>
      <c r="M302" s="4">
        <v>110700</v>
      </c>
      <c r="O302" t="str">
        <v>CUST0102</v>
      </c>
      <c r="P302">
        <v>1</v>
      </c>
      <c r="Q302">
        <v>110700</v>
      </c>
    </row>
    <row r="303" spans="1:17" x14ac:dyDescent="0.3">
      <c r="A303" s="32" t="s">
        <v>78</v>
      </c>
      <c r="B303" s="4">
        <v>3</v>
      </c>
      <c r="C303" s="4">
        <v>44</v>
      </c>
      <c r="E303" t="str">
        <v>CUST0057</v>
      </c>
      <c r="F303">
        <v>3</v>
      </c>
      <c r="G303">
        <v>44</v>
      </c>
      <c r="K303" s="32" t="s">
        <v>100</v>
      </c>
      <c r="L303" s="4">
        <v>4</v>
      </c>
      <c r="M303" s="4">
        <v>104550</v>
      </c>
      <c r="O303" t="str">
        <v>CUST0170</v>
      </c>
      <c r="P303">
        <v>4</v>
      </c>
      <c r="Q303">
        <v>104550</v>
      </c>
    </row>
    <row r="304" spans="1:17" x14ac:dyDescent="0.3">
      <c r="A304" s="32" t="s">
        <v>289</v>
      </c>
      <c r="B304" s="4">
        <v>3</v>
      </c>
      <c r="C304" s="4">
        <v>48</v>
      </c>
      <c r="E304" t="str">
        <v>CUST0035</v>
      </c>
      <c r="F304">
        <v>3</v>
      </c>
      <c r="G304">
        <v>48</v>
      </c>
      <c r="K304" s="32" t="s">
        <v>310</v>
      </c>
      <c r="L304" s="4">
        <v>1</v>
      </c>
      <c r="M304" s="4">
        <v>73800</v>
      </c>
      <c r="O304" t="str">
        <v>CUST0214</v>
      </c>
      <c r="P304">
        <v>1</v>
      </c>
      <c r="Q304">
        <v>73800</v>
      </c>
    </row>
    <row r="305" spans="1:17" x14ac:dyDescent="0.3">
      <c r="A305" s="32" t="s">
        <v>286</v>
      </c>
      <c r="B305" s="4">
        <v>3</v>
      </c>
      <c r="C305" s="4">
        <v>311</v>
      </c>
      <c r="E305" t="str">
        <v>CUST0213</v>
      </c>
      <c r="F305">
        <v>3</v>
      </c>
      <c r="G305">
        <v>311</v>
      </c>
      <c r="K305" s="32" t="s">
        <v>19</v>
      </c>
      <c r="L305" s="4">
        <v>2</v>
      </c>
      <c r="M305" s="4">
        <v>73800</v>
      </c>
      <c r="O305" t="str">
        <v>CUST0169</v>
      </c>
      <c r="P305">
        <v>2</v>
      </c>
      <c r="Q305">
        <v>73800</v>
      </c>
    </row>
    <row r="306" spans="1:17" x14ac:dyDescent="0.3">
      <c r="A306" s="32" t="s">
        <v>234</v>
      </c>
      <c r="B306" s="4">
        <v>3</v>
      </c>
      <c r="C306" s="4">
        <v>83</v>
      </c>
      <c r="E306" t="str">
        <v>CUST0187</v>
      </c>
      <c r="F306">
        <v>3</v>
      </c>
      <c r="G306">
        <v>83</v>
      </c>
      <c r="K306" s="32" t="s">
        <v>289</v>
      </c>
      <c r="L306" s="4">
        <v>3</v>
      </c>
      <c r="M306" s="4">
        <v>45510</v>
      </c>
      <c r="O306" t="str">
        <v>CUST0035</v>
      </c>
      <c r="P306">
        <v>3</v>
      </c>
      <c r="Q306">
        <v>45510</v>
      </c>
    </row>
    <row r="307" spans="1:17" x14ac:dyDescent="0.3">
      <c r="A307" s="32" t="s">
        <v>105</v>
      </c>
      <c r="B307" s="4">
        <v>3</v>
      </c>
      <c r="C307" s="4">
        <v>232</v>
      </c>
      <c r="E307" t="str">
        <v>CUST0286</v>
      </c>
      <c r="F307">
        <v>3</v>
      </c>
      <c r="G307">
        <v>232</v>
      </c>
      <c r="K307" s="32" t="s">
        <v>332</v>
      </c>
      <c r="L307" s="4">
        <v>1956</v>
      </c>
      <c r="M307" s="4">
        <v>318084150</v>
      </c>
    </row>
    <row r="308" spans="1:17" x14ac:dyDescent="0.3">
      <c r="A308" s="32" t="s">
        <v>132</v>
      </c>
      <c r="B308" s="4">
        <v>3</v>
      </c>
      <c r="C308" s="4">
        <v>17</v>
      </c>
      <c r="E308" t="str">
        <v>CUST0146</v>
      </c>
      <c r="F308">
        <v>3</v>
      </c>
      <c r="G308">
        <v>17</v>
      </c>
    </row>
    <row r="309" spans="1:17" x14ac:dyDescent="0.3">
      <c r="A309" s="32" t="s">
        <v>243</v>
      </c>
      <c r="B309" s="4">
        <v>3</v>
      </c>
      <c r="C309" s="4">
        <v>355</v>
      </c>
      <c r="E309" t="str">
        <v>CUST0123</v>
      </c>
      <c r="F309">
        <v>3</v>
      </c>
      <c r="G309">
        <v>355</v>
      </c>
    </row>
    <row r="310" spans="1:17" x14ac:dyDescent="0.3">
      <c r="A310" s="32" t="s">
        <v>285</v>
      </c>
      <c r="B310" s="4">
        <v>2</v>
      </c>
      <c r="C310" s="4">
        <v>339</v>
      </c>
      <c r="E310" t="str">
        <v>CUST0171</v>
      </c>
      <c r="F310">
        <v>2</v>
      </c>
      <c r="G310">
        <v>339</v>
      </c>
    </row>
    <row r="311" spans="1:17" x14ac:dyDescent="0.3">
      <c r="A311" s="32" t="s">
        <v>39</v>
      </c>
      <c r="B311" s="4">
        <v>2</v>
      </c>
      <c r="C311" s="4">
        <v>246</v>
      </c>
      <c r="E311" t="str">
        <v>CUST0143</v>
      </c>
      <c r="F311">
        <v>2</v>
      </c>
      <c r="G311">
        <v>246</v>
      </c>
    </row>
    <row r="312" spans="1:17" x14ac:dyDescent="0.3">
      <c r="A312" s="32" t="s">
        <v>19</v>
      </c>
      <c r="B312" s="4">
        <v>2</v>
      </c>
      <c r="C312" s="4">
        <v>75</v>
      </c>
      <c r="E312" t="str">
        <v>CUST0169</v>
      </c>
      <c r="F312">
        <v>2</v>
      </c>
      <c r="G312">
        <v>75</v>
      </c>
    </row>
    <row r="313" spans="1:17" x14ac:dyDescent="0.3">
      <c r="A313" s="32" t="s">
        <v>302</v>
      </c>
      <c r="B313" s="4">
        <v>2</v>
      </c>
      <c r="C313" s="4">
        <v>247</v>
      </c>
      <c r="E313" t="str">
        <v>CUST0191</v>
      </c>
      <c r="F313">
        <v>2</v>
      </c>
      <c r="G313">
        <v>247</v>
      </c>
    </row>
    <row r="314" spans="1:17" x14ac:dyDescent="0.3">
      <c r="A314" s="32" t="s">
        <v>203</v>
      </c>
      <c r="B314" s="4">
        <v>2</v>
      </c>
      <c r="C314" s="4">
        <v>108</v>
      </c>
      <c r="E314" t="str">
        <v>CUST0074</v>
      </c>
      <c r="F314">
        <v>2</v>
      </c>
      <c r="G314">
        <v>108</v>
      </c>
    </row>
    <row r="315" spans="1:17" x14ac:dyDescent="0.3">
      <c r="A315" s="32" t="s">
        <v>91</v>
      </c>
      <c r="B315" s="4">
        <v>2</v>
      </c>
      <c r="C315" s="4">
        <v>419</v>
      </c>
      <c r="E315" t="str">
        <v>CUST0261</v>
      </c>
      <c r="F315">
        <v>2</v>
      </c>
      <c r="G315">
        <v>419</v>
      </c>
    </row>
    <row r="316" spans="1:17" x14ac:dyDescent="0.3">
      <c r="A316" s="32" t="s">
        <v>218</v>
      </c>
      <c r="B316" s="4">
        <v>1</v>
      </c>
      <c r="C316" s="4">
        <v>438</v>
      </c>
      <c r="E316" t="str">
        <v>CUST0102</v>
      </c>
      <c r="F316">
        <v>1</v>
      </c>
      <c r="G316">
        <v>438</v>
      </c>
    </row>
    <row r="317" spans="1:17" x14ac:dyDescent="0.3">
      <c r="A317" s="32" t="s">
        <v>310</v>
      </c>
      <c r="B317" s="4">
        <v>1</v>
      </c>
      <c r="C317" s="4">
        <v>457</v>
      </c>
      <c r="E317" t="str">
        <v>CUST0214</v>
      </c>
      <c r="F317">
        <v>1</v>
      </c>
      <c r="G317">
        <v>457</v>
      </c>
    </row>
    <row r="318" spans="1:17" x14ac:dyDescent="0.3">
      <c r="A318" s="32" t="s">
        <v>288</v>
      </c>
      <c r="B318" s="4">
        <v>1</v>
      </c>
      <c r="C318" s="4">
        <v>596</v>
      </c>
      <c r="E318" t="str">
        <v>CUST0111</v>
      </c>
      <c r="F318">
        <v>1</v>
      </c>
      <c r="G318">
        <v>596</v>
      </c>
    </row>
    <row r="319" spans="1:17" x14ac:dyDescent="0.3">
      <c r="A319" s="32" t="s">
        <v>332</v>
      </c>
      <c r="B319" s="4">
        <v>1956</v>
      </c>
      <c r="C319" s="4">
        <v>30238</v>
      </c>
    </row>
  </sheetData>
  <mergeCells count="1">
    <mergeCell ref="E29:G29"/>
  </mergeCells>
  <pageMargins left="0.7" right="0.7" top="0.75" bottom="0.75" header="0.3" footer="0.3"/>
  <pageSetup orientation="portrait"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04E6CD-57CA-41D0-938F-E26DFEA21040}">
  <dimension ref="A1:N289"/>
  <sheetViews>
    <sheetView workbookViewId="0"/>
  </sheetViews>
  <sheetFormatPr defaultRowHeight="14.4" x14ac:dyDescent="0.3"/>
  <cols>
    <col min="1" max="1" width="15.33203125" bestFit="1" customWidth="1"/>
    <col min="2" max="4" width="12.6640625" customWidth="1"/>
    <col min="5" max="5" width="14.5546875" bestFit="1" customWidth="1"/>
    <col min="6" max="6" width="14.44140625" bestFit="1" customWidth="1"/>
    <col min="7" max="7" width="15.33203125" bestFit="1" customWidth="1"/>
    <col min="8" max="8" width="12.6640625" customWidth="1"/>
    <col min="9" max="9" width="22" bestFit="1" customWidth="1"/>
    <col min="10" max="12" width="13.6640625" customWidth="1"/>
    <col min="13" max="13" width="12.6640625" customWidth="1"/>
  </cols>
  <sheetData>
    <row r="1" spans="1:14" x14ac:dyDescent="0.3">
      <c r="A1" s="9" t="s">
        <v>0</v>
      </c>
      <c r="B1" s="9" t="s">
        <v>319</v>
      </c>
      <c r="C1" s="9" t="s">
        <v>351</v>
      </c>
      <c r="D1" s="9" t="s">
        <v>352</v>
      </c>
      <c r="E1" s="9" t="s">
        <v>353</v>
      </c>
      <c r="F1" s="9" t="s">
        <v>354</v>
      </c>
      <c r="G1" s="9" t="s">
        <v>355</v>
      </c>
      <c r="H1" s="9" t="s">
        <v>356</v>
      </c>
      <c r="I1" s="9" t="s">
        <v>341</v>
      </c>
      <c r="K1" t="s">
        <v>357</v>
      </c>
      <c r="L1" t="s">
        <v>358</v>
      </c>
      <c r="M1" t="s">
        <v>359</v>
      </c>
      <c r="N1" t="s">
        <v>360</v>
      </c>
    </row>
    <row r="2" spans="1:14" x14ac:dyDescent="0.3">
      <c r="A2" t="s">
        <v>281</v>
      </c>
      <c r="B2" s="4" t="str">
        <f>_xlfn.XLOOKUP(A2,Cleaned_Data!$B$1:$B$1957,Cleaned_Data!$D$1:$D$1957)</f>
        <v>Chattogram</v>
      </c>
      <c r="C2" s="4">
        <v>168</v>
      </c>
      <c r="D2" s="6">
        <v>5</v>
      </c>
      <c r="E2" s="4">
        <v>2247210</v>
      </c>
      <c r="F2" s="10">
        <f>IF(C2&lt;=$L$2,5,
  IF(C2&lt;=$L$3,4,
    IF(C2&lt;=$L$4,3,
      IF(C2&lt;=$L$5,2,1))))</f>
        <v>2</v>
      </c>
      <c r="G2" s="4">
        <f>IF(D2&gt;=$M$5,5,
  IF(D2&gt;=$M$4,4,
    IF(D2&gt;=$M$3,3,
      IF(D2&gt;=$M$2,2,1))))</f>
        <v>2</v>
      </c>
      <c r="H2" s="4">
        <f t="shared" ref="H2:H65" si="0">IF(E2&gt;=$N$5,5,
  IF(E2&gt;=$N$4,4,
    IF(E2&gt;=$N$3,3,
      IF(E2&gt;=$N$2,2,1))))</f>
        <v>5</v>
      </c>
      <c r="I2" s="4" t="str">
        <f>IF(AND(F2&gt;=4,G2&gt;=4,H2&gt;=4),"Champions",
  IF(AND(F2&lt;=2,OR(G2&gt;=3,H2&gt;=3)),"At Risk",
    IF(G2&gt;=4,"Loyal Customers",
      IF(AND(F2&gt;=4,G2&lt;=2),"New Customers",
        IF(AND(F2&gt;=3,OR(G2&gt;=3,H2&gt;=3)),"Potential Loyal",
          IF(AND(F2&lt;=2,G2&lt;=2,H2&lt;=2),"Lost/Churned",
            IF(AND(F2=3,G2&lt;=2,H2&lt;=2),"Low Engagement",
              "Unclassified")))))))</f>
        <v>At Risk</v>
      </c>
      <c r="K2" t="s">
        <v>361</v>
      </c>
      <c r="L2" s="8">
        <f>_xlfn.PERCENTILE.INC($C$2:$C$288, 0.2)</f>
        <v>22.200000000000003</v>
      </c>
      <c r="M2" s="6">
        <f>_xlfn.PERCENTILE.INC($D$2:$D$288, 0.2)</f>
        <v>5</v>
      </c>
      <c r="N2" s="6">
        <f>_xlfn.PERCENTILE.INC($E$2:$E$288, 0.2)</f>
        <v>503316</v>
      </c>
    </row>
    <row r="3" spans="1:14" x14ac:dyDescent="0.3">
      <c r="A3" t="s">
        <v>22</v>
      </c>
      <c r="B3" s="4" t="str">
        <f>_xlfn.XLOOKUP(A3,Cleaned_Data!$B$1:$B$1957,Cleaned_Data!$D$1:$D$1957)</f>
        <v>Rajshahi</v>
      </c>
      <c r="C3" s="4">
        <v>43</v>
      </c>
      <c r="D3" s="6">
        <v>7</v>
      </c>
      <c r="E3" s="4">
        <v>387450</v>
      </c>
      <c r="F3" s="4">
        <f t="shared" ref="F3:F65" si="1">IF(C3&lt;=$L$2,5,
  IF(C3&lt;=$L$3,4,
    IF(C3&lt;=$L$4,3,
      IF(C3&lt;=$L$5,2,1))))</f>
        <v>4</v>
      </c>
      <c r="G3" s="4">
        <f t="shared" ref="G3:G65" si="2">IF(D3&gt;=$M$5,5,
  IF(D3&gt;=$M$4,4,
    IF(D3&gt;=$M$3,3,
      IF(D3&gt;=$M$2,2,1))))</f>
        <v>4</v>
      </c>
      <c r="H3" s="4">
        <f t="shared" si="0"/>
        <v>1</v>
      </c>
      <c r="I3" s="4" t="str">
        <f t="shared" ref="I3:I65" si="3">IF(AND(F3&gt;=4,G3&gt;=4,H3&gt;=4),"Champions",
  IF(AND(F3&lt;=2,OR(G3&gt;=3,H3&gt;=3)),"At Risk",
    IF(G3&gt;=4,"Loyal Customers",
      IF(AND(F3&gt;=4,G3&lt;=2),"New Customers",
        IF(AND(F3&gt;=3,OR(G3&gt;=3,H3&gt;=3)),"Potential Loyal",
          IF(AND(F3&lt;=2,G3&lt;=2,H3&lt;=2),"Lost/Churned",
            IF(AND(F3=3,G3&lt;=2,H3&lt;=2),"Low Engagement",
              "Unclassified")))))))</f>
        <v>Loyal Customers</v>
      </c>
      <c r="K3" t="s">
        <v>362</v>
      </c>
      <c r="L3" s="8">
        <f>_xlfn.PERCENTILE.INC($C$2:$C$288, 0.4)</f>
        <v>47</v>
      </c>
      <c r="M3" s="6">
        <f>_xlfn.PERCENTILE.INC($D$2:$D$288, 0.4)</f>
        <v>6</v>
      </c>
      <c r="N3" s="6">
        <f>_xlfn.PERCENTILE.INC($E$2:$E$288, 0.4)</f>
        <v>849684</v>
      </c>
    </row>
    <row r="4" spans="1:14" x14ac:dyDescent="0.3">
      <c r="A4" t="s">
        <v>130</v>
      </c>
      <c r="B4" s="4" t="str">
        <f>_xlfn.XLOOKUP(A4,Cleaned_Data!$B$1:$B$1957,Cleaned_Data!$D$1:$D$1957)</f>
        <v>Dhaka</v>
      </c>
      <c r="C4" s="4">
        <v>157</v>
      </c>
      <c r="D4" s="6">
        <v>5</v>
      </c>
      <c r="E4" s="4">
        <v>798270</v>
      </c>
      <c r="F4" s="4">
        <f t="shared" si="1"/>
        <v>2</v>
      </c>
      <c r="G4" s="4">
        <f t="shared" si="2"/>
        <v>2</v>
      </c>
      <c r="H4" s="4">
        <f t="shared" si="0"/>
        <v>2</v>
      </c>
      <c r="I4" s="4" t="str">
        <f t="shared" si="3"/>
        <v>Lost/Churned</v>
      </c>
      <c r="K4" t="s">
        <v>363</v>
      </c>
      <c r="L4" s="8">
        <f>_xlfn.PERCENTILE.INC($C$2:$C$288, 0.6)</f>
        <v>99.799999999999983</v>
      </c>
      <c r="M4" s="6">
        <f>_xlfn.PERCENTILE.INC($D$2:$D$288, 0.6)</f>
        <v>7</v>
      </c>
      <c r="N4" s="6">
        <f>_xlfn.PERCENTILE.INC($E$2:$E$288, 0.6)</f>
        <v>1167270</v>
      </c>
    </row>
    <row r="5" spans="1:14" x14ac:dyDescent="0.3">
      <c r="A5" t="s">
        <v>163</v>
      </c>
      <c r="B5" s="4" t="str">
        <f>_xlfn.XLOOKUP(A5,Cleaned_Data!$B$1:$B$1957,Cleaned_Data!$D$1:$D$1957)</f>
        <v>Chattogram</v>
      </c>
      <c r="C5" s="4">
        <v>138</v>
      </c>
      <c r="D5" s="6">
        <v>9</v>
      </c>
      <c r="E5" s="4">
        <v>857310</v>
      </c>
      <c r="F5" s="4">
        <f t="shared" si="1"/>
        <v>2</v>
      </c>
      <c r="G5" s="4">
        <f t="shared" si="2"/>
        <v>5</v>
      </c>
      <c r="H5" s="4">
        <f t="shared" si="0"/>
        <v>3</v>
      </c>
      <c r="I5" s="4" t="str">
        <f t="shared" si="3"/>
        <v>At Risk</v>
      </c>
      <c r="K5" t="s">
        <v>364</v>
      </c>
      <c r="L5" s="8">
        <f>_xlfn.PERCENTILE.INC($C$2:$C$288, 0.8)</f>
        <v>174.00000000000006</v>
      </c>
      <c r="M5" s="6">
        <f>_xlfn.PERCENTILE.INC($D$2:$D$288, 0.8)</f>
        <v>9</v>
      </c>
      <c r="N5" s="6">
        <f>_xlfn.PERCENTILE.INC($E$2:$E$288, 0.8)</f>
        <v>1635900</v>
      </c>
    </row>
    <row r="6" spans="1:14" x14ac:dyDescent="0.3">
      <c r="A6" t="s">
        <v>252</v>
      </c>
      <c r="B6" s="4" t="str">
        <f>_xlfn.XLOOKUP(A6,Cleaned_Data!$B$1:$B$1957,Cleaned_Data!$D$1:$D$1957)</f>
        <v>Rangpur</v>
      </c>
      <c r="C6" s="4">
        <v>106</v>
      </c>
      <c r="D6" s="6">
        <v>5</v>
      </c>
      <c r="E6" s="4">
        <v>339480</v>
      </c>
      <c r="F6" s="4">
        <f t="shared" si="1"/>
        <v>2</v>
      </c>
      <c r="G6" s="4">
        <f t="shared" si="2"/>
        <v>2</v>
      </c>
      <c r="H6" s="4">
        <f t="shared" si="0"/>
        <v>1</v>
      </c>
      <c r="I6" s="4" t="str">
        <f t="shared" si="3"/>
        <v>Lost/Churned</v>
      </c>
    </row>
    <row r="7" spans="1:14" x14ac:dyDescent="0.3">
      <c r="A7" t="s">
        <v>81</v>
      </c>
      <c r="B7" s="4" t="str">
        <f>_xlfn.XLOOKUP(A7,Cleaned_Data!$B$1:$B$1957,Cleaned_Data!$D$1:$D$1957)</f>
        <v>Dhaka</v>
      </c>
      <c r="C7" s="4">
        <v>263</v>
      </c>
      <c r="D7" s="6">
        <v>7</v>
      </c>
      <c r="E7" s="4">
        <v>1389900</v>
      </c>
      <c r="F7" s="4">
        <f t="shared" si="1"/>
        <v>1</v>
      </c>
      <c r="G7" s="4">
        <f t="shared" si="2"/>
        <v>4</v>
      </c>
      <c r="H7" s="4">
        <f t="shared" si="0"/>
        <v>4</v>
      </c>
      <c r="I7" s="4" t="str">
        <f t="shared" si="3"/>
        <v>At Risk</v>
      </c>
    </row>
    <row r="8" spans="1:14" x14ac:dyDescent="0.3">
      <c r="A8" t="s">
        <v>47</v>
      </c>
      <c r="B8" s="4" t="str">
        <f>_xlfn.XLOOKUP(A8,Cleaned_Data!$B$1:$B$1957,Cleaned_Data!$D$1:$D$1957)</f>
        <v>Khulna</v>
      </c>
      <c r="C8" s="4">
        <v>12</v>
      </c>
      <c r="D8" s="6">
        <v>11</v>
      </c>
      <c r="E8" s="4">
        <v>1678950</v>
      </c>
      <c r="F8" s="4">
        <f t="shared" si="1"/>
        <v>5</v>
      </c>
      <c r="G8" s="4">
        <f t="shared" si="2"/>
        <v>5</v>
      </c>
      <c r="H8" s="4">
        <f t="shared" si="0"/>
        <v>5</v>
      </c>
      <c r="I8" s="4" t="str">
        <f t="shared" si="3"/>
        <v>Champions</v>
      </c>
    </row>
    <row r="9" spans="1:14" x14ac:dyDescent="0.3">
      <c r="A9" t="s">
        <v>121</v>
      </c>
      <c r="B9" s="4" t="str">
        <f>_xlfn.XLOOKUP(A9,Cleaned_Data!$B$1:$B$1957,Cleaned_Data!$D$1:$D$1957)</f>
        <v>Barishal</v>
      </c>
      <c r="C9" s="4">
        <v>140</v>
      </c>
      <c r="D9" s="6">
        <v>8</v>
      </c>
      <c r="E9" s="4">
        <v>457560</v>
      </c>
      <c r="F9" s="4">
        <f t="shared" si="1"/>
        <v>2</v>
      </c>
      <c r="G9" s="4">
        <f t="shared" si="2"/>
        <v>4</v>
      </c>
      <c r="H9" s="4">
        <f t="shared" si="0"/>
        <v>1</v>
      </c>
      <c r="I9" s="4" t="str">
        <f t="shared" si="3"/>
        <v>At Risk</v>
      </c>
    </row>
    <row r="10" spans="1:14" x14ac:dyDescent="0.3">
      <c r="A10" t="s">
        <v>280</v>
      </c>
      <c r="B10" s="4" t="str">
        <f>_xlfn.XLOOKUP(A10,Cleaned_Data!$B$1:$B$1957,Cleaned_Data!$D$1:$D$1957)</f>
        <v>Dhaka</v>
      </c>
      <c r="C10" s="4">
        <v>12</v>
      </c>
      <c r="D10" s="6">
        <v>5</v>
      </c>
      <c r="E10" s="4">
        <v>506760</v>
      </c>
      <c r="F10" s="4">
        <f t="shared" si="1"/>
        <v>5</v>
      </c>
      <c r="G10" s="4">
        <f t="shared" si="2"/>
        <v>2</v>
      </c>
      <c r="H10" s="4">
        <f t="shared" si="0"/>
        <v>2</v>
      </c>
      <c r="I10" s="4" t="str">
        <f t="shared" si="3"/>
        <v>New Customers</v>
      </c>
    </row>
    <row r="11" spans="1:14" x14ac:dyDescent="0.3">
      <c r="A11" t="s">
        <v>223</v>
      </c>
      <c r="B11" s="4" t="str">
        <f>_xlfn.XLOOKUP(A11,Cleaned_Data!$B$1:$B$1957,Cleaned_Data!$D$1:$D$1957)</f>
        <v>Rajshahi</v>
      </c>
      <c r="C11" s="4">
        <v>34</v>
      </c>
      <c r="D11" s="6">
        <v>10</v>
      </c>
      <c r="E11" s="4">
        <v>1439100</v>
      </c>
      <c r="F11" s="4">
        <f t="shared" si="1"/>
        <v>4</v>
      </c>
      <c r="G11" s="4">
        <f t="shared" si="2"/>
        <v>5</v>
      </c>
      <c r="H11" s="4">
        <f t="shared" si="0"/>
        <v>4</v>
      </c>
      <c r="I11" s="4" t="str">
        <f t="shared" si="3"/>
        <v>Champions</v>
      </c>
    </row>
    <row r="12" spans="1:14" x14ac:dyDescent="0.3">
      <c r="A12" t="s">
        <v>248</v>
      </c>
      <c r="B12" s="4" t="str">
        <f>_xlfn.XLOOKUP(A12,Cleaned_Data!$B$1:$B$1957,Cleaned_Data!$D$1:$D$1957)</f>
        <v>Dhaka</v>
      </c>
      <c r="C12" s="4">
        <v>33</v>
      </c>
      <c r="D12" s="6">
        <v>8</v>
      </c>
      <c r="E12" s="4">
        <v>931110</v>
      </c>
      <c r="F12" s="4">
        <f t="shared" si="1"/>
        <v>4</v>
      </c>
      <c r="G12" s="4">
        <f t="shared" si="2"/>
        <v>4</v>
      </c>
      <c r="H12" s="4">
        <f t="shared" si="0"/>
        <v>3</v>
      </c>
      <c r="I12" s="4" t="str">
        <f t="shared" si="3"/>
        <v>Loyal Customers</v>
      </c>
    </row>
    <row r="13" spans="1:14" x14ac:dyDescent="0.3">
      <c r="A13" t="s">
        <v>194</v>
      </c>
      <c r="B13" s="4" t="str">
        <f>_xlfn.XLOOKUP(A13,Cleaned_Data!$B$1:$B$1957,Cleaned_Data!$D$1:$D$1957)</f>
        <v>Chattogram</v>
      </c>
      <c r="C13" s="4">
        <v>103</v>
      </c>
      <c r="D13" s="6">
        <v>7</v>
      </c>
      <c r="E13" s="4">
        <v>687570</v>
      </c>
      <c r="F13" s="4">
        <f t="shared" si="1"/>
        <v>2</v>
      </c>
      <c r="G13" s="4">
        <f t="shared" si="2"/>
        <v>4</v>
      </c>
      <c r="H13" s="4">
        <f t="shared" si="0"/>
        <v>2</v>
      </c>
      <c r="I13" s="4" t="str">
        <f t="shared" si="3"/>
        <v>At Risk</v>
      </c>
    </row>
    <row r="14" spans="1:14" x14ac:dyDescent="0.3">
      <c r="A14" t="s">
        <v>254</v>
      </c>
      <c r="B14" s="4" t="str">
        <f>_xlfn.XLOOKUP(A14,Cleaned_Data!$B$1:$B$1957,Cleaned_Data!$D$1:$D$1957)</f>
        <v>Sylhet</v>
      </c>
      <c r="C14" s="4">
        <v>58</v>
      </c>
      <c r="D14" s="6">
        <v>6</v>
      </c>
      <c r="E14" s="4">
        <v>621150</v>
      </c>
      <c r="F14" s="4">
        <f t="shared" si="1"/>
        <v>3</v>
      </c>
      <c r="G14" s="4">
        <f t="shared" si="2"/>
        <v>3</v>
      </c>
      <c r="H14" s="4">
        <f t="shared" si="0"/>
        <v>2</v>
      </c>
      <c r="I14" s="4" t="str">
        <f t="shared" si="3"/>
        <v>Potential Loyal</v>
      </c>
    </row>
    <row r="15" spans="1:14" x14ac:dyDescent="0.3">
      <c r="A15" t="s">
        <v>315</v>
      </c>
      <c r="B15" s="4" t="str">
        <f>_xlfn.XLOOKUP(A15,Cleaned_Data!$B$1:$B$1957,Cleaned_Data!$D$1:$D$1957)</f>
        <v>Dhaka</v>
      </c>
      <c r="C15" s="4">
        <v>203</v>
      </c>
      <c r="D15" s="6">
        <v>5</v>
      </c>
      <c r="E15" s="4">
        <v>116850</v>
      </c>
      <c r="F15" s="4">
        <f t="shared" si="1"/>
        <v>1</v>
      </c>
      <c r="G15" s="4">
        <f t="shared" si="2"/>
        <v>2</v>
      </c>
      <c r="H15" s="4">
        <f t="shared" si="0"/>
        <v>1</v>
      </c>
      <c r="I15" s="4" t="str">
        <f t="shared" si="3"/>
        <v>Lost/Churned</v>
      </c>
    </row>
    <row r="16" spans="1:14" x14ac:dyDescent="0.3">
      <c r="A16" t="s">
        <v>122</v>
      </c>
      <c r="B16" s="4" t="str">
        <f>_xlfn.XLOOKUP(A16,Cleaned_Data!$B$1:$B$1957,Cleaned_Data!$D$1:$D$1957)</f>
        <v>Khulna</v>
      </c>
      <c r="C16" s="4">
        <v>97</v>
      </c>
      <c r="D16" s="6">
        <v>4</v>
      </c>
      <c r="E16" s="4">
        <v>1011060</v>
      </c>
      <c r="F16" s="4">
        <f t="shared" si="1"/>
        <v>3</v>
      </c>
      <c r="G16" s="4">
        <f t="shared" si="2"/>
        <v>1</v>
      </c>
      <c r="H16" s="4">
        <f t="shared" si="0"/>
        <v>3</v>
      </c>
      <c r="I16" s="4" t="str">
        <f t="shared" si="3"/>
        <v>Potential Loyal</v>
      </c>
    </row>
    <row r="17" spans="1:9" x14ac:dyDescent="0.3">
      <c r="A17" t="s">
        <v>205</v>
      </c>
      <c r="B17" s="4" t="str">
        <f>_xlfn.XLOOKUP(A17,Cleaned_Data!$B$1:$B$1957,Cleaned_Data!$D$1:$D$1957)</f>
        <v>Mymensingh</v>
      </c>
      <c r="C17" s="4">
        <v>21</v>
      </c>
      <c r="D17" s="6">
        <v>8</v>
      </c>
      <c r="E17" s="4">
        <v>1359150</v>
      </c>
      <c r="F17" s="4">
        <f t="shared" si="1"/>
        <v>5</v>
      </c>
      <c r="G17" s="4">
        <f t="shared" si="2"/>
        <v>4</v>
      </c>
      <c r="H17" s="4">
        <f t="shared" si="0"/>
        <v>4</v>
      </c>
      <c r="I17" s="4" t="str">
        <f t="shared" si="3"/>
        <v>Champions</v>
      </c>
    </row>
    <row r="18" spans="1:9" x14ac:dyDescent="0.3">
      <c r="A18" t="s">
        <v>272</v>
      </c>
      <c r="B18" s="4" t="str">
        <f>_xlfn.XLOOKUP(A18,Cleaned_Data!$B$1:$B$1957,Cleaned_Data!$D$1:$D$1957)</f>
        <v>Dhaka</v>
      </c>
      <c r="C18" s="4">
        <v>20</v>
      </c>
      <c r="D18" s="6">
        <v>6</v>
      </c>
      <c r="E18" s="4">
        <v>1654350</v>
      </c>
      <c r="F18" s="4">
        <f t="shared" si="1"/>
        <v>5</v>
      </c>
      <c r="G18" s="4">
        <f t="shared" si="2"/>
        <v>3</v>
      </c>
      <c r="H18" s="4">
        <f t="shared" si="0"/>
        <v>5</v>
      </c>
      <c r="I18" s="4" t="str">
        <f t="shared" si="3"/>
        <v>Potential Loyal</v>
      </c>
    </row>
    <row r="19" spans="1:9" x14ac:dyDescent="0.3">
      <c r="A19" t="s">
        <v>235</v>
      </c>
      <c r="B19" s="4" t="str">
        <f>_xlfn.XLOOKUP(A19,Cleaned_Data!$B$1:$B$1957,Cleaned_Data!$D$1:$D$1957)</f>
        <v>Rajshahi</v>
      </c>
      <c r="C19" s="4">
        <v>54</v>
      </c>
      <c r="D19" s="6">
        <v>7</v>
      </c>
      <c r="E19" s="4">
        <v>815490</v>
      </c>
      <c r="F19" s="4">
        <f t="shared" si="1"/>
        <v>3</v>
      </c>
      <c r="G19" s="4">
        <f t="shared" si="2"/>
        <v>4</v>
      </c>
      <c r="H19" s="4">
        <f t="shared" si="0"/>
        <v>2</v>
      </c>
      <c r="I19" s="4" t="str">
        <f t="shared" si="3"/>
        <v>Loyal Customers</v>
      </c>
    </row>
    <row r="20" spans="1:9" x14ac:dyDescent="0.3">
      <c r="A20" t="s">
        <v>106</v>
      </c>
      <c r="B20" s="4" t="str">
        <f>_xlfn.XLOOKUP(A20,Cleaned_Data!$B$1:$B$1957,Cleaned_Data!$D$1:$D$1957)</f>
        <v>Dhaka</v>
      </c>
      <c r="C20" s="4">
        <v>64</v>
      </c>
      <c r="D20" s="6">
        <v>8</v>
      </c>
      <c r="E20" s="4">
        <v>713400</v>
      </c>
      <c r="F20" s="4">
        <f t="shared" si="1"/>
        <v>3</v>
      </c>
      <c r="G20" s="4">
        <f t="shared" si="2"/>
        <v>4</v>
      </c>
      <c r="H20" s="4">
        <f t="shared" si="0"/>
        <v>2</v>
      </c>
      <c r="I20" s="4" t="str">
        <f t="shared" si="3"/>
        <v>Loyal Customers</v>
      </c>
    </row>
    <row r="21" spans="1:9" x14ac:dyDescent="0.3">
      <c r="A21" t="s">
        <v>268</v>
      </c>
      <c r="B21" s="4" t="str">
        <f>_xlfn.XLOOKUP(A21,Cleaned_Data!$B$1:$B$1957,Cleaned_Data!$D$1:$D$1957)</f>
        <v>Chattogram</v>
      </c>
      <c r="C21" s="4">
        <v>27</v>
      </c>
      <c r="D21" s="6">
        <v>6</v>
      </c>
      <c r="E21" s="4">
        <v>634680</v>
      </c>
      <c r="F21" s="4">
        <f t="shared" si="1"/>
        <v>4</v>
      </c>
      <c r="G21" s="4">
        <f t="shared" si="2"/>
        <v>3</v>
      </c>
      <c r="H21" s="4">
        <f t="shared" si="0"/>
        <v>2</v>
      </c>
      <c r="I21" s="4" t="str">
        <f t="shared" si="3"/>
        <v>Potential Loyal</v>
      </c>
    </row>
    <row r="22" spans="1:9" x14ac:dyDescent="0.3">
      <c r="A22" t="s">
        <v>283</v>
      </c>
      <c r="B22" s="4" t="str">
        <f>_xlfn.XLOOKUP(A22,Cleaned_Data!$B$1:$B$1957,Cleaned_Data!$D$1:$D$1957)</f>
        <v>Sylhet</v>
      </c>
      <c r="C22" s="4">
        <v>137</v>
      </c>
      <c r="D22" s="6">
        <v>4</v>
      </c>
      <c r="E22" s="4">
        <v>111930</v>
      </c>
      <c r="F22" s="4">
        <f t="shared" si="1"/>
        <v>2</v>
      </c>
      <c r="G22" s="4">
        <f t="shared" si="2"/>
        <v>1</v>
      </c>
      <c r="H22" s="4">
        <f t="shared" si="0"/>
        <v>1</v>
      </c>
      <c r="I22" s="4" t="str">
        <f t="shared" si="3"/>
        <v>Lost/Churned</v>
      </c>
    </row>
    <row r="23" spans="1:9" x14ac:dyDescent="0.3">
      <c r="A23" t="s">
        <v>97</v>
      </c>
      <c r="B23" s="4" t="str">
        <f>_xlfn.XLOOKUP(A23,Cleaned_Data!$B$1:$B$1957,Cleaned_Data!$D$1:$D$1957)</f>
        <v>Dhaka</v>
      </c>
      <c r="C23" s="4">
        <v>13</v>
      </c>
      <c r="D23" s="6">
        <v>11</v>
      </c>
      <c r="E23" s="4">
        <v>1145130</v>
      </c>
      <c r="F23" s="4">
        <f t="shared" si="1"/>
        <v>5</v>
      </c>
      <c r="G23" s="4">
        <f t="shared" si="2"/>
        <v>5</v>
      </c>
      <c r="H23" s="4">
        <f t="shared" si="0"/>
        <v>3</v>
      </c>
      <c r="I23" s="4" t="str">
        <f t="shared" si="3"/>
        <v>Loyal Customers</v>
      </c>
    </row>
    <row r="24" spans="1:9" x14ac:dyDescent="0.3">
      <c r="A24" t="s">
        <v>33</v>
      </c>
      <c r="B24" s="4" t="str">
        <f>_xlfn.XLOOKUP(A24,Cleaned_Data!$B$1:$B$1957,Cleaned_Data!$D$1:$D$1957)</f>
        <v>Chattogram</v>
      </c>
      <c r="C24" s="4">
        <v>31</v>
      </c>
      <c r="D24" s="6">
        <v>8</v>
      </c>
      <c r="E24" s="4">
        <v>1488300</v>
      </c>
      <c r="F24" s="4">
        <f t="shared" si="1"/>
        <v>4</v>
      </c>
      <c r="G24" s="4">
        <f t="shared" si="2"/>
        <v>4</v>
      </c>
      <c r="H24" s="4">
        <f t="shared" si="0"/>
        <v>4</v>
      </c>
      <c r="I24" s="4" t="str">
        <f t="shared" si="3"/>
        <v>Champions</v>
      </c>
    </row>
    <row r="25" spans="1:9" x14ac:dyDescent="0.3">
      <c r="A25" t="s">
        <v>111</v>
      </c>
      <c r="B25" s="4" t="str">
        <f>_xlfn.XLOOKUP(A25,Cleaned_Data!$B$1:$B$1957,Cleaned_Data!$D$1:$D$1957)</f>
        <v>Rangpur</v>
      </c>
      <c r="C25" s="4">
        <v>40</v>
      </c>
      <c r="D25" s="6">
        <v>5</v>
      </c>
      <c r="E25" s="4">
        <v>504300</v>
      </c>
      <c r="F25" s="4">
        <f t="shared" si="1"/>
        <v>4</v>
      </c>
      <c r="G25" s="4">
        <f t="shared" si="2"/>
        <v>2</v>
      </c>
      <c r="H25" s="4">
        <f t="shared" si="0"/>
        <v>2</v>
      </c>
      <c r="I25" s="4" t="str">
        <f t="shared" si="3"/>
        <v>New Customers</v>
      </c>
    </row>
    <row r="26" spans="1:9" x14ac:dyDescent="0.3">
      <c r="A26" t="s">
        <v>255</v>
      </c>
      <c r="B26" s="4" t="str">
        <f>_xlfn.XLOOKUP(A26,Cleaned_Data!$B$1:$B$1957,Cleaned_Data!$D$1:$D$1957)</f>
        <v>Dhaka</v>
      </c>
      <c r="C26" s="4">
        <v>229</v>
      </c>
      <c r="D26" s="6">
        <v>6</v>
      </c>
      <c r="E26" s="4">
        <v>375150</v>
      </c>
      <c r="F26" s="4">
        <f t="shared" si="1"/>
        <v>1</v>
      </c>
      <c r="G26" s="4">
        <f t="shared" si="2"/>
        <v>3</v>
      </c>
      <c r="H26" s="4">
        <f t="shared" si="0"/>
        <v>1</v>
      </c>
      <c r="I26" s="4" t="str">
        <f t="shared" si="3"/>
        <v>At Risk</v>
      </c>
    </row>
    <row r="27" spans="1:9" x14ac:dyDescent="0.3">
      <c r="A27" t="s">
        <v>139</v>
      </c>
      <c r="B27" s="4" t="str">
        <f>_xlfn.XLOOKUP(A27,Cleaned_Data!$B$1:$B$1957,Cleaned_Data!$D$1:$D$1957)</f>
        <v>Khulna</v>
      </c>
      <c r="C27" s="4">
        <v>2</v>
      </c>
      <c r="D27" s="6">
        <v>8</v>
      </c>
      <c r="E27" s="4">
        <v>1075020</v>
      </c>
      <c r="F27" s="4">
        <f t="shared" si="1"/>
        <v>5</v>
      </c>
      <c r="G27" s="4">
        <f t="shared" si="2"/>
        <v>4</v>
      </c>
      <c r="H27" s="4">
        <f t="shared" si="0"/>
        <v>3</v>
      </c>
      <c r="I27" s="4" t="str">
        <f t="shared" si="3"/>
        <v>Loyal Customers</v>
      </c>
    </row>
    <row r="28" spans="1:9" x14ac:dyDescent="0.3">
      <c r="A28" t="s">
        <v>152</v>
      </c>
      <c r="B28" s="4" t="str">
        <f>_xlfn.XLOOKUP(A28,Cleaned_Data!$B$1:$B$1957,Cleaned_Data!$D$1:$D$1957)</f>
        <v>Barishal</v>
      </c>
      <c r="C28" s="4">
        <v>65</v>
      </c>
      <c r="D28" s="6">
        <v>9</v>
      </c>
      <c r="E28" s="4">
        <v>1484610</v>
      </c>
      <c r="F28" s="4">
        <f t="shared" si="1"/>
        <v>3</v>
      </c>
      <c r="G28" s="4">
        <f t="shared" si="2"/>
        <v>5</v>
      </c>
      <c r="H28" s="4">
        <f t="shared" si="0"/>
        <v>4</v>
      </c>
      <c r="I28" s="4" t="str">
        <f t="shared" si="3"/>
        <v>Loyal Customers</v>
      </c>
    </row>
    <row r="29" spans="1:9" x14ac:dyDescent="0.3">
      <c r="A29" t="s">
        <v>128</v>
      </c>
      <c r="B29" s="4" t="str">
        <f>_xlfn.XLOOKUP(A29,Cleaned_Data!$B$1:$B$1957,Cleaned_Data!$D$1:$D$1957)</f>
        <v>Chattogram</v>
      </c>
      <c r="C29" s="4">
        <v>7</v>
      </c>
      <c r="D29" s="6">
        <v>11</v>
      </c>
      <c r="E29" s="4">
        <v>1924950</v>
      </c>
      <c r="F29" s="4">
        <f t="shared" si="1"/>
        <v>5</v>
      </c>
      <c r="G29" s="4">
        <f t="shared" si="2"/>
        <v>5</v>
      </c>
      <c r="H29" s="4">
        <f t="shared" si="0"/>
        <v>5</v>
      </c>
      <c r="I29" s="4" t="str">
        <f t="shared" si="3"/>
        <v>Champions</v>
      </c>
    </row>
    <row r="30" spans="1:9" x14ac:dyDescent="0.3">
      <c r="A30" t="s">
        <v>290</v>
      </c>
      <c r="B30" s="4" t="str">
        <f>_xlfn.XLOOKUP(A30,Cleaned_Data!$B$1:$B$1957,Cleaned_Data!$D$1:$D$1957)</f>
        <v>Rajshahi</v>
      </c>
      <c r="C30" s="4">
        <v>14</v>
      </c>
      <c r="D30" s="6">
        <v>8</v>
      </c>
      <c r="E30" s="4">
        <v>1398510</v>
      </c>
      <c r="F30" s="4">
        <f t="shared" si="1"/>
        <v>5</v>
      </c>
      <c r="G30" s="4">
        <f t="shared" si="2"/>
        <v>4</v>
      </c>
      <c r="H30" s="4">
        <f t="shared" si="0"/>
        <v>4</v>
      </c>
      <c r="I30" s="4" t="str">
        <f t="shared" si="3"/>
        <v>Champions</v>
      </c>
    </row>
    <row r="31" spans="1:9" x14ac:dyDescent="0.3">
      <c r="A31" t="s">
        <v>287</v>
      </c>
      <c r="B31" s="4" t="str">
        <f>_xlfn.XLOOKUP(A31,Cleaned_Data!$B$1:$B$1957,Cleaned_Data!$D$1:$D$1957)</f>
        <v>Dhaka</v>
      </c>
      <c r="C31" s="4">
        <v>48</v>
      </c>
      <c r="D31" s="6">
        <v>4</v>
      </c>
      <c r="E31" s="4">
        <v>578100</v>
      </c>
      <c r="F31" s="4">
        <f t="shared" si="1"/>
        <v>3</v>
      </c>
      <c r="G31" s="4">
        <f t="shared" si="2"/>
        <v>1</v>
      </c>
      <c r="H31" s="4">
        <f t="shared" si="0"/>
        <v>2</v>
      </c>
      <c r="I31" s="4" t="str">
        <f t="shared" si="3"/>
        <v>Low Engagement</v>
      </c>
    </row>
    <row r="32" spans="1:9" x14ac:dyDescent="0.3">
      <c r="A32" t="s">
        <v>224</v>
      </c>
      <c r="B32" s="4" t="str">
        <f>_xlfn.XLOOKUP(A32,Cleaned_Data!$B$1:$B$1957,Cleaned_Data!$D$1:$D$1957)</f>
        <v>Chattogram</v>
      </c>
      <c r="C32" s="4">
        <v>81</v>
      </c>
      <c r="D32" s="6">
        <v>14</v>
      </c>
      <c r="E32" s="4">
        <v>3036870</v>
      </c>
      <c r="F32" s="4">
        <f t="shared" si="1"/>
        <v>3</v>
      </c>
      <c r="G32" s="4">
        <f t="shared" si="2"/>
        <v>5</v>
      </c>
      <c r="H32" s="4">
        <f t="shared" si="0"/>
        <v>5</v>
      </c>
      <c r="I32" s="4" t="str">
        <f t="shared" si="3"/>
        <v>Loyal Customers</v>
      </c>
    </row>
    <row r="33" spans="1:9" x14ac:dyDescent="0.3">
      <c r="A33" t="s">
        <v>209</v>
      </c>
      <c r="B33" s="4" t="str">
        <f>_xlfn.XLOOKUP(A33,Cleaned_Data!$B$1:$B$1957,Cleaned_Data!$D$1:$D$1957)</f>
        <v>Rangpur</v>
      </c>
      <c r="C33" s="4">
        <v>64</v>
      </c>
      <c r="D33" s="6">
        <v>9</v>
      </c>
      <c r="E33" s="4">
        <v>1222620</v>
      </c>
      <c r="F33" s="4">
        <f t="shared" si="1"/>
        <v>3</v>
      </c>
      <c r="G33" s="4">
        <f t="shared" si="2"/>
        <v>5</v>
      </c>
      <c r="H33" s="4">
        <f t="shared" si="0"/>
        <v>4</v>
      </c>
      <c r="I33" s="4" t="str">
        <f t="shared" si="3"/>
        <v>Loyal Customers</v>
      </c>
    </row>
    <row r="34" spans="1:9" x14ac:dyDescent="0.3">
      <c r="A34" t="s">
        <v>298</v>
      </c>
      <c r="B34" s="4" t="str">
        <f>_xlfn.XLOOKUP(A34,Cleaned_Data!$B$1:$B$1957,Cleaned_Data!$D$1:$D$1957)</f>
        <v>Khulna</v>
      </c>
      <c r="C34" s="4">
        <v>279</v>
      </c>
      <c r="D34" s="6">
        <v>4</v>
      </c>
      <c r="E34" s="4">
        <v>1869600</v>
      </c>
      <c r="F34" s="4">
        <f t="shared" si="1"/>
        <v>1</v>
      </c>
      <c r="G34" s="4">
        <f t="shared" si="2"/>
        <v>1</v>
      </c>
      <c r="H34" s="4">
        <f t="shared" si="0"/>
        <v>5</v>
      </c>
      <c r="I34" s="4" t="str">
        <f t="shared" si="3"/>
        <v>At Risk</v>
      </c>
    </row>
    <row r="35" spans="1:9" x14ac:dyDescent="0.3">
      <c r="A35" t="s">
        <v>289</v>
      </c>
      <c r="B35" s="4" t="str">
        <f>_xlfn.XLOOKUP(A35,Cleaned_Data!$B$1:$B$1957,Cleaned_Data!$D$1:$D$1957)</f>
        <v>Barishal</v>
      </c>
      <c r="C35" s="4">
        <v>48</v>
      </c>
      <c r="D35" s="6">
        <v>3</v>
      </c>
      <c r="E35" s="4">
        <v>45510</v>
      </c>
      <c r="F35" s="4">
        <f t="shared" si="1"/>
        <v>3</v>
      </c>
      <c r="G35" s="4">
        <f t="shared" si="2"/>
        <v>1</v>
      </c>
      <c r="H35" s="4">
        <f t="shared" si="0"/>
        <v>1</v>
      </c>
      <c r="I35" s="4" t="str">
        <f t="shared" si="3"/>
        <v>Low Engagement</v>
      </c>
    </row>
    <row r="36" spans="1:9" x14ac:dyDescent="0.3">
      <c r="A36" t="s">
        <v>134</v>
      </c>
      <c r="B36" s="4" t="str">
        <f>_xlfn.XLOOKUP(A36,Cleaned_Data!$B$1:$B$1957,Cleaned_Data!$D$1:$D$1957)</f>
        <v>Dhaka</v>
      </c>
      <c r="C36" s="4">
        <v>16</v>
      </c>
      <c r="D36" s="6">
        <v>7</v>
      </c>
      <c r="E36" s="4">
        <v>861000</v>
      </c>
      <c r="F36" s="4">
        <f t="shared" si="1"/>
        <v>5</v>
      </c>
      <c r="G36" s="4">
        <f t="shared" si="2"/>
        <v>4</v>
      </c>
      <c r="H36" s="4">
        <f t="shared" si="0"/>
        <v>3</v>
      </c>
      <c r="I36" s="4" t="str">
        <f t="shared" si="3"/>
        <v>Loyal Customers</v>
      </c>
    </row>
    <row r="37" spans="1:9" x14ac:dyDescent="0.3">
      <c r="A37" t="s">
        <v>103</v>
      </c>
      <c r="B37" s="4" t="str">
        <f>_xlfn.XLOOKUP(A37,Cleaned_Data!$B$1:$B$1957,Cleaned_Data!$D$1:$D$1957)</f>
        <v>Rajshahi</v>
      </c>
      <c r="C37" s="4">
        <v>29</v>
      </c>
      <c r="D37" s="6">
        <v>8</v>
      </c>
      <c r="E37" s="4">
        <v>1635900</v>
      </c>
      <c r="F37" s="4">
        <f t="shared" si="1"/>
        <v>4</v>
      </c>
      <c r="G37" s="4">
        <f t="shared" si="2"/>
        <v>4</v>
      </c>
      <c r="H37" s="4">
        <f t="shared" si="0"/>
        <v>5</v>
      </c>
      <c r="I37" s="4" t="str">
        <f t="shared" si="3"/>
        <v>Champions</v>
      </c>
    </row>
    <row r="38" spans="1:9" x14ac:dyDescent="0.3">
      <c r="A38" t="s">
        <v>54</v>
      </c>
      <c r="B38" s="4" t="str">
        <f>_xlfn.XLOOKUP(A38,Cleaned_Data!$B$1:$B$1957,Cleaned_Data!$D$1:$D$1957)</f>
        <v>Dhaka</v>
      </c>
      <c r="C38" s="4">
        <v>1</v>
      </c>
      <c r="D38" s="6">
        <v>11</v>
      </c>
      <c r="E38" s="4">
        <v>956940</v>
      </c>
      <c r="F38" s="4">
        <f t="shared" si="1"/>
        <v>5</v>
      </c>
      <c r="G38" s="4">
        <f t="shared" si="2"/>
        <v>5</v>
      </c>
      <c r="H38" s="4">
        <f t="shared" si="0"/>
        <v>3</v>
      </c>
      <c r="I38" s="4" t="str">
        <f t="shared" si="3"/>
        <v>Loyal Customers</v>
      </c>
    </row>
    <row r="39" spans="1:9" x14ac:dyDescent="0.3">
      <c r="A39" t="s">
        <v>37</v>
      </c>
      <c r="B39" s="4" t="str">
        <f>_xlfn.XLOOKUP(A39,Cleaned_Data!$B$1:$B$1957,Cleaned_Data!$D$1:$D$1957)</f>
        <v>Chattogram</v>
      </c>
      <c r="C39" s="4">
        <v>242</v>
      </c>
      <c r="D39" s="6">
        <v>6</v>
      </c>
      <c r="E39" s="4">
        <v>750300</v>
      </c>
      <c r="F39" s="4">
        <f t="shared" si="1"/>
        <v>1</v>
      </c>
      <c r="G39" s="4">
        <f t="shared" si="2"/>
        <v>3</v>
      </c>
      <c r="H39" s="4">
        <f t="shared" si="0"/>
        <v>2</v>
      </c>
      <c r="I39" s="4" t="str">
        <f t="shared" si="3"/>
        <v>At Risk</v>
      </c>
    </row>
    <row r="40" spans="1:9" x14ac:dyDescent="0.3">
      <c r="A40" t="s">
        <v>313</v>
      </c>
      <c r="B40" s="4" t="str">
        <f>_xlfn.XLOOKUP(A40,Cleaned_Data!$B$1:$B$1957,Cleaned_Data!$D$1:$D$1957)</f>
        <v>Sylhet</v>
      </c>
      <c r="C40" s="4">
        <v>1</v>
      </c>
      <c r="D40" s="6">
        <v>7</v>
      </c>
      <c r="E40" s="4">
        <v>1431720</v>
      </c>
      <c r="F40" s="4">
        <f t="shared" si="1"/>
        <v>5</v>
      </c>
      <c r="G40" s="4">
        <f t="shared" si="2"/>
        <v>4</v>
      </c>
      <c r="H40" s="4">
        <f t="shared" si="0"/>
        <v>4</v>
      </c>
      <c r="I40" s="4" t="str">
        <f t="shared" si="3"/>
        <v>Champions</v>
      </c>
    </row>
    <row r="41" spans="1:9" x14ac:dyDescent="0.3">
      <c r="A41" t="s">
        <v>82</v>
      </c>
      <c r="B41" s="4" t="str">
        <f>_xlfn.XLOOKUP(A41,Cleaned_Data!$B$1:$B$1957,Cleaned_Data!$D$1:$D$1957)</f>
        <v>Dhaka</v>
      </c>
      <c r="C41" s="4">
        <v>25</v>
      </c>
      <c r="D41" s="6">
        <v>5</v>
      </c>
      <c r="E41" s="4">
        <v>2201700</v>
      </c>
      <c r="F41" s="4">
        <f t="shared" si="1"/>
        <v>4</v>
      </c>
      <c r="G41" s="4">
        <f t="shared" si="2"/>
        <v>2</v>
      </c>
      <c r="H41" s="4">
        <f t="shared" si="0"/>
        <v>5</v>
      </c>
      <c r="I41" s="4" t="str">
        <f t="shared" si="3"/>
        <v>New Customers</v>
      </c>
    </row>
    <row r="42" spans="1:9" x14ac:dyDescent="0.3">
      <c r="A42" t="s">
        <v>49</v>
      </c>
      <c r="B42" s="4" t="str">
        <f>_xlfn.XLOOKUP(A42,Cleaned_Data!$B$1:$B$1957,Cleaned_Data!$D$1:$D$1957)</f>
        <v>Chattogram</v>
      </c>
      <c r="C42" s="4">
        <v>55</v>
      </c>
      <c r="D42" s="6">
        <v>9</v>
      </c>
      <c r="E42" s="4">
        <v>1325940</v>
      </c>
      <c r="F42" s="4">
        <f t="shared" si="1"/>
        <v>3</v>
      </c>
      <c r="G42" s="4">
        <f t="shared" si="2"/>
        <v>5</v>
      </c>
      <c r="H42" s="4">
        <f t="shared" si="0"/>
        <v>4</v>
      </c>
      <c r="I42" s="4" t="str">
        <f t="shared" si="3"/>
        <v>Loyal Customers</v>
      </c>
    </row>
    <row r="43" spans="1:9" x14ac:dyDescent="0.3">
      <c r="A43" t="s">
        <v>230</v>
      </c>
      <c r="B43" s="4" t="str">
        <f>_xlfn.XLOOKUP(A43,Cleaned_Data!$B$1:$B$1957,Cleaned_Data!$D$1:$D$1957)</f>
        <v>Mymensingh</v>
      </c>
      <c r="C43" s="4">
        <v>58</v>
      </c>
      <c r="D43" s="6">
        <v>7</v>
      </c>
      <c r="E43" s="4">
        <v>1124220</v>
      </c>
      <c r="F43" s="4">
        <f t="shared" si="1"/>
        <v>3</v>
      </c>
      <c r="G43" s="4">
        <f t="shared" si="2"/>
        <v>4</v>
      </c>
      <c r="H43" s="4">
        <f t="shared" si="0"/>
        <v>3</v>
      </c>
      <c r="I43" s="4" t="str">
        <f t="shared" si="3"/>
        <v>Loyal Customers</v>
      </c>
    </row>
    <row r="44" spans="1:9" x14ac:dyDescent="0.3">
      <c r="A44" t="s">
        <v>147</v>
      </c>
      <c r="B44" s="4" t="str">
        <f>_xlfn.XLOOKUP(A44,Cleaned_Data!$B$1:$B$1957,Cleaned_Data!$D$1:$D$1957)</f>
        <v>Dhaka</v>
      </c>
      <c r="C44" s="4">
        <v>61</v>
      </c>
      <c r="D44" s="6">
        <v>14</v>
      </c>
      <c r="E44" s="4">
        <v>1519050</v>
      </c>
      <c r="F44" s="4">
        <f t="shared" si="1"/>
        <v>3</v>
      </c>
      <c r="G44" s="4">
        <f t="shared" si="2"/>
        <v>5</v>
      </c>
      <c r="H44" s="4">
        <f t="shared" si="0"/>
        <v>4</v>
      </c>
      <c r="I44" s="4" t="str">
        <f t="shared" si="3"/>
        <v>Loyal Customers</v>
      </c>
    </row>
    <row r="45" spans="1:9" x14ac:dyDescent="0.3">
      <c r="A45" t="s">
        <v>89</v>
      </c>
      <c r="B45" s="4" t="str">
        <f>_xlfn.XLOOKUP(A45,Cleaned_Data!$B$1:$B$1957,Cleaned_Data!$D$1:$D$1957)</f>
        <v>Rajshahi</v>
      </c>
      <c r="C45" s="4">
        <v>12</v>
      </c>
      <c r="D45" s="6">
        <v>6</v>
      </c>
      <c r="E45" s="4">
        <v>757680</v>
      </c>
      <c r="F45" s="4">
        <f t="shared" si="1"/>
        <v>5</v>
      </c>
      <c r="G45" s="4">
        <f t="shared" si="2"/>
        <v>3</v>
      </c>
      <c r="H45" s="4">
        <f t="shared" si="0"/>
        <v>2</v>
      </c>
      <c r="I45" s="4" t="str">
        <f t="shared" si="3"/>
        <v>Potential Loyal</v>
      </c>
    </row>
    <row r="46" spans="1:9" x14ac:dyDescent="0.3">
      <c r="A46" t="s">
        <v>15</v>
      </c>
      <c r="B46" s="4" t="str">
        <f>_xlfn.XLOOKUP(A46,Cleaned_Data!$B$1:$B$1957,Cleaned_Data!$D$1:$D$1957)</f>
        <v>Dhaka</v>
      </c>
      <c r="C46" s="4">
        <v>101</v>
      </c>
      <c r="D46" s="6">
        <v>7</v>
      </c>
      <c r="E46" s="4">
        <v>1421880</v>
      </c>
      <c r="F46" s="4">
        <f t="shared" si="1"/>
        <v>2</v>
      </c>
      <c r="G46" s="4">
        <f t="shared" si="2"/>
        <v>4</v>
      </c>
      <c r="H46" s="4">
        <f t="shared" si="0"/>
        <v>4</v>
      </c>
      <c r="I46" s="4" t="str">
        <f t="shared" si="3"/>
        <v>At Risk</v>
      </c>
    </row>
    <row r="47" spans="1:9" x14ac:dyDescent="0.3">
      <c r="A47" t="s">
        <v>221</v>
      </c>
      <c r="B47" s="4" t="str">
        <f>_xlfn.XLOOKUP(A47,Cleaned_Data!$B$1:$B$1957,Cleaned_Data!$D$1:$D$1957)</f>
        <v>Chattogram</v>
      </c>
      <c r="C47" s="4">
        <v>39</v>
      </c>
      <c r="D47" s="6">
        <v>10</v>
      </c>
      <c r="E47" s="4">
        <v>2301330</v>
      </c>
      <c r="F47" s="4">
        <f t="shared" si="1"/>
        <v>4</v>
      </c>
      <c r="G47" s="4">
        <f t="shared" si="2"/>
        <v>5</v>
      </c>
      <c r="H47" s="4">
        <f t="shared" si="0"/>
        <v>5</v>
      </c>
      <c r="I47" s="4" t="str">
        <f t="shared" si="3"/>
        <v>Champions</v>
      </c>
    </row>
    <row r="48" spans="1:9" x14ac:dyDescent="0.3">
      <c r="A48" t="s">
        <v>277</v>
      </c>
      <c r="B48" s="4" t="str">
        <f>_xlfn.XLOOKUP(A48,Cleaned_Data!$B$1:$B$1957,Cleaned_Data!$D$1:$D$1957)</f>
        <v>Sylhet</v>
      </c>
      <c r="C48" s="4">
        <v>148</v>
      </c>
      <c r="D48" s="6">
        <v>7</v>
      </c>
      <c r="E48" s="4">
        <v>369000</v>
      </c>
      <c r="F48" s="4">
        <f t="shared" si="1"/>
        <v>2</v>
      </c>
      <c r="G48" s="4">
        <f t="shared" si="2"/>
        <v>4</v>
      </c>
      <c r="H48" s="4">
        <f t="shared" si="0"/>
        <v>1</v>
      </c>
      <c r="I48" s="4" t="str">
        <f t="shared" si="3"/>
        <v>At Risk</v>
      </c>
    </row>
    <row r="49" spans="1:9" x14ac:dyDescent="0.3">
      <c r="A49" t="s">
        <v>44</v>
      </c>
      <c r="B49" s="4" t="str">
        <f>_xlfn.XLOOKUP(A49,Cleaned_Data!$B$1:$B$1957,Cleaned_Data!$D$1:$D$1957)</f>
        <v>Dhaka</v>
      </c>
      <c r="C49" s="4">
        <v>353</v>
      </c>
      <c r="D49" s="6">
        <v>3</v>
      </c>
      <c r="E49" s="4">
        <v>356700</v>
      </c>
      <c r="F49" s="4">
        <f t="shared" si="1"/>
        <v>1</v>
      </c>
      <c r="G49" s="4">
        <f t="shared" si="2"/>
        <v>1</v>
      </c>
      <c r="H49" s="4">
        <f t="shared" si="0"/>
        <v>1</v>
      </c>
      <c r="I49" s="4" t="str">
        <f t="shared" si="3"/>
        <v>Lost/Churned</v>
      </c>
    </row>
    <row r="50" spans="1:9" x14ac:dyDescent="0.3">
      <c r="A50" t="s">
        <v>46</v>
      </c>
      <c r="B50" s="4" t="str">
        <f>_xlfn.XLOOKUP(A50,Cleaned_Data!$B$1:$B$1957,Cleaned_Data!$D$1:$D$1957)</f>
        <v>Chattogram</v>
      </c>
      <c r="C50" s="4">
        <v>1</v>
      </c>
      <c r="D50" s="6">
        <v>8</v>
      </c>
      <c r="E50" s="4">
        <v>1207860</v>
      </c>
      <c r="F50" s="4">
        <f t="shared" si="1"/>
        <v>5</v>
      </c>
      <c r="G50" s="4">
        <f t="shared" si="2"/>
        <v>4</v>
      </c>
      <c r="H50" s="4">
        <f t="shared" si="0"/>
        <v>4</v>
      </c>
      <c r="I50" s="4" t="str">
        <f t="shared" si="3"/>
        <v>Champions</v>
      </c>
    </row>
    <row r="51" spans="1:9" x14ac:dyDescent="0.3">
      <c r="A51" t="s">
        <v>211</v>
      </c>
      <c r="B51" s="4" t="str">
        <f>_xlfn.XLOOKUP(A51,Cleaned_Data!$B$1:$B$1957,Cleaned_Data!$D$1:$D$1957)</f>
        <v>Rangpur</v>
      </c>
      <c r="C51" s="4">
        <v>79</v>
      </c>
      <c r="D51" s="6">
        <v>6</v>
      </c>
      <c r="E51" s="4">
        <v>959400</v>
      </c>
      <c r="F51" s="4">
        <f t="shared" si="1"/>
        <v>3</v>
      </c>
      <c r="G51" s="4">
        <f t="shared" si="2"/>
        <v>3</v>
      </c>
      <c r="H51" s="4">
        <f t="shared" si="0"/>
        <v>3</v>
      </c>
      <c r="I51" s="4" t="str">
        <f t="shared" si="3"/>
        <v>Potential Loyal</v>
      </c>
    </row>
    <row r="52" spans="1:9" x14ac:dyDescent="0.3">
      <c r="A52" t="s">
        <v>167</v>
      </c>
      <c r="B52" s="4" t="str">
        <f>_xlfn.XLOOKUP(A52,Cleaned_Data!$B$1:$B$1957,Cleaned_Data!$D$1:$D$1957)</f>
        <v>Dhaka</v>
      </c>
      <c r="C52" s="4">
        <v>14</v>
      </c>
      <c r="D52" s="6">
        <v>13</v>
      </c>
      <c r="E52" s="4">
        <v>797040</v>
      </c>
      <c r="F52" s="4">
        <f t="shared" si="1"/>
        <v>5</v>
      </c>
      <c r="G52" s="4">
        <f t="shared" si="2"/>
        <v>5</v>
      </c>
      <c r="H52" s="4">
        <f t="shared" si="0"/>
        <v>2</v>
      </c>
      <c r="I52" s="4" t="str">
        <f t="shared" si="3"/>
        <v>Loyal Customers</v>
      </c>
    </row>
    <row r="53" spans="1:9" x14ac:dyDescent="0.3">
      <c r="A53" t="s">
        <v>51</v>
      </c>
      <c r="B53" s="4" t="str">
        <f>_xlfn.XLOOKUP(A53,Cleaned_Data!$B$1:$B$1957,Cleaned_Data!$D$1:$D$1957)</f>
        <v>Khulna</v>
      </c>
      <c r="C53" s="4">
        <v>245</v>
      </c>
      <c r="D53" s="6">
        <v>8</v>
      </c>
      <c r="E53" s="4">
        <v>1259520</v>
      </c>
      <c r="F53" s="4">
        <f t="shared" si="1"/>
        <v>1</v>
      </c>
      <c r="G53" s="4">
        <f t="shared" si="2"/>
        <v>4</v>
      </c>
      <c r="H53" s="4">
        <f t="shared" si="0"/>
        <v>4</v>
      </c>
      <c r="I53" s="4" t="str">
        <f t="shared" si="3"/>
        <v>At Risk</v>
      </c>
    </row>
    <row r="54" spans="1:9" x14ac:dyDescent="0.3">
      <c r="A54" t="s">
        <v>233</v>
      </c>
      <c r="B54" s="4" t="str">
        <f>_xlfn.XLOOKUP(A54,Cleaned_Data!$B$1:$B$1957,Cleaned_Data!$D$1:$D$1957)</f>
        <v>Barishal</v>
      </c>
      <c r="C54" s="4">
        <v>69</v>
      </c>
      <c r="D54" s="6">
        <v>7</v>
      </c>
      <c r="E54" s="4">
        <v>646980</v>
      </c>
      <c r="F54" s="4">
        <f t="shared" si="1"/>
        <v>3</v>
      </c>
      <c r="G54" s="4">
        <f t="shared" si="2"/>
        <v>4</v>
      </c>
      <c r="H54" s="4">
        <f t="shared" si="0"/>
        <v>2</v>
      </c>
      <c r="I54" s="4" t="str">
        <f t="shared" si="3"/>
        <v>Loyal Customers</v>
      </c>
    </row>
    <row r="55" spans="1:9" x14ac:dyDescent="0.3">
      <c r="A55" t="s">
        <v>199</v>
      </c>
      <c r="B55" s="4" t="str">
        <f>_xlfn.XLOOKUP(A55,Cleaned_Data!$B$1:$B$1957,Cleaned_Data!$D$1:$D$1957)</f>
        <v>Chattogram</v>
      </c>
      <c r="C55" s="4">
        <v>41</v>
      </c>
      <c r="D55" s="6">
        <v>9</v>
      </c>
      <c r="E55" s="4">
        <v>541200</v>
      </c>
      <c r="F55" s="4">
        <f t="shared" si="1"/>
        <v>4</v>
      </c>
      <c r="G55" s="4">
        <f t="shared" si="2"/>
        <v>5</v>
      </c>
      <c r="H55" s="4">
        <f t="shared" si="0"/>
        <v>2</v>
      </c>
      <c r="I55" s="4" t="str">
        <f t="shared" si="3"/>
        <v>Loyal Customers</v>
      </c>
    </row>
    <row r="56" spans="1:9" x14ac:dyDescent="0.3">
      <c r="A56" t="s">
        <v>156</v>
      </c>
      <c r="B56" s="4" t="str">
        <f>_xlfn.XLOOKUP(A56,Cleaned_Data!$B$1:$B$1957,Cleaned_Data!$D$1:$D$1957)</f>
        <v>Rajshahi</v>
      </c>
      <c r="C56" s="4">
        <v>33</v>
      </c>
      <c r="D56" s="6">
        <v>4</v>
      </c>
      <c r="E56" s="4">
        <v>565800</v>
      </c>
      <c r="F56" s="4">
        <f t="shared" si="1"/>
        <v>4</v>
      </c>
      <c r="G56" s="4">
        <f t="shared" si="2"/>
        <v>1</v>
      </c>
      <c r="H56" s="4">
        <f t="shared" si="0"/>
        <v>2</v>
      </c>
      <c r="I56" s="4" t="str">
        <f t="shared" si="3"/>
        <v>New Customers</v>
      </c>
    </row>
    <row r="57" spans="1:9" x14ac:dyDescent="0.3">
      <c r="A57" t="s">
        <v>78</v>
      </c>
      <c r="B57" s="4" t="str">
        <f>_xlfn.XLOOKUP(A57,Cleaned_Data!$B$1:$B$1957,Cleaned_Data!$D$1:$D$1957)</f>
        <v>Dhaka</v>
      </c>
      <c r="C57" s="4">
        <v>44</v>
      </c>
      <c r="D57" s="6">
        <v>3</v>
      </c>
      <c r="E57" s="4">
        <v>227550</v>
      </c>
      <c r="F57" s="4">
        <f t="shared" si="1"/>
        <v>4</v>
      </c>
      <c r="G57" s="4">
        <f t="shared" si="2"/>
        <v>1</v>
      </c>
      <c r="H57" s="4">
        <f t="shared" si="0"/>
        <v>1</v>
      </c>
      <c r="I57" s="4" t="str">
        <f t="shared" si="3"/>
        <v>New Customers</v>
      </c>
    </row>
    <row r="58" spans="1:9" x14ac:dyDescent="0.3">
      <c r="A58" t="s">
        <v>232</v>
      </c>
      <c r="B58" s="4" t="str">
        <f>_xlfn.XLOOKUP(A58,Cleaned_Data!$B$1:$B$1957,Cleaned_Data!$D$1:$D$1957)</f>
        <v>Chattogram</v>
      </c>
      <c r="C58" s="4">
        <v>360</v>
      </c>
      <c r="D58" s="6">
        <v>7</v>
      </c>
      <c r="E58" s="4">
        <v>1119300</v>
      </c>
      <c r="F58" s="4">
        <f t="shared" si="1"/>
        <v>1</v>
      </c>
      <c r="G58" s="4">
        <f t="shared" si="2"/>
        <v>4</v>
      </c>
      <c r="H58" s="4">
        <f t="shared" si="0"/>
        <v>3</v>
      </c>
      <c r="I58" s="4" t="str">
        <f t="shared" si="3"/>
        <v>At Risk</v>
      </c>
    </row>
    <row r="59" spans="1:9" x14ac:dyDescent="0.3">
      <c r="A59" t="s">
        <v>236</v>
      </c>
      <c r="B59" s="4" t="str">
        <f>_xlfn.XLOOKUP(A59,Cleaned_Data!$B$1:$B$1957,Cleaned_Data!$D$1:$D$1957)</f>
        <v>Rangpur</v>
      </c>
      <c r="C59" s="4">
        <v>44</v>
      </c>
      <c r="D59" s="6">
        <v>7</v>
      </c>
      <c r="E59" s="4">
        <v>899130</v>
      </c>
      <c r="F59" s="4">
        <f t="shared" si="1"/>
        <v>4</v>
      </c>
      <c r="G59" s="4">
        <f t="shared" si="2"/>
        <v>4</v>
      </c>
      <c r="H59" s="4">
        <f t="shared" si="0"/>
        <v>3</v>
      </c>
      <c r="I59" s="4" t="str">
        <f t="shared" si="3"/>
        <v>Loyal Customers</v>
      </c>
    </row>
    <row r="60" spans="1:9" x14ac:dyDescent="0.3">
      <c r="A60" t="s">
        <v>59</v>
      </c>
      <c r="B60" s="4" t="str">
        <f>_xlfn.XLOOKUP(A60,Cleaned_Data!$B$1:$B$1957,Cleaned_Data!$D$1:$D$1957)</f>
        <v>Dhaka</v>
      </c>
      <c r="C60" s="4">
        <v>186</v>
      </c>
      <c r="D60" s="6">
        <v>7</v>
      </c>
      <c r="E60" s="4">
        <v>1635900</v>
      </c>
      <c r="F60" s="4">
        <f t="shared" si="1"/>
        <v>1</v>
      </c>
      <c r="G60" s="4">
        <f t="shared" si="2"/>
        <v>4</v>
      </c>
      <c r="H60" s="4">
        <f t="shared" si="0"/>
        <v>5</v>
      </c>
      <c r="I60" s="4" t="str">
        <f t="shared" si="3"/>
        <v>At Risk</v>
      </c>
    </row>
    <row r="61" spans="1:9" x14ac:dyDescent="0.3">
      <c r="A61" t="s">
        <v>300</v>
      </c>
      <c r="B61" s="4" t="str">
        <f>_xlfn.XLOOKUP(A61,Cleaned_Data!$B$1:$B$1957,Cleaned_Data!$D$1:$D$1957)</f>
        <v>Khulna</v>
      </c>
      <c r="C61" s="4">
        <v>78</v>
      </c>
      <c r="D61" s="6">
        <v>7</v>
      </c>
      <c r="E61" s="4">
        <v>301350</v>
      </c>
      <c r="F61" s="4">
        <f t="shared" si="1"/>
        <v>3</v>
      </c>
      <c r="G61" s="4">
        <f t="shared" si="2"/>
        <v>4</v>
      </c>
      <c r="H61" s="4">
        <f t="shared" si="0"/>
        <v>1</v>
      </c>
      <c r="I61" s="4" t="str">
        <f t="shared" si="3"/>
        <v>Loyal Customers</v>
      </c>
    </row>
    <row r="62" spans="1:9" x14ac:dyDescent="0.3">
      <c r="A62" t="s">
        <v>155</v>
      </c>
      <c r="B62" s="4" t="str">
        <f>_xlfn.XLOOKUP(A62,Cleaned_Data!$B$1:$B$1957,Cleaned_Data!$D$1:$D$1957)</f>
        <v>Mymensingh</v>
      </c>
      <c r="C62" s="4">
        <v>34</v>
      </c>
      <c r="D62" s="6">
        <v>7</v>
      </c>
      <c r="E62" s="4">
        <v>1225080</v>
      </c>
      <c r="F62" s="4">
        <f t="shared" si="1"/>
        <v>4</v>
      </c>
      <c r="G62" s="4">
        <f t="shared" si="2"/>
        <v>4</v>
      </c>
      <c r="H62" s="4">
        <f t="shared" si="0"/>
        <v>4</v>
      </c>
      <c r="I62" s="4" t="str">
        <f t="shared" si="3"/>
        <v>Champions</v>
      </c>
    </row>
    <row r="63" spans="1:9" x14ac:dyDescent="0.3">
      <c r="A63" t="s">
        <v>225</v>
      </c>
      <c r="B63" s="4" t="str">
        <f>_xlfn.XLOOKUP(A63,Cleaned_Data!$B$1:$B$1957,Cleaned_Data!$D$1:$D$1957)</f>
        <v>Dhaka</v>
      </c>
      <c r="C63" s="4">
        <v>255</v>
      </c>
      <c r="D63" s="6">
        <v>7</v>
      </c>
      <c r="E63" s="4">
        <v>1265670</v>
      </c>
      <c r="F63" s="4">
        <f t="shared" si="1"/>
        <v>1</v>
      </c>
      <c r="G63" s="4">
        <f t="shared" si="2"/>
        <v>4</v>
      </c>
      <c r="H63" s="4">
        <f t="shared" si="0"/>
        <v>4</v>
      </c>
      <c r="I63" s="4" t="str">
        <f t="shared" si="3"/>
        <v>At Risk</v>
      </c>
    </row>
    <row r="64" spans="1:9" x14ac:dyDescent="0.3">
      <c r="A64" t="s">
        <v>65</v>
      </c>
      <c r="B64" s="4" t="str">
        <f>_xlfn.XLOOKUP(A64,Cleaned_Data!$B$1:$B$1957,Cleaned_Data!$D$1:$D$1957)</f>
        <v>Rajshahi</v>
      </c>
      <c r="C64" s="4">
        <v>11</v>
      </c>
      <c r="D64" s="6">
        <v>13</v>
      </c>
      <c r="E64" s="4">
        <v>2765040</v>
      </c>
      <c r="F64" s="4">
        <f t="shared" si="1"/>
        <v>5</v>
      </c>
      <c r="G64" s="4">
        <f t="shared" si="2"/>
        <v>5</v>
      </c>
      <c r="H64" s="4">
        <f t="shared" si="0"/>
        <v>5</v>
      </c>
      <c r="I64" s="4" t="str">
        <f t="shared" si="3"/>
        <v>Champions</v>
      </c>
    </row>
    <row r="65" spans="1:9" x14ac:dyDescent="0.3">
      <c r="A65" t="s">
        <v>87</v>
      </c>
      <c r="B65" s="4" t="str">
        <f>_xlfn.XLOOKUP(A65,Cleaned_Data!$B$1:$B$1957,Cleaned_Data!$D$1:$D$1957)</f>
        <v>Dhaka</v>
      </c>
      <c r="C65" s="4">
        <v>352</v>
      </c>
      <c r="D65" s="6">
        <v>6</v>
      </c>
      <c r="E65" s="4">
        <v>817950</v>
      </c>
      <c r="F65" s="4">
        <f t="shared" si="1"/>
        <v>1</v>
      </c>
      <c r="G65" s="4">
        <f t="shared" si="2"/>
        <v>3</v>
      </c>
      <c r="H65" s="4">
        <f t="shared" si="0"/>
        <v>2</v>
      </c>
      <c r="I65" s="4" t="str">
        <f t="shared" si="3"/>
        <v>At Risk</v>
      </c>
    </row>
    <row r="66" spans="1:9" x14ac:dyDescent="0.3">
      <c r="A66" t="s">
        <v>138</v>
      </c>
      <c r="B66" s="4" t="str">
        <f>_xlfn.XLOOKUP(A66,Cleaned_Data!$B$1:$B$1957,Cleaned_Data!$D$1:$D$1957)</f>
        <v>Chattogram</v>
      </c>
      <c r="C66" s="4">
        <v>442</v>
      </c>
      <c r="D66" s="6">
        <v>5</v>
      </c>
      <c r="E66" s="4">
        <v>552270</v>
      </c>
      <c r="F66" s="4">
        <f t="shared" ref="F66:F129" si="4">IF(C66&lt;=$L$2,5,
  IF(C66&lt;=$L$3,4,
    IF(C66&lt;=$L$4,3,
      IF(C66&lt;=$L$5,2,1))))</f>
        <v>1</v>
      </c>
      <c r="G66" s="4">
        <f t="shared" ref="G66:G129" si="5">IF(D66&gt;=$M$5,5,
  IF(D66&gt;=$M$4,4,
    IF(D66&gt;=$M$3,3,
      IF(D66&gt;=$M$2,2,1))))</f>
        <v>2</v>
      </c>
      <c r="H66" s="4">
        <f t="shared" ref="H66:H129" si="6">IF(E66&gt;=$N$5,5,
  IF(E66&gt;=$N$4,4,
    IF(E66&gt;=$N$3,3,
      IF(E66&gt;=$N$2,2,1))))</f>
        <v>2</v>
      </c>
      <c r="I66" s="4" t="str">
        <f t="shared" ref="I66:I129" si="7">IF(AND(F66&gt;=4,G66&gt;=4,H66&gt;=4),"Champions",
  IF(AND(F66&lt;=2,OR(G66&gt;=3,H66&gt;=3)),"At Risk",
    IF(G66&gt;=4,"Loyal Customers",
      IF(AND(F66&gt;=4,G66&lt;=2),"New Customers",
        IF(AND(F66&gt;=3,OR(G66&gt;=3,H66&gt;=3)),"Potential Loyal",
          IF(AND(F66&lt;=2,G66&lt;=2,H66&lt;=2),"Lost/Churned",
            IF(AND(F66=3,G66&lt;=2,H66&lt;=2),"Low Engagement",
              "Unclassified")))))))</f>
        <v>Lost/Churned</v>
      </c>
    </row>
    <row r="67" spans="1:9" x14ac:dyDescent="0.3">
      <c r="A67" t="s">
        <v>227</v>
      </c>
      <c r="B67" s="4" t="str">
        <f>_xlfn.XLOOKUP(A67,Cleaned_Data!$B$1:$B$1957,Cleaned_Data!$D$1:$D$1957)</f>
        <v>Sylhet</v>
      </c>
      <c r="C67" s="4">
        <v>9</v>
      </c>
      <c r="D67" s="6">
        <v>5</v>
      </c>
      <c r="E67" s="4">
        <v>1167270</v>
      </c>
      <c r="F67" s="4">
        <f t="shared" si="4"/>
        <v>5</v>
      </c>
      <c r="G67" s="4">
        <f t="shared" si="5"/>
        <v>2</v>
      </c>
      <c r="H67" s="4">
        <f t="shared" si="6"/>
        <v>4</v>
      </c>
      <c r="I67" s="4" t="str">
        <f t="shared" si="7"/>
        <v>New Customers</v>
      </c>
    </row>
    <row r="68" spans="1:9" x14ac:dyDescent="0.3">
      <c r="A68" t="s">
        <v>265</v>
      </c>
      <c r="B68" s="4" t="str">
        <f>_xlfn.XLOOKUP(A68,Cleaned_Data!$B$1:$B$1957,Cleaned_Data!$D$1:$D$1957)</f>
        <v>Dhaka</v>
      </c>
      <c r="C68" s="4">
        <v>117</v>
      </c>
      <c r="D68" s="6">
        <v>5</v>
      </c>
      <c r="E68" s="4">
        <v>1079940</v>
      </c>
      <c r="F68" s="4">
        <f t="shared" si="4"/>
        <v>2</v>
      </c>
      <c r="G68" s="4">
        <f t="shared" si="5"/>
        <v>2</v>
      </c>
      <c r="H68" s="4">
        <f t="shared" si="6"/>
        <v>3</v>
      </c>
      <c r="I68" s="4" t="str">
        <f t="shared" si="7"/>
        <v>At Risk</v>
      </c>
    </row>
    <row r="69" spans="1:9" x14ac:dyDescent="0.3">
      <c r="A69" t="s">
        <v>142</v>
      </c>
      <c r="B69" s="4" t="str">
        <f>_xlfn.XLOOKUP(A69,Cleaned_Data!$B$1:$B$1957,Cleaned_Data!$D$1:$D$1957)</f>
        <v>Chattogram</v>
      </c>
      <c r="C69" s="4">
        <v>80</v>
      </c>
      <c r="D69" s="6">
        <v>6</v>
      </c>
      <c r="E69" s="4">
        <v>1688790</v>
      </c>
      <c r="F69" s="4">
        <f t="shared" si="4"/>
        <v>3</v>
      </c>
      <c r="G69" s="4">
        <f t="shared" si="5"/>
        <v>3</v>
      </c>
      <c r="H69" s="4">
        <f t="shared" si="6"/>
        <v>5</v>
      </c>
      <c r="I69" s="4" t="str">
        <f t="shared" si="7"/>
        <v>Potential Loyal</v>
      </c>
    </row>
    <row r="70" spans="1:9" x14ac:dyDescent="0.3">
      <c r="A70" t="s">
        <v>72</v>
      </c>
      <c r="B70" s="4" t="str">
        <f>_xlfn.XLOOKUP(A70,Cleaned_Data!$B$1:$B$1957,Cleaned_Data!$D$1:$D$1957)</f>
        <v>Mymensingh</v>
      </c>
      <c r="C70" s="4">
        <v>58</v>
      </c>
      <c r="D70" s="6">
        <v>8</v>
      </c>
      <c r="E70" s="4">
        <v>1944630</v>
      </c>
      <c r="F70" s="4">
        <f t="shared" si="4"/>
        <v>3</v>
      </c>
      <c r="G70" s="4">
        <f t="shared" si="5"/>
        <v>4</v>
      </c>
      <c r="H70" s="4">
        <f t="shared" si="6"/>
        <v>5</v>
      </c>
      <c r="I70" s="4" t="str">
        <f t="shared" si="7"/>
        <v>Loyal Customers</v>
      </c>
    </row>
    <row r="71" spans="1:9" x14ac:dyDescent="0.3">
      <c r="A71" t="s">
        <v>200</v>
      </c>
      <c r="B71" s="4" t="str">
        <f>_xlfn.XLOOKUP(A71,Cleaned_Data!$B$1:$B$1957,Cleaned_Data!$D$1:$D$1957)</f>
        <v>Dhaka</v>
      </c>
      <c r="C71" s="4">
        <v>143</v>
      </c>
      <c r="D71" s="6">
        <v>9</v>
      </c>
      <c r="E71" s="4">
        <v>814260</v>
      </c>
      <c r="F71" s="4">
        <f t="shared" si="4"/>
        <v>2</v>
      </c>
      <c r="G71" s="4">
        <f t="shared" si="5"/>
        <v>5</v>
      </c>
      <c r="H71" s="4">
        <f t="shared" si="6"/>
        <v>2</v>
      </c>
      <c r="I71" s="4" t="str">
        <f t="shared" si="7"/>
        <v>At Risk</v>
      </c>
    </row>
    <row r="72" spans="1:9" x14ac:dyDescent="0.3">
      <c r="A72" t="s">
        <v>165</v>
      </c>
      <c r="B72" s="4" t="str">
        <f>_xlfn.XLOOKUP(A72,Cleaned_Data!$B$1:$B$1957,Cleaned_Data!$D$1:$D$1957)</f>
        <v>Khulna</v>
      </c>
      <c r="C72" s="4">
        <v>304</v>
      </c>
      <c r="D72" s="6">
        <v>3</v>
      </c>
      <c r="E72" s="4">
        <v>184500</v>
      </c>
      <c r="F72" s="4">
        <f t="shared" si="4"/>
        <v>1</v>
      </c>
      <c r="G72" s="4">
        <f t="shared" si="5"/>
        <v>1</v>
      </c>
      <c r="H72" s="4">
        <f t="shared" si="6"/>
        <v>1</v>
      </c>
      <c r="I72" s="4" t="str">
        <f t="shared" si="7"/>
        <v>Lost/Churned</v>
      </c>
    </row>
    <row r="73" spans="1:9" x14ac:dyDescent="0.3">
      <c r="A73" t="s">
        <v>66</v>
      </c>
      <c r="B73" s="4" t="str">
        <f>_xlfn.XLOOKUP(A73,Cleaned_Data!$B$1:$B$1957,Cleaned_Data!$D$1:$D$1957)</f>
        <v>Dhaka</v>
      </c>
      <c r="C73" s="4">
        <v>228</v>
      </c>
      <c r="D73" s="6">
        <v>6</v>
      </c>
      <c r="E73" s="4">
        <v>467400</v>
      </c>
      <c r="F73" s="4">
        <f t="shared" si="4"/>
        <v>1</v>
      </c>
      <c r="G73" s="4">
        <f t="shared" si="5"/>
        <v>3</v>
      </c>
      <c r="H73" s="4">
        <f t="shared" si="6"/>
        <v>1</v>
      </c>
      <c r="I73" s="4" t="str">
        <f t="shared" si="7"/>
        <v>At Risk</v>
      </c>
    </row>
    <row r="74" spans="1:9" x14ac:dyDescent="0.3">
      <c r="A74" t="s">
        <v>203</v>
      </c>
      <c r="B74" s="4" t="str">
        <f>_xlfn.XLOOKUP(A74,Cleaned_Data!$B$1:$B$1957,Cleaned_Data!$D$1:$D$1957)</f>
        <v>Chattogram</v>
      </c>
      <c r="C74" s="4">
        <v>108</v>
      </c>
      <c r="D74" s="6">
        <v>2</v>
      </c>
      <c r="E74" s="4">
        <v>172200</v>
      </c>
      <c r="F74" s="4">
        <f t="shared" si="4"/>
        <v>2</v>
      </c>
      <c r="G74" s="4">
        <f t="shared" si="5"/>
        <v>1</v>
      </c>
      <c r="H74" s="4">
        <f t="shared" si="6"/>
        <v>1</v>
      </c>
      <c r="I74" s="4" t="str">
        <f t="shared" si="7"/>
        <v>Lost/Churned</v>
      </c>
    </row>
    <row r="75" spans="1:9" x14ac:dyDescent="0.3">
      <c r="A75" t="s">
        <v>159</v>
      </c>
      <c r="B75" s="4" t="str">
        <f>_xlfn.XLOOKUP(A75,Cleaned_Data!$B$1:$B$1957,Cleaned_Data!$D$1:$D$1957)</f>
        <v>Sylhet</v>
      </c>
      <c r="C75" s="4">
        <v>112</v>
      </c>
      <c r="D75" s="6">
        <v>4</v>
      </c>
      <c r="E75" s="4">
        <v>633450</v>
      </c>
      <c r="F75" s="4">
        <f t="shared" si="4"/>
        <v>2</v>
      </c>
      <c r="G75" s="4">
        <f t="shared" si="5"/>
        <v>1</v>
      </c>
      <c r="H75" s="4">
        <f t="shared" si="6"/>
        <v>2</v>
      </c>
      <c r="I75" s="4" t="str">
        <f t="shared" si="7"/>
        <v>Lost/Churned</v>
      </c>
    </row>
    <row r="76" spans="1:9" x14ac:dyDescent="0.3">
      <c r="A76" t="s">
        <v>161</v>
      </c>
      <c r="B76" s="4" t="str">
        <f>_xlfn.XLOOKUP(A76,Cleaned_Data!$B$1:$B$1957,Cleaned_Data!$D$1:$D$1957)</f>
        <v>Dhaka</v>
      </c>
      <c r="C76" s="4">
        <v>5</v>
      </c>
      <c r="D76" s="6">
        <v>8</v>
      </c>
      <c r="E76" s="4">
        <v>300120</v>
      </c>
      <c r="F76" s="4">
        <f t="shared" si="4"/>
        <v>5</v>
      </c>
      <c r="G76" s="4">
        <f t="shared" si="5"/>
        <v>4</v>
      </c>
      <c r="H76" s="4">
        <f t="shared" si="6"/>
        <v>1</v>
      </c>
      <c r="I76" s="4" t="str">
        <f t="shared" si="7"/>
        <v>Loyal Customers</v>
      </c>
    </row>
    <row r="77" spans="1:9" x14ac:dyDescent="0.3">
      <c r="A77" t="s">
        <v>92</v>
      </c>
      <c r="B77" s="4" t="str">
        <f>_xlfn.XLOOKUP(A77,Cleaned_Data!$B$1:$B$1957,Cleaned_Data!$D$1:$D$1957)</f>
        <v>Chattogram</v>
      </c>
      <c r="C77" s="4">
        <v>25</v>
      </c>
      <c r="D77" s="6">
        <v>8</v>
      </c>
      <c r="E77" s="4">
        <v>611310</v>
      </c>
      <c r="F77" s="4">
        <f t="shared" si="4"/>
        <v>4</v>
      </c>
      <c r="G77" s="4">
        <f t="shared" si="5"/>
        <v>4</v>
      </c>
      <c r="H77" s="4">
        <f t="shared" si="6"/>
        <v>2</v>
      </c>
      <c r="I77" s="4" t="str">
        <f t="shared" si="7"/>
        <v>Loyal Customers</v>
      </c>
    </row>
    <row r="78" spans="1:9" x14ac:dyDescent="0.3">
      <c r="A78" t="s">
        <v>129</v>
      </c>
      <c r="B78" s="4" t="str">
        <f>_xlfn.XLOOKUP(A78,Cleaned_Data!$B$1:$B$1957,Cleaned_Data!$D$1:$D$1957)</f>
        <v>Rangpur</v>
      </c>
      <c r="C78" s="4">
        <v>3</v>
      </c>
      <c r="D78" s="6">
        <v>7</v>
      </c>
      <c r="E78" s="4">
        <v>1242300</v>
      </c>
      <c r="F78" s="4">
        <f t="shared" si="4"/>
        <v>5</v>
      </c>
      <c r="G78" s="4">
        <f t="shared" si="5"/>
        <v>4</v>
      </c>
      <c r="H78" s="4">
        <f t="shared" si="6"/>
        <v>4</v>
      </c>
      <c r="I78" s="4" t="str">
        <f t="shared" si="7"/>
        <v>Champions</v>
      </c>
    </row>
    <row r="79" spans="1:9" x14ac:dyDescent="0.3">
      <c r="A79" t="s">
        <v>304</v>
      </c>
      <c r="B79" s="4" t="str">
        <f>_xlfn.XLOOKUP(A79,Cleaned_Data!$B$1:$B$1957,Cleaned_Data!$D$1:$D$1957)</f>
        <v>Dhaka</v>
      </c>
      <c r="C79" s="4">
        <v>131</v>
      </c>
      <c r="D79" s="6">
        <v>5</v>
      </c>
      <c r="E79" s="4">
        <v>1020900</v>
      </c>
      <c r="F79" s="4">
        <f t="shared" si="4"/>
        <v>2</v>
      </c>
      <c r="G79" s="4">
        <f t="shared" si="5"/>
        <v>2</v>
      </c>
      <c r="H79" s="4">
        <f t="shared" si="6"/>
        <v>3</v>
      </c>
      <c r="I79" s="4" t="str">
        <f t="shared" si="7"/>
        <v>At Risk</v>
      </c>
    </row>
    <row r="80" spans="1:9" x14ac:dyDescent="0.3">
      <c r="A80" t="s">
        <v>171</v>
      </c>
      <c r="B80" s="4" t="str">
        <f>_xlfn.XLOOKUP(A80,Cleaned_Data!$B$1:$B$1957,Cleaned_Data!$D$1:$D$1957)</f>
        <v>Khulna</v>
      </c>
      <c r="C80" s="4">
        <v>117</v>
      </c>
      <c r="D80" s="6">
        <v>10</v>
      </c>
      <c r="E80" s="4">
        <v>1943400</v>
      </c>
      <c r="F80" s="4">
        <f t="shared" si="4"/>
        <v>2</v>
      </c>
      <c r="G80" s="4">
        <f t="shared" si="5"/>
        <v>5</v>
      </c>
      <c r="H80" s="4">
        <f t="shared" si="6"/>
        <v>5</v>
      </c>
      <c r="I80" s="4" t="str">
        <f t="shared" si="7"/>
        <v>At Risk</v>
      </c>
    </row>
    <row r="81" spans="1:9" x14ac:dyDescent="0.3">
      <c r="A81" t="s">
        <v>67</v>
      </c>
      <c r="B81" s="4" t="str">
        <f>_xlfn.XLOOKUP(A81,Cleaned_Data!$B$1:$B$1957,Cleaned_Data!$D$1:$D$1957)</f>
        <v>Barishal</v>
      </c>
      <c r="C81" s="4">
        <v>49</v>
      </c>
      <c r="D81" s="6">
        <v>9</v>
      </c>
      <c r="E81" s="4">
        <v>2392350</v>
      </c>
      <c r="F81" s="4">
        <f t="shared" si="4"/>
        <v>3</v>
      </c>
      <c r="G81" s="4">
        <f t="shared" si="5"/>
        <v>5</v>
      </c>
      <c r="H81" s="4">
        <f t="shared" si="6"/>
        <v>5</v>
      </c>
      <c r="I81" s="4" t="str">
        <f t="shared" si="7"/>
        <v>Loyal Customers</v>
      </c>
    </row>
    <row r="82" spans="1:9" x14ac:dyDescent="0.3">
      <c r="A82" t="s">
        <v>133</v>
      </c>
      <c r="B82" s="4" t="str">
        <f>_xlfn.XLOOKUP(A82,Cleaned_Data!$B$1:$B$1957,Cleaned_Data!$D$1:$D$1957)</f>
        <v>Dhaka</v>
      </c>
      <c r="C82" s="4">
        <v>158</v>
      </c>
      <c r="D82" s="6">
        <v>5</v>
      </c>
      <c r="E82" s="4">
        <v>683880</v>
      </c>
      <c r="F82" s="4">
        <f t="shared" si="4"/>
        <v>2</v>
      </c>
      <c r="G82" s="4">
        <f t="shared" si="5"/>
        <v>2</v>
      </c>
      <c r="H82" s="4">
        <f t="shared" si="6"/>
        <v>2</v>
      </c>
      <c r="I82" s="4" t="str">
        <f t="shared" si="7"/>
        <v>Lost/Churned</v>
      </c>
    </row>
    <row r="83" spans="1:9" x14ac:dyDescent="0.3">
      <c r="A83" t="s">
        <v>86</v>
      </c>
      <c r="B83" s="4" t="str">
        <f>_xlfn.XLOOKUP(A83,Cleaned_Data!$B$1:$B$1957,Cleaned_Data!$D$1:$D$1957)</f>
        <v>Rajshahi</v>
      </c>
      <c r="C83" s="4">
        <v>161</v>
      </c>
      <c r="D83" s="6">
        <v>7</v>
      </c>
      <c r="E83" s="4">
        <v>432960</v>
      </c>
      <c r="F83" s="4">
        <f t="shared" si="4"/>
        <v>2</v>
      </c>
      <c r="G83" s="4">
        <f t="shared" si="5"/>
        <v>4</v>
      </c>
      <c r="H83" s="4">
        <f t="shared" si="6"/>
        <v>1</v>
      </c>
      <c r="I83" s="4" t="str">
        <f t="shared" si="7"/>
        <v>At Risk</v>
      </c>
    </row>
    <row r="84" spans="1:9" x14ac:dyDescent="0.3">
      <c r="A84" t="s">
        <v>222</v>
      </c>
      <c r="B84" s="4" t="str">
        <f>_xlfn.XLOOKUP(A84,Cleaned_Data!$B$1:$B$1957,Cleaned_Data!$D$1:$D$1957)</f>
        <v>Chattogram</v>
      </c>
      <c r="C84" s="4">
        <v>177</v>
      </c>
      <c r="D84" s="6">
        <v>5</v>
      </c>
      <c r="E84" s="4">
        <v>793350</v>
      </c>
      <c r="F84" s="4">
        <f t="shared" si="4"/>
        <v>1</v>
      </c>
      <c r="G84" s="4">
        <f t="shared" si="5"/>
        <v>2</v>
      </c>
      <c r="H84" s="4">
        <f t="shared" si="6"/>
        <v>2</v>
      </c>
      <c r="I84" s="4" t="str">
        <f t="shared" si="7"/>
        <v>Lost/Churned</v>
      </c>
    </row>
    <row r="85" spans="1:9" x14ac:dyDescent="0.3">
      <c r="A85" t="s">
        <v>282</v>
      </c>
      <c r="B85" s="4" t="str">
        <f>_xlfn.XLOOKUP(A85,Cleaned_Data!$B$1:$B$1957,Cleaned_Data!$D$1:$D$1957)</f>
        <v>Sylhet</v>
      </c>
      <c r="C85" s="4">
        <v>59</v>
      </c>
      <c r="D85" s="6">
        <v>7</v>
      </c>
      <c r="E85" s="4">
        <v>1143900</v>
      </c>
      <c r="F85" s="4">
        <f t="shared" si="4"/>
        <v>3</v>
      </c>
      <c r="G85" s="4">
        <f t="shared" si="5"/>
        <v>4</v>
      </c>
      <c r="H85" s="4">
        <f t="shared" si="6"/>
        <v>3</v>
      </c>
      <c r="I85" s="4" t="str">
        <f t="shared" si="7"/>
        <v>Loyal Customers</v>
      </c>
    </row>
    <row r="86" spans="1:9" x14ac:dyDescent="0.3">
      <c r="A86" t="s">
        <v>296</v>
      </c>
      <c r="B86" s="4" t="str">
        <f>_xlfn.XLOOKUP(A86,Cleaned_Data!$B$1:$B$1957,Cleaned_Data!$D$1:$D$1957)</f>
        <v>Dhaka</v>
      </c>
      <c r="C86" s="4">
        <v>22</v>
      </c>
      <c r="D86" s="6">
        <v>7</v>
      </c>
      <c r="E86" s="4">
        <v>757680</v>
      </c>
      <c r="F86" s="4">
        <f t="shared" si="4"/>
        <v>5</v>
      </c>
      <c r="G86" s="4">
        <f t="shared" si="5"/>
        <v>4</v>
      </c>
      <c r="H86" s="4">
        <f t="shared" si="6"/>
        <v>2</v>
      </c>
      <c r="I86" s="4" t="str">
        <f t="shared" si="7"/>
        <v>Loyal Customers</v>
      </c>
    </row>
    <row r="87" spans="1:9" x14ac:dyDescent="0.3">
      <c r="A87" t="s">
        <v>198</v>
      </c>
      <c r="B87" s="4" t="str">
        <f>_xlfn.XLOOKUP(A87,Cleaned_Data!$B$1:$B$1957,Cleaned_Data!$D$1:$D$1957)</f>
        <v>Khulna</v>
      </c>
      <c r="C87" s="4">
        <v>118</v>
      </c>
      <c r="D87" s="6">
        <v>8</v>
      </c>
      <c r="E87" s="4">
        <v>2669100</v>
      </c>
      <c r="F87" s="4">
        <f t="shared" si="4"/>
        <v>2</v>
      </c>
      <c r="G87" s="4">
        <f t="shared" si="5"/>
        <v>4</v>
      </c>
      <c r="H87" s="4">
        <f t="shared" si="6"/>
        <v>5</v>
      </c>
      <c r="I87" s="4" t="str">
        <f t="shared" si="7"/>
        <v>At Risk</v>
      </c>
    </row>
    <row r="88" spans="1:9" x14ac:dyDescent="0.3">
      <c r="A88" t="s">
        <v>146</v>
      </c>
      <c r="B88" s="4" t="str">
        <f>_xlfn.XLOOKUP(A88,Cleaned_Data!$B$1:$B$1957,Cleaned_Data!$D$1:$D$1957)</f>
        <v>Mymensingh</v>
      </c>
      <c r="C88" s="4">
        <v>354</v>
      </c>
      <c r="D88" s="6">
        <v>3</v>
      </c>
      <c r="E88" s="4">
        <v>158670</v>
      </c>
      <c r="F88" s="4">
        <f t="shared" si="4"/>
        <v>1</v>
      </c>
      <c r="G88" s="4">
        <f t="shared" si="5"/>
        <v>1</v>
      </c>
      <c r="H88" s="4">
        <f t="shared" si="6"/>
        <v>1</v>
      </c>
      <c r="I88" s="4" t="str">
        <f t="shared" si="7"/>
        <v>Lost/Churned</v>
      </c>
    </row>
    <row r="89" spans="1:9" x14ac:dyDescent="0.3">
      <c r="A89" t="s">
        <v>305</v>
      </c>
      <c r="B89" s="4" t="str">
        <f>_xlfn.XLOOKUP(A89,Cleaned_Data!$B$1:$B$1957,Cleaned_Data!$D$1:$D$1957)</f>
        <v>Dhaka</v>
      </c>
      <c r="C89" s="4">
        <v>122</v>
      </c>
      <c r="D89" s="6">
        <v>5</v>
      </c>
      <c r="E89" s="4">
        <v>1414500</v>
      </c>
      <c r="F89" s="4">
        <f t="shared" si="4"/>
        <v>2</v>
      </c>
      <c r="G89" s="4">
        <f t="shared" si="5"/>
        <v>2</v>
      </c>
      <c r="H89" s="4">
        <f t="shared" si="6"/>
        <v>4</v>
      </c>
      <c r="I89" s="4" t="str">
        <f t="shared" si="7"/>
        <v>At Risk</v>
      </c>
    </row>
    <row r="90" spans="1:9" x14ac:dyDescent="0.3">
      <c r="A90" t="s">
        <v>104</v>
      </c>
      <c r="B90" s="4" t="str">
        <f>_xlfn.XLOOKUP(A90,Cleaned_Data!$B$1:$B$1957,Cleaned_Data!$D$1:$D$1957)</f>
        <v>Rajshahi</v>
      </c>
      <c r="C90" s="4">
        <v>1</v>
      </c>
      <c r="D90" s="6">
        <v>13</v>
      </c>
      <c r="E90" s="4">
        <v>2200470</v>
      </c>
      <c r="F90" s="4">
        <f t="shared" si="4"/>
        <v>5</v>
      </c>
      <c r="G90" s="4">
        <f t="shared" si="5"/>
        <v>5</v>
      </c>
      <c r="H90" s="4">
        <f t="shared" si="6"/>
        <v>5</v>
      </c>
      <c r="I90" s="4" t="str">
        <f t="shared" si="7"/>
        <v>Champions</v>
      </c>
    </row>
    <row r="91" spans="1:9" x14ac:dyDescent="0.3">
      <c r="A91" t="s">
        <v>184</v>
      </c>
      <c r="B91" s="4" t="str">
        <f>_xlfn.XLOOKUP(A91,Cleaned_Data!$B$1:$B$1957,Cleaned_Data!$D$1:$D$1957)</f>
        <v>Dhaka</v>
      </c>
      <c r="C91" s="4">
        <v>18</v>
      </c>
      <c r="D91" s="6">
        <v>6</v>
      </c>
      <c r="E91" s="4">
        <v>1001220</v>
      </c>
      <c r="F91" s="4">
        <f t="shared" si="4"/>
        <v>5</v>
      </c>
      <c r="G91" s="4">
        <f t="shared" si="5"/>
        <v>3</v>
      </c>
      <c r="H91" s="4">
        <f t="shared" si="6"/>
        <v>3</v>
      </c>
      <c r="I91" s="4" t="str">
        <f t="shared" si="7"/>
        <v>Potential Loyal</v>
      </c>
    </row>
    <row r="92" spans="1:9" x14ac:dyDescent="0.3">
      <c r="A92" t="s">
        <v>153</v>
      </c>
      <c r="B92" s="4" t="str">
        <f>_xlfn.XLOOKUP(A92,Cleaned_Data!$B$1:$B$1957,Cleaned_Data!$D$1:$D$1957)</f>
        <v>Chattogram</v>
      </c>
      <c r="C92" s="4">
        <v>175</v>
      </c>
      <c r="D92" s="6">
        <v>5</v>
      </c>
      <c r="E92" s="4">
        <v>354240</v>
      </c>
      <c r="F92" s="4">
        <f t="shared" si="4"/>
        <v>1</v>
      </c>
      <c r="G92" s="4">
        <f t="shared" si="5"/>
        <v>2</v>
      </c>
      <c r="H92" s="4">
        <f t="shared" si="6"/>
        <v>1</v>
      </c>
      <c r="I92" s="4" t="str">
        <f t="shared" si="7"/>
        <v>Lost/Churned</v>
      </c>
    </row>
    <row r="93" spans="1:9" x14ac:dyDescent="0.3">
      <c r="A93" t="s">
        <v>180</v>
      </c>
      <c r="B93" s="4" t="str">
        <f>_xlfn.XLOOKUP(A93,Cleaned_Data!$B$1:$B$1957,Cleaned_Data!$D$1:$D$1957)</f>
        <v>Sylhet</v>
      </c>
      <c r="C93" s="4">
        <v>128</v>
      </c>
      <c r="D93" s="6">
        <v>8</v>
      </c>
      <c r="E93" s="4">
        <v>549810</v>
      </c>
      <c r="F93" s="4">
        <f t="shared" si="4"/>
        <v>2</v>
      </c>
      <c r="G93" s="4">
        <f t="shared" si="5"/>
        <v>4</v>
      </c>
      <c r="H93" s="4">
        <f t="shared" si="6"/>
        <v>2</v>
      </c>
      <c r="I93" s="4" t="str">
        <f t="shared" si="7"/>
        <v>At Risk</v>
      </c>
    </row>
    <row r="94" spans="1:9" x14ac:dyDescent="0.3">
      <c r="A94" t="s">
        <v>175</v>
      </c>
      <c r="B94" s="4" t="str">
        <f>_xlfn.XLOOKUP(A94,Cleaned_Data!$B$1:$B$1957,Cleaned_Data!$D$1:$D$1957)</f>
        <v>Dhaka</v>
      </c>
      <c r="C94" s="4">
        <v>46</v>
      </c>
      <c r="D94" s="6">
        <v>14</v>
      </c>
      <c r="E94" s="4">
        <v>3940920</v>
      </c>
      <c r="F94" s="4">
        <f t="shared" si="4"/>
        <v>4</v>
      </c>
      <c r="G94" s="4">
        <f t="shared" si="5"/>
        <v>5</v>
      </c>
      <c r="H94" s="4">
        <f t="shared" si="6"/>
        <v>5</v>
      </c>
      <c r="I94" s="4" t="str">
        <f t="shared" si="7"/>
        <v>Champions</v>
      </c>
    </row>
    <row r="95" spans="1:9" x14ac:dyDescent="0.3">
      <c r="A95" t="s">
        <v>88</v>
      </c>
      <c r="B95" s="4" t="str">
        <f>_xlfn.XLOOKUP(A95,Cleaned_Data!$B$1:$B$1957,Cleaned_Data!$D$1:$D$1957)</f>
        <v>Chattogram</v>
      </c>
      <c r="C95" s="4">
        <v>47</v>
      </c>
      <c r="D95" s="6">
        <v>6</v>
      </c>
      <c r="E95" s="4">
        <v>1167270</v>
      </c>
      <c r="F95" s="4">
        <f t="shared" si="4"/>
        <v>4</v>
      </c>
      <c r="G95" s="4">
        <f t="shared" si="5"/>
        <v>3</v>
      </c>
      <c r="H95" s="4">
        <f t="shared" si="6"/>
        <v>4</v>
      </c>
      <c r="I95" s="4" t="str">
        <f t="shared" si="7"/>
        <v>Potential Loyal</v>
      </c>
    </row>
    <row r="96" spans="1:9" x14ac:dyDescent="0.3">
      <c r="A96" t="s">
        <v>226</v>
      </c>
      <c r="B96" s="4" t="str">
        <f>_xlfn.XLOOKUP(A96,Cleaned_Data!$B$1:$B$1957,Cleaned_Data!$D$1:$D$1957)</f>
        <v>Rangpur</v>
      </c>
      <c r="C96" s="4">
        <v>205</v>
      </c>
      <c r="D96" s="6">
        <v>4</v>
      </c>
      <c r="E96" s="4">
        <v>651900</v>
      </c>
      <c r="F96" s="4">
        <f t="shared" si="4"/>
        <v>1</v>
      </c>
      <c r="G96" s="4">
        <f t="shared" si="5"/>
        <v>1</v>
      </c>
      <c r="H96" s="4">
        <f t="shared" si="6"/>
        <v>2</v>
      </c>
      <c r="I96" s="4" t="str">
        <f t="shared" si="7"/>
        <v>Lost/Churned</v>
      </c>
    </row>
    <row r="97" spans="1:9" x14ac:dyDescent="0.3">
      <c r="A97" t="s">
        <v>247</v>
      </c>
      <c r="B97" s="4" t="str">
        <f>_xlfn.XLOOKUP(A97,Cleaned_Data!$B$1:$B$1957,Cleaned_Data!$D$1:$D$1957)</f>
        <v>Dhaka</v>
      </c>
      <c r="C97" s="4">
        <v>10</v>
      </c>
      <c r="D97" s="6">
        <v>5</v>
      </c>
      <c r="E97" s="4">
        <v>1028280</v>
      </c>
      <c r="F97" s="4">
        <f t="shared" si="4"/>
        <v>5</v>
      </c>
      <c r="G97" s="4">
        <f t="shared" si="5"/>
        <v>2</v>
      </c>
      <c r="H97" s="4">
        <f t="shared" si="6"/>
        <v>3</v>
      </c>
      <c r="I97" s="4" t="str">
        <f t="shared" si="7"/>
        <v>New Customers</v>
      </c>
    </row>
    <row r="98" spans="1:9" x14ac:dyDescent="0.3">
      <c r="A98" t="s">
        <v>109</v>
      </c>
      <c r="B98" s="4" t="str">
        <f>_xlfn.XLOOKUP(A98,Cleaned_Data!$B$1:$B$1957,Cleaned_Data!$D$1:$D$1957)</f>
        <v>Khulna</v>
      </c>
      <c r="C98" s="4">
        <v>38</v>
      </c>
      <c r="D98" s="6">
        <v>7</v>
      </c>
      <c r="E98" s="4">
        <v>1221390</v>
      </c>
      <c r="F98" s="4">
        <f t="shared" si="4"/>
        <v>4</v>
      </c>
      <c r="G98" s="4">
        <f t="shared" si="5"/>
        <v>4</v>
      </c>
      <c r="H98" s="4">
        <f t="shared" si="6"/>
        <v>4</v>
      </c>
      <c r="I98" s="4" t="str">
        <f t="shared" si="7"/>
        <v>Champions</v>
      </c>
    </row>
    <row r="99" spans="1:9" x14ac:dyDescent="0.3">
      <c r="A99" t="s">
        <v>179</v>
      </c>
      <c r="B99" s="4" t="str">
        <f>_xlfn.XLOOKUP(A99,Cleaned_Data!$B$1:$B$1957,Cleaned_Data!$D$1:$D$1957)</f>
        <v>Dhaka</v>
      </c>
      <c r="C99" s="4">
        <v>129</v>
      </c>
      <c r="D99" s="6">
        <v>7</v>
      </c>
      <c r="E99" s="4">
        <v>1153740</v>
      </c>
      <c r="F99" s="4">
        <f t="shared" si="4"/>
        <v>2</v>
      </c>
      <c r="G99" s="4">
        <f t="shared" si="5"/>
        <v>4</v>
      </c>
      <c r="H99" s="4">
        <f t="shared" si="6"/>
        <v>3</v>
      </c>
      <c r="I99" s="4" t="str">
        <f t="shared" si="7"/>
        <v>At Risk</v>
      </c>
    </row>
    <row r="100" spans="1:9" x14ac:dyDescent="0.3">
      <c r="A100" t="s">
        <v>293</v>
      </c>
      <c r="B100" s="4" t="str">
        <f>_xlfn.XLOOKUP(A100,Cleaned_Data!$B$1:$B$1957,Cleaned_Data!$D$1:$D$1957)</f>
        <v>Chattogram</v>
      </c>
      <c r="C100" s="4">
        <v>27</v>
      </c>
      <c r="D100" s="6">
        <v>6</v>
      </c>
      <c r="E100" s="4">
        <v>1107000</v>
      </c>
      <c r="F100" s="4">
        <f t="shared" si="4"/>
        <v>4</v>
      </c>
      <c r="G100" s="4">
        <f t="shared" si="5"/>
        <v>3</v>
      </c>
      <c r="H100" s="4">
        <f t="shared" si="6"/>
        <v>3</v>
      </c>
      <c r="I100" s="4" t="str">
        <f t="shared" si="7"/>
        <v>Potential Loyal</v>
      </c>
    </row>
    <row r="101" spans="1:9" x14ac:dyDescent="0.3">
      <c r="A101" t="s">
        <v>218</v>
      </c>
      <c r="B101" s="4" t="str">
        <f>_xlfn.XLOOKUP(A101,Cleaned_Data!$B$1:$B$1957,Cleaned_Data!$D$1:$D$1957)</f>
        <v>Rajshahi</v>
      </c>
      <c r="C101" s="4">
        <v>438</v>
      </c>
      <c r="D101" s="6">
        <v>1</v>
      </c>
      <c r="E101" s="4">
        <v>110700</v>
      </c>
      <c r="F101" s="4">
        <f t="shared" si="4"/>
        <v>1</v>
      </c>
      <c r="G101" s="4">
        <f t="shared" si="5"/>
        <v>1</v>
      </c>
      <c r="H101" s="4">
        <f t="shared" si="6"/>
        <v>1</v>
      </c>
      <c r="I101" s="4" t="str">
        <f t="shared" si="7"/>
        <v>Lost/Churned</v>
      </c>
    </row>
    <row r="102" spans="1:9" x14ac:dyDescent="0.3">
      <c r="A102" t="s">
        <v>237</v>
      </c>
      <c r="B102" s="4" t="str">
        <f>_xlfn.XLOOKUP(A102,Cleaned_Data!$B$1:$B$1957,Cleaned_Data!$D$1:$D$1957)</f>
        <v>Dhaka</v>
      </c>
      <c r="C102" s="4">
        <v>28</v>
      </c>
      <c r="D102" s="6">
        <v>6</v>
      </c>
      <c r="E102" s="4">
        <v>361620</v>
      </c>
      <c r="F102" s="4">
        <f t="shared" si="4"/>
        <v>4</v>
      </c>
      <c r="G102" s="4">
        <f t="shared" si="5"/>
        <v>3</v>
      </c>
      <c r="H102" s="4">
        <f t="shared" si="6"/>
        <v>1</v>
      </c>
      <c r="I102" s="4" t="str">
        <f t="shared" si="7"/>
        <v>Potential Loyal</v>
      </c>
    </row>
    <row r="103" spans="1:9" x14ac:dyDescent="0.3">
      <c r="A103" t="s">
        <v>301</v>
      </c>
      <c r="B103" s="4" t="str">
        <f>_xlfn.XLOOKUP(A103,Cleaned_Data!$B$1:$B$1957,Cleaned_Data!$D$1:$D$1957)</f>
        <v>Chattogram</v>
      </c>
      <c r="C103" s="4">
        <v>23</v>
      </c>
      <c r="D103" s="6">
        <v>7</v>
      </c>
      <c r="E103" s="4">
        <v>190650</v>
      </c>
      <c r="F103" s="4">
        <f t="shared" si="4"/>
        <v>4</v>
      </c>
      <c r="G103" s="4">
        <f t="shared" si="5"/>
        <v>4</v>
      </c>
      <c r="H103" s="4">
        <f t="shared" si="6"/>
        <v>1</v>
      </c>
      <c r="I103" s="4" t="str">
        <f t="shared" si="7"/>
        <v>Loyal Customers</v>
      </c>
    </row>
    <row r="104" spans="1:9" x14ac:dyDescent="0.3">
      <c r="A104" t="s">
        <v>162</v>
      </c>
      <c r="B104" s="4" t="str">
        <f>_xlfn.XLOOKUP(A104,Cleaned_Data!$B$1:$B$1957,Cleaned_Data!$D$1:$D$1957)</f>
        <v>Rangpur</v>
      </c>
      <c r="C104" s="4">
        <v>98</v>
      </c>
      <c r="D104" s="6">
        <v>8</v>
      </c>
      <c r="E104" s="4">
        <v>688800</v>
      </c>
      <c r="F104" s="4">
        <f t="shared" si="4"/>
        <v>3</v>
      </c>
      <c r="G104" s="4">
        <f t="shared" si="5"/>
        <v>4</v>
      </c>
      <c r="H104" s="4">
        <f t="shared" si="6"/>
        <v>2</v>
      </c>
      <c r="I104" s="4" t="str">
        <f t="shared" si="7"/>
        <v>Loyal Customers</v>
      </c>
    </row>
    <row r="105" spans="1:9" x14ac:dyDescent="0.3">
      <c r="A105" t="s">
        <v>201</v>
      </c>
      <c r="B105" s="4" t="str">
        <f>_xlfn.XLOOKUP(A105,Cleaned_Data!$B$1:$B$1957,Cleaned_Data!$D$1:$D$1957)</f>
        <v>Dhaka</v>
      </c>
      <c r="C105" s="4">
        <v>159</v>
      </c>
      <c r="D105" s="6">
        <v>9</v>
      </c>
      <c r="E105" s="4">
        <v>1686330</v>
      </c>
      <c r="F105" s="4">
        <f t="shared" si="4"/>
        <v>2</v>
      </c>
      <c r="G105" s="4">
        <f t="shared" si="5"/>
        <v>5</v>
      </c>
      <c r="H105" s="4">
        <f t="shared" si="6"/>
        <v>5</v>
      </c>
      <c r="I105" s="4" t="str">
        <f t="shared" si="7"/>
        <v>At Risk</v>
      </c>
    </row>
    <row r="106" spans="1:9" x14ac:dyDescent="0.3">
      <c r="A106" t="s">
        <v>291</v>
      </c>
      <c r="B106" s="4" t="str">
        <f>_xlfn.XLOOKUP(A106,Cleaned_Data!$B$1:$B$1957,Cleaned_Data!$D$1:$D$1957)</f>
        <v>Khulna</v>
      </c>
      <c r="C106" s="4">
        <v>76</v>
      </c>
      <c r="D106" s="6">
        <v>5</v>
      </c>
      <c r="E106" s="4">
        <v>1322250</v>
      </c>
      <c r="F106" s="4">
        <f t="shared" si="4"/>
        <v>3</v>
      </c>
      <c r="G106" s="4">
        <f t="shared" si="5"/>
        <v>2</v>
      </c>
      <c r="H106" s="4">
        <f t="shared" si="6"/>
        <v>4</v>
      </c>
      <c r="I106" s="4" t="str">
        <f t="shared" si="7"/>
        <v>Potential Loyal</v>
      </c>
    </row>
    <row r="107" spans="1:9" x14ac:dyDescent="0.3">
      <c r="A107" t="s">
        <v>174</v>
      </c>
      <c r="B107" s="4" t="str">
        <f>_xlfn.XLOOKUP(A107,Cleaned_Data!$B$1:$B$1957,Cleaned_Data!$D$1:$D$1957)</f>
        <v>Dhaka</v>
      </c>
      <c r="C107" s="4">
        <v>9</v>
      </c>
      <c r="D107" s="6">
        <v>12</v>
      </c>
      <c r="E107" s="4">
        <v>1820400</v>
      </c>
      <c r="F107" s="4">
        <f t="shared" si="4"/>
        <v>5</v>
      </c>
      <c r="G107" s="4">
        <f t="shared" si="5"/>
        <v>5</v>
      </c>
      <c r="H107" s="4">
        <f t="shared" si="6"/>
        <v>5</v>
      </c>
      <c r="I107" s="4" t="str">
        <f t="shared" si="7"/>
        <v>Champions</v>
      </c>
    </row>
    <row r="108" spans="1:9" x14ac:dyDescent="0.3">
      <c r="A108" t="s">
        <v>288</v>
      </c>
      <c r="B108" s="4" t="str">
        <f>_xlfn.XLOOKUP(A108,Cleaned_Data!$B$1:$B$1957,Cleaned_Data!$D$1:$D$1957)</f>
        <v>Dhaka</v>
      </c>
      <c r="C108" s="4">
        <v>596</v>
      </c>
      <c r="D108" s="6">
        <v>1</v>
      </c>
      <c r="E108" s="4">
        <v>110700</v>
      </c>
      <c r="F108" s="4">
        <f t="shared" si="4"/>
        <v>1</v>
      </c>
      <c r="G108" s="4">
        <f t="shared" si="5"/>
        <v>1</v>
      </c>
      <c r="H108" s="4">
        <f t="shared" si="6"/>
        <v>1</v>
      </c>
      <c r="I108" s="4" t="str">
        <f t="shared" si="7"/>
        <v>Lost/Churned</v>
      </c>
    </row>
    <row r="109" spans="1:9" x14ac:dyDescent="0.3">
      <c r="A109" t="s">
        <v>83</v>
      </c>
      <c r="B109" s="4" t="str">
        <f>_xlfn.XLOOKUP(A109,Cleaned_Data!$B$1:$B$1957,Cleaned_Data!$D$1:$D$1957)</f>
        <v>Chattogram</v>
      </c>
      <c r="C109" s="4">
        <v>159</v>
      </c>
      <c r="D109" s="6">
        <v>7</v>
      </c>
      <c r="E109" s="4">
        <v>1771200</v>
      </c>
      <c r="F109" s="4">
        <f t="shared" si="4"/>
        <v>2</v>
      </c>
      <c r="G109" s="4">
        <f t="shared" si="5"/>
        <v>4</v>
      </c>
      <c r="H109" s="4">
        <f t="shared" si="6"/>
        <v>5</v>
      </c>
      <c r="I109" s="4" t="str">
        <f t="shared" si="7"/>
        <v>At Risk</v>
      </c>
    </row>
    <row r="110" spans="1:9" x14ac:dyDescent="0.3">
      <c r="A110" t="s">
        <v>112</v>
      </c>
      <c r="B110" s="4" t="str">
        <f>_xlfn.XLOOKUP(A110,Cleaned_Data!$B$1:$B$1957,Cleaned_Data!$D$1:$D$1957)</f>
        <v>Sylhet</v>
      </c>
      <c r="C110" s="4">
        <v>27</v>
      </c>
      <c r="D110" s="6">
        <v>6</v>
      </c>
      <c r="E110" s="4">
        <v>1008600</v>
      </c>
      <c r="F110" s="4">
        <f t="shared" si="4"/>
        <v>4</v>
      </c>
      <c r="G110" s="4">
        <f t="shared" si="5"/>
        <v>3</v>
      </c>
      <c r="H110" s="4">
        <f t="shared" si="6"/>
        <v>3</v>
      </c>
      <c r="I110" s="4" t="str">
        <f t="shared" si="7"/>
        <v>Potential Loyal</v>
      </c>
    </row>
    <row r="111" spans="1:9" x14ac:dyDescent="0.3">
      <c r="A111" t="s">
        <v>157</v>
      </c>
      <c r="B111" s="4" t="str">
        <f>_xlfn.XLOOKUP(A111,Cleaned_Data!$B$1:$B$1957,Cleaned_Data!$D$1:$D$1957)</f>
        <v>Dhaka</v>
      </c>
      <c r="C111" s="4">
        <v>219</v>
      </c>
      <c r="D111" s="6">
        <v>7</v>
      </c>
      <c r="E111" s="4">
        <v>477240</v>
      </c>
      <c r="F111" s="4">
        <f t="shared" si="4"/>
        <v>1</v>
      </c>
      <c r="G111" s="4">
        <f t="shared" si="5"/>
        <v>4</v>
      </c>
      <c r="H111" s="4">
        <f t="shared" si="6"/>
        <v>1</v>
      </c>
      <c r="I111" s="4" t="str">
        <f t="shared" si="7"/>
        <v>At Risk</v>
      </c>
    </row>
    <row r="112" spans="1:9" x14ac:dyDescent="0.3">
      <c r="A112" t="s">
        <v>196</v>
      </c>
      <c r="B112" s="4" t="str">
        <f>_xlfn.XLOOKUP(A112,Cleaned_Data!$B$1:$B$1957,Cleaned_Data!$D$1:$D$1957)</f>
        <v>Khulna</v>
      </c>
      <c r="C112" s="4">
        <v>529</v>
      </c>
      <c r="D112" s="6">
        <v>3</v>
      </c>
      <c r="E112" s="4">
        <v>195570</v>
      </c>
      <c r="F112" s="4">
        <f t="shared" si="4"/>
        <v>1</v>
      </c>
      <c r="G112" s="4">
        <f t="shared" si="5"/>
        <v>1</v>
      </c>
      <c r="H112" s="4">
        <f t="shared" si="6"/>
        <v>1</v>
      </c>
      <c r="I112" s="4" t="str">
        <f t="shared" si="7"/>
        <v>Lost/Churned</v>
      </c>
    </row>
    <row r="113" spans="1:9" x14ac:dyDescent="0.3">
      <c r="A113" t="s">
        <v>178</v>
      </c>
      <c r="B113" s="4" t="str">
        <f>_xlfn.XLOOKUP(A113,Cleaned_Data!$B$1:$B$1957,Cleaned_Data!$D$1:$D$1957)</f>
        <v>Mymensingh</v>
      </c>
      <c r="C113" s="4">
        <v>16</v>
      </c>
      <c r="D113" s="6">
        <v>9</v>
      </c>
      <c r="E113" s="4">
        <v>771210</v>
      </c>
      <c r="F113" s="4">
        <f t="shared" si="4"/>
        <v>5</v>
      </c>
      <c r="G113" s="4">
        <f t="shared" si="5"/>
        <v>5</v>
      </c>
      <c r="H113" s="4">
        <f t="shared" si="6"/>
        <v>2</v>
      </c>
      <c r="I113" s="4" t="str">
        <f t="shared" si="7"/>
        <v>Loyal Customers</v>
      </c>
    </row>
    <row r="114" spans="1:9" x14ac:dyDescent="0.3">
      <c r="A114" t="s">
        <v>292</v>
      </c>
      <c r="B114" s="4" t="str">
        <f>_xlfn.XLOOKUP(A114,Cleaned_Data!$B$1:$B$1957,Cleaned_Data!$D$1:$D$1957)</f>
        <v>Dhaka</v>
      </c>
      <c r="C114" s="4">
        <v>280</v>
      </c>
      <c r="D114" s="6">
        <v>3</v>
      </c>
      <c r="E114" s="4">
        <v>977850</v>
      </c>
      <c r="F114" s="4">
        <f t="shared" si="4"/>
        <v>1</v>
      </c>
      <c r="G114" s="4">
        <f t="shared" si="5"/>
        <v>1</v>
      </c>
      <c r="H114" s="4">
        <f t="shared" si="6"/>
        <v>3</v>
      </c>
      <c r="I114" s="4" t="str">
        <f t="shared" si="7"/>
        <v>At Risk</v>
      </c>
    </row>
    <row r="115" spans="1:9" x14ac:dyDescent="0.3">
      <c r="A115" t="s">
        <v>246</v>
      </c>
      <c r="B115" s="4" t="str">
        <f>_xlfn.XLOOKUP(A115,Cleaned_Data!$B$1:$B$1957,Cleaned_Data!$D$1:$D$1957)</f>
        <v>Rajshahi</v>
      </c>
      <c r="C115" s="4">
        <v>105</v>
      </c>
      <c r="D115" s="6">
        <v>5</v>
      </c>
      <c r="E115" s="4">
        <v>719550</v>
      </c>
      <c r="F115" s="4">
        <f t="shared" si="4"/>
        <v>2</v>
      </c>
      <c r="G115" s="4">
        <f t="shared" si="5"/>
        <v>2</v>
      </c>
      <c r="H115" s="4">
        <f t="shared" si="6"/>
        <v>2</v>
      </c>
      <c r="I115" s="4" t="str">
        <f t="shared" si="7"/>
        <v>Lost/Churned</v>
      </c>
    </row>
    <row r="116" spans="1:9" x14ac:dyDescent="0.3">
      <c r="A116" t="s">
        <v>306</v>
      </c>
      <c r="B116" s="4" t="str">
        <f>_xlfn.XLOOKUP(A116,Cleaned_Data!$B$1:$B$1957,Cleaned_Data!$D$1:$D$1957)</f>
        <v>Chattogram</v>
      </c>
      <c r="C116" s="4">
        <v>121</v>
      </c>
      <c r="D116" s="6">
        <v>7</v>
      </c>
      <c r="E116" s="4">
        <v>1210320</v>
      </c>
      <c r="F116" s="4">
        <f t="shared" si="4"/>
        <v>2</v>
      </c>
      <c r="G116" s="4">
        <f t="shared" si="5"/>
        <v>4</v>
      </c>
      <c r="H116" s="4">
        <f t="shared" si="6"/>
        <v>4</v>
      </c>
      <c r="I116" s="4" t="str">
        <f t="shared" si="7"/>
        <v>At Risk</v>
      </c>
    </row>
    <row r="117" spans="1:9" x14ac:dyDescent="0.3">
      <c r="A117" t="s">
        <v>220</v>
      </c>
      <c r="B117" s="4" t="str">
        <f>_xlfn.XLOOKUP(A117,Cleaned_Data!$B$1:$B$1957,Cleaned_Data!$D$1:$D$1957)</f>
        <v>Sylhet</v>
      </c>
      <c r="C117" s="4">
        <v>242</v>
      </c>
      <c r="D117" s="6">
        <v>3</v>
      </c>
      <c r="E117" s="4">
        <v>166050</v>
      </c>
      <c r="F117" s="4">
        <f t="shared" si="4"/>
        <v>1</v>
      </c>
      <c r="G117" s="4">
        <f t="shared" si="5"/>
        <v>1</v>
      </c>
      <c r="H117" s="4">
        <f t="shared" si="6"/>
        <v>1</v>
      </c>
      <c r="I117" s="4" t="str">
        <f t="shared" si="7"/>
        <v>Lost/Churned</v>
      </c>
    </row>
    <row r="118" spans="1:9" x14ac:dyDescent="0.3">
      <c r="A118" t="s">
        <v>73</v>
      </c>
      <c r="B118" s="4" t="str">
        <f>_xlfn.XLOOKUP(A118,Cleaned_Data!$B$1:$B$1957,Cleaned_Data!$D$1:$D$1957)</f>
        <v>Dhaka</v>
      </c>
      <c r="C118" s="4">
        <v>9</v>
      </c>
      <c r="D118" s="6">
        <v>9</v>
      </c>
      <c r="E118" s="4">
        <v>1810560</v>
      </c>
      <c r="F118" s="4">
        <f t="shared" si="4"/>
        <v>5</v>
      </c>
      <c r="G118" s="4">
        <f t="shared" si="5"/>
        <v>5</v>
      </c>
      <c r="H118" s="4">
        <f t="shared" si="6"/>
        <v>5</v>
      </c>
      <c r="I118" s="4" t="str">
        <f t="shared" si="7"/>
        <v>Champions</v>
      </c>
    </row>
    <row r="119" spans="1:9" x14ac:dyDescent="0.3">
      <c r="A119" t="s">
        <v>243</v>
      </c>
      <c r="B119" s="4" t="str">
        <f>_xlfn.XLOOKUP(A119,Cleaned_Data!$B$1:$B$1957,Cleaned_Data!$D$1:$D$1957)</f>
        <v>Chattogram</v>
      </c>
      <c r="C119" s="4">
        <v>355</v>
      </c>
      <c r="D119" s="6">
        <v>3</v>
      </c>
      <c r="E119" s="4">
        <v>1020900</v>
      </c>
      <c r="F119" s="4">
        <f t="shared" si="4"/>
        <v>1</v>
      </c>
      <c r="G119" s="4">
        <f t="shared" si="5"/>
        <v>1</v>
      </c>
      <c r="H119" s="4">
        <f t="shared" si="6"/>
        <v>3</v>
      </c>
      <c r="I119" s="4" t="str">
        <f t="shared" si="7"/>
        <v>At Risk</v>
      </c>
    </row>
    <row r="120" spans="1:9" x14ac:dyDescent="0.3">
      <c r="A120" t="s">
        <v>56</v>
      </c>
      <c r="B120" s="4" t="str">
        <f>_xlfn.XLOOKUP(A120,Cleaned_Data!$B$1:$B$1957,Cleaned_Data!$D$1:$D$1957)</f>
        <v>Rangpur</v>
      </c>
      <c r="C120" s="4">
        <v>9</v>
      </c>
      <c r="D120" s="6">
        <v>10</v>
      </c>
      <c r="E120" s="4">
        <v>1383750</v>
      </c>
      <c r="F120" s="4">
        <f t="shared" si="4"/>
        <v>5</v>
      </c>
      <c r="G120" s="4">
        <f t="shared" si="5"/>
        <v>5</v>
      </c>
      <c r="H120" s="4">
        <f t="shared" si="6"/>
        <v>4</v>
      </c>
      <c r="I120" s="4" t="str">
        <f t="shared" si="7"/>
        <v>Champions</v>
      </c>
    </row>
    <row r="121" spans="1:9" x14ac:dyDescent="0.3">
      <c r="A121" t="s">
        <v>76</v>
      </c>
      <c r="B121" s="4" t="str">
        <f>_xlfn.XLOOKUP(A121,Cleaned_Data!$B$1:$B$1957,Cleaned_Data!$D$1:$D$1957)</f>
        <v>Dhaka</v>
      </c>
      <c r="C121" s="4">
        <v>47</v>
      </c>
      <c r="D121" s="6">
        <v>7</v>
      </c>
      <c r="E121" s="4">
        <v>1537500</v>
      </c>
      <c r="F121" s="4">
        <f t="shared" si="4"/>
        <v>4</v>
      </c>
      <c r="G121" s="4">
        <f t="shared" si="5"/>
        <v>4</v>
      </c>
      <c r="H121" s="4">
        <f t="shared" si="6"/>
        <v>4</v>
      </c>
      <c r="I121" s="4" t="str">
        <f t="shared" si="7"/>
        <v>Champions</v>
      </c>
    </row>
    <row r="122" spans="1:9" x14ac:dyDescent="0.3">
      <c r="A122" t="s">
        <v>229</v>
      </c>
      <c r="B122" s="4" t="str">
        <f>_xlfn.XLOOKUP(A122,Cleaned_Data!$B$1:$B$1957,Cleaned_Data!$D$1:$D$1957)</f>
        <v>Khulna</v>
      </c>
      <c r="C122" s="4">
        <v>63</v>
      </c>
      <c r="D122" s="6">
        <v>12</v>
      </c>
      <c r="E122" s="4">
        <v>1382520</v>
      </c>
      <c r="F122" s="4">
        <f t="shared" si="4"/>
        <v>3</v>
      </c>
      <c r="G122" s="4">
        <f t="shared" si="5"/>
        <v>5</v>
      </c>
      <c r="H122" s="4">
        <f t="shared" si="6"/>
        <v>4</v>
      </c>
      <c r="I122" s="4" t="str">
        <f t="shared" si="7"/>
        <v>Loyal Customers</v>
      </c>
    </row>
    <row r="123" spans="1:9" x14ac:dyDescent="0.3">
      <c r="A123" t="s">
        <v>164</v>
      </c>
      <c r="B123" s="4" t="str">
        <f>_xlfn.XLOOKUP(A123,Cleaned_Data!$B$1:$B$1957,Cleaned_Data!$D$1:$D$1957)</f>
        <v>Barishal</v>
      </c>
      <c r="C123" s="4">
        <v>37</v>
      </c>
      <c r="D123" s="6">
        <v>7</v>
      </c>
      <c r="E123" s="4">
        <v>768750</v>
      </c>
      <c r="F123" s="4">
        <f t="shared" si="4"/>
        <v>4</v>
      </c>
      <c r="G123" s="4">
        <f t="shared" si="5"/>
        <v>4</v>
      </c>
      <c r="H123" s="4">
        <f t="shared" si="6"/>
        <v>2</v>
      </c>
      <c r="I123" s="4" t="str">
        <f t="shared" si="7"/>
        <v>Loyal Customers</v>
      </c>
    </row>
    <row r="124" spans="1:9" x14ac:dyDescent="0.3">
      <c r="A124" t="s">
        <v>195</v>
      </c>
      <c r="B124" s="4" t="str">
        <f>_xlfn.XLOOKUP(A124,Cleaned_Data!$B$1:$B$1957,Cleaned_Data!$D$1:$D$1957)</f>
        <v>Chattogram</v>
      </c>
      <c r="C124" s="4">
        <v>128</v>
      </c>
      <c r="D124" s="6">
        <v>11</v>
      </c>
      <c r="E124" s="4">
        <v>1323480</v>
      </c>
      <c r="F124" s="4">
        <f t="shared" si="4"/>
        <v>2</v>
      </c>
      <c r="G124" s="4">
        <f t="shared" si="5"/>
        <v>5</v>
      </c>
      <c r="H124" s="4">
        <f t="shared" si="6"/>
        <v>4</v>
      </c>
      <c r="I124" s="4" t="str">
        <f t="shared" si="7"/>
        <v>At Risk</v>
      </c>
    </row>
    <row r="125" spans="1:9" x14ac:dyDescent="0.3">
      <c r="A125" t="s">
        <v>213</v>
      </c>
      <c r="B125" s="4" t="str">
        <f>_xlfn.XLOOKUP(A125,Cleaned_Data!$B$1:$B$1957,Cleaned_Data!$D$1:$D$1957)</f>
        <v>Rajshahi</v>
      </c>
      <c r="C125" s="4">
        <v>141</v>
      </c>
      <c r="D125" s="6">
        <v>11</v>
      </c>
      <c r="E125" s="4">
        <v>3057780</v>
      </c>
      <c r="F125" s="4">
        <f t="shared" si="4"/>
        <v>2</v>
      </c>
      <c r="G125" s="4">
        <f t="shared" si="5"/>
        <v>5</v>
      </c>
      <c r="H125" s="4">
        <f t="shared" si="6"/>
        <v>5</v>
      </c>
      <c r="I125" s="4" t="str">
        <f t="shared" si="7"/>
        <v>At Risk</v>
      </c>
    </row>
    <row r="126" spans="1:9" x14ac:dyDescent="0.3">
      <c r="A126" t="s">
        <v>69</v>
      </c>
      <c r="B126" s="4" t="str">
        <f>_xlfn.XLOOKUP(A126,Cleaned_Data!$B$1:$B$1957,Cleaned_Data!$D$1:$D$1957)</f>
        <v>Dhaka</v>
      </c>
      <c r="C126" s="4">
        <v>44</v>
      </c>
      <c r="D126" s="6">
        <v>11</v>
      </c>
      <c r="E126" s="4">
        <v>838860</v>
      </c>
      <c r="F126" s="4">
        <f t="shared" si="4"/>
        <v>4</v>
      </c>
      <c r="G126" s="4">
        <f t="shared" si="5"/>
        <v>5</v>
      </c>
      <c r="H126" s="4">
        <f t="shared" si="6"/>
        <v>2</v>
      </c>
      <c r="I126" s="4" t="str">
        <f t="shared" si="7"/>
        <v>Loyal Customers</v>
      </c>
    </row>
    <row r="127" spans="1:9" x14ac:dyDescent="0.3">
      <c r="A127" t="s">
        <v>71</v>
      </c>
      <c r="B127" s="4" t="str">
        <f>_xlfn.XLOOKUP(A127,Cleaned_Data!$B$1:$B$1957,Cleaned_Data!$D$1:$D$1957)</f>
        <v>Chattogram</v>
      </c>
      <c r="C127" s="4">
        <v>19</v>
      </c>
      <c r="D127" s="6">
        <v>13</v>
      </c>
      <c r="E127" s="4">
        <v>3100830</v>
      </c>
      <c r="F127" s="4">
        <f t="shared" si="4"/>
        <v>5</v>
      </c>
      <c r="G127" s="4">
        <f t="shared" si="5"/>
        <v>5</v>
      </c>
      <c r="H127" s="4">
        <f t="shared" si="6"/>
        <v>5</v>
      </c>
      <c r="I127" s="4" t="str">
        <f t="shared" si="7"/>
        <v>Champions</v>
      </c>
    </row>
    <row r="128" spans="1:9" x14ac:dyDescent="0.3">
      <c r="A128" t="s">
        <v>95</v>
      </c>
      <c r="B128" s="4" t="str">
        <f>_xlfn.XLOOKUP(A128,Cleaned_Data!$B$1:$B$1957,Cleaned_Data!$D$1:$D$1957)</f>
        <v>Dhaka</v>
      </c>
      <c r="C128" s="4">
        <v>25</v>
      </c>
      <c r="D128" s="6">
        <v>9</v>
      </c>
      <c r="E128" s="4">
        <v>1937250</v>
      </c>
      <c r="F128" s="4">
        <f t="shared" si="4"/>
        <v>4</v>
      </c>
      <c r="G128" s="4">
        <f t="shared" si="5"/>
        <v>5</v>
      </c>
      <c r="H128" s="4">
        <f t="shared" si="6"/>
        <v>5</v>
      </c>
      <c r="I128" s="4" t="str">
        <f t="shared" si="7"/>
        <v>Champions</v>
      </c>
    </row>
    <row r="129" spans="1:9" x14ac:dyDescent="0.3">
      <c r="A129" t="s">
        <v>177</v>
      </c>
      <c r="B129" s="4" t="str">
        <f>_xlfn.XLOOKUP(A129,Cleaned_Data!$B$1:$B$1957,Cleaned_Data!$D$1:$D$1957)</f>
        <v>Khulna</v>
      </c>
      <c r="C129" s="4">
        <v>49</v>
      </c>
      <c r="D129" s="6">
        <v>8</v>
      </c>
      <c r="E129" s="4">
        <v>2273040</v>
      </c>
      <c r="F129" s="4">
        <f t="shared" si="4"/>
        <v>3</v>
      </c>
      <c r="G129" s="4">
        <f t="shared" si="5"/>
        <v>4</v>
      </c>
      <c r="H129" s="4">
        <f t="shared" si="6"/>
        <v>5</v>
      </c>
      <c r="I129" s="4" t="str">
        <f t="shared" si="7"/>
        <v>Loyal Customers</v>
      </c>
    </row>
    <row r="130" spans="1:9" x14ac:dyDescent="0.3">
      <c r="A130" t="s">
        <v>294</v>
      </c>
      <c r="B130" s="4" t="str">
        <f>_xlfn.XLOOKUP(A130,Cleaned_Data!$B$1:$B$1957,Cleaned_Data!$D$1:$D$1957)</f>
        <v>Barishal</v>
      </c>
      <c r="C130" s="4">
        <v>37</v>
      </c>
      <c r="D130" s="6">
        <v>7</v>
      </c>
      <c r="E130" s="4">
        <v>1519050</v>
      </c>
      <c r="F130" s="4">
        <f t="shared" ref="F130:F193" si="8">IF(C130&lt;=$L$2,5,
  IF(C130&lt;=$L$3,4,
    IF(C130&lt;=$L$4,3,
      IF(C130&lt;=$L$5,2,1))))</f>
        <v>4</v>
      </c>
      <c r="G130" s="4">
        <f t="shared" ref="G130:G193" si="9">IF(D130&gt;=$M$5,5,
  IF(D130&gt;=$M$4,4,
    IF(D130&gt;=$M$3,3,
      IF(D130&gt;=$M$2,2,1))))</f>
        <v>4</v>
      </c>
      <c r="H130" s="4">
        <f t="shared" ref="H130:H193" si="10">IF(E130&gt;=$N$5,5,
  IF(E130&gt;=$N$4,4,
    IF(E130&gt;=$N$3,3,
      IF(E130&gt;=$N$2,2,1))))</f>
        <v>4</v>
      </c>
      <c r="I130" s="4" t="str">
        <f t="shared" ref="I130:I193" si="11">IF(AND(F130&gt;=4,G130&gt;=4,H130&gt;=4),"Champions",
  IF(AND(F130&lt;=2,OR(G130&gt;=3,H130&gt;=3)),"At Risk",
    IF(G130&gt;=4,"Loyal Customers",
      IF(AND(F130&gt;=4,G130&lt;=2),"New Customers",
        IF(AND(F130&gt;=3,OR(G130&gt;=3,H130&gt;=3)),"Potential Loyal",
          IF(AND(F130&lt;=2,G130&lt;=2,H130&lt;=2),"Lost/Churned",
            IF(AND(F130=3,G130&lt;=2,H130&lt;=2),"Low Engagement",
              "Unclassified")))))))</f>
        <v>Champions</v>
      </c>
    </row>
    <row r="131" spans="1:9" x14ac:dyDescent="0.3">
      <c r="A131" t="s">
        <v>258</v>
      </c>
      <c r="B131" s="4" t="str">
        <f>_xlfn.XLOOKUP(A131,Cleaned_Data!$B$1:$B$1957,Cleaned_Data!$D$1:$D$1957)</f>
        <v>Dhaka</v>
      </c>
      <c r="C131" s="4">
        <v>246</v>
      </c>
      <c r="D131" s="6">
        <v>5</v>
      </c>
      <c r="E131" s="4">
        <v>246000</v>
      </c>
      <c r="F131" s="4">
        <f t="shared" si="8"/>
        <v>1</v>
      </c>
      <c r="G131" s="4">
        <f t="shared" si="9"/>
        <v>2</v>
      </c>
      <c r="H131" s="4">
        <f t="shared" si="10"/>
        <v>1</v>
      </c>
      <c r="I131" s="4" t="str">
        <f t="shared" si="11"/>
        <v>Lost/Churned</v>
      </c>
    </row>
    <row r="132" spans="1:9" x14ac:dyDescent="0.3">
      <c r="A132" t="s">
        <v>124</v>
      </c>
      <c r="B132" s="4" t="str">
        <f>_xlfn.XLOOKUP(A132,Cleaned_Data!$B$1:$B$1957,Cleaned_Data!$D$1:$D$1957)</f>
        <v>Rajshahi</v>
      </c>
      <c r="C132" s="4">
        <v>35</v>
      </c>
      <c r="D132" s="6">
        <v>11</v>
      </c>
      <c r="E132" s="4">
        <v>2250900</v>
      </c>
      <c r="F132" s="4">
        <f t="shared" si="8"/>
        <v>4</v>
      </c>
      <c r="G132" s="4">
        <f t="shared" si="9"/>
        <v>5</v>
      </c>
      <c r="H132" s="4">
        <f t="shared" si="10"/>
        <v>5</v>
      </c>
      <c r="I132" s="4" t="str">
        <f t="shared" si="11"/>
        <v>Champions</v>
      </c>
    </row>
    <row r="133" spans="1:9" x14ac:dyDescent="0.3">
      <c r="A133" t="s">
        <v>136</v>
      </c>
      <c r="B133" s="4" t="str">
        <f>_xlfn.XLOOKUP(A133,Cleaned_Data!$B$1:$B$1957,Cleaned_Data!$D$1:$D$1957)</f>
        <v>Dhaka</v>
      </c>
      <c r="C133" s="4">
        <v>97</v>
      </c>
      <c r="D133" s="6">
        <v>6</v>
      </c>
      <c r="E133" s="4">
        <v>1722000</v>
      </c>
      <c r="F133" s="4">
        <f t="shared" si="8"/>
        <v>3</v>
      </c>
      <c r="G133" s="4">
        <f t="shared" si="9"/>
        <v>3</v>
      </c>
      <c r="H133" s="4">
        <f t="shared" si="10"/>
        <v>5</v>
      </c>
      <c r="I133" s="4" t="str">
        <f t="shared" si="11"/>
        <v>Potential Loyal</v>
      </c>
    </row>
    <row r="134" spans="1:9" x14ac:dyDescent="0.3">
      <c r="A134" t="s">
        <v>40</v>
      </c>
      <c r="B134" s="4" t="str">
        <f>_xlfn.XLOOKUP(A134,Cleaned_Data!$B$1:$B$1957,Cleaned_Data!$D$1:$D$1957)</f>
        <v>Chattogram</v>
      </c>
      <c r="C134" s="4">
        <v>26</v>
      </c>
      <c r="D134" s="6">
        <v>12</v>
      </c>
      <c r="E134" s="4">
        <v>3954450</v>
      </c>
      <c r="F134" s="4">
        <f t="shared" si="8"/>
        <v>4</v>
      </c>
      <c r="G134" s="4">
        <f t="shared" si="9"/>
        <v>5</v>
      </c>
      <c r="H134" s="4">
        <f t="shared" si="10"/>
        <v>5</v>
      </c>
      <c r="I134" s="4" t="str">
        <f t="shared" si="11"/>
        <v>Champions</v>
      </c>
    </row>
    <row r="135" spans="1:9" x14ac:dyDescent="0.3">
      <c r="A135" t="s">
        <v>145</v>
      </c>
      <c r="B135" s="4" t="str">
        <f>_xlfn.XLOOKUP(A135,Cleaned_Data!$B$1:$B$1957,Cleaned_Data!$D$1:$D$1957)</f>
        <v>Sylhet</v>
      </c>
      <c r="C135" s="4">
        <v>53</v>
      </c>
      <c r="D135" s="6">
        <v>8</v>
      </c>
      <c r="E135" s="4">
        <v>300120</v>
      </c>
      <c r="F135" s="4">
        <f t="shared" si="8"/>
        <v>3</v>
      </c>
      <c r="G135" s="4">
        <f t="shared" si="9"/>
        <v>4</v>
      </c>
      <c r="H135" s="4">
        <f t="shared" si="10"/>
        <v>1</v>
      </c>
      <c r="I135" s="4" t="str">
        <f t="shared" si="11"/>
        <v>Loyal Customers</v>
      </c>
    </row>
    <row r="136" spans="1:9" x14ac:dyDescent="0.3">
      <c r="A136" t="s">
        <v>149</v>
      </c>
      <c r="B136" s="4" t="str">
        <f>_xlfn.XLOOKUP(A136,Cleaned_Data!$B$1:$B$1957,Cleaned_Data!$D$1:$D$1957)</f>
        <v>Dhaka</v>
      </c>
      <c r="C136" s="4">
        <v>11</v>
      </c>
      <c r="D136" s="6">
        <v>5</v>
      </c>
      <c r="E136" s="4">
        <v>1024590</v>
      </c>
      <c r="F136" s="4">
        <f t="shared" si="8"/>
        <v>5</v>
      </c>
      <c r="G136" s="4">
        <f t="shared" si="9"/>
        <v>2</v>
      </c>
      <c r="H136" s="4">
        <f t="shared" si="10"/>
        <v>3</v>
      </c>
      <c r="I136" s="4" t="str">
        <f t="shared" si="11"/>
        <v>New Customers</v>
      </c>
    </row>
    <row r="137" spans="1:9" x14ac:dyDescent="0.3">
      <c r="A137" t="s">
        <v>160</v>
      </c>
      <c r="B137" s="4" t="str">
        <f>_xlfn.XLOOKUP(A137,Cleaned_Data!$B$1:$B$1957,Cleaned_Data!$D$1:$D$1957)</f>
        <v>Chattogram</v>
      </c>
      <c r="C137" s="4">
        <v>38</v>
      </c>
      <c r="D137" s="6">
        <v>10</v>
      </c>
      <c r="E137" s="4">
        <v>725700</v>
      </c>
      <c r="F137" s="4">
        <f t="shared" si="8"/>
        <v>4</v>
      </c>
      <c r="G137" s="4">
        <f t="shared" si="9"/>
        <v>5</v>
      </c>
      <c r="H137" s="4">
        <f t="shared" si="10"/>
        <v>2</v>
      </c>
      <c r="I137" s="4" t="str">
        <f t="shared" si="11"/>
        <v>Loyal Customers</v>
      </c>
    </row>
    <row r="138" spans="1:9" x14ac:dyDescent="0.3">
      <c r="A138" t="s">
        <v>39</v>
      </c>
      <c r="B138" s="4" t="str">
        <f>_xlfn.XLOOKUP(A138,Cleaned_Data!$B$1:$B$1957,Cleaned_Data!$D$1:$D$1957)</f>
        <v>Mymensingh</v>
      </c>
      <c r="C138" s="4">
        <v>246</v>
      </c>
      <c r="D138" s="6">
        <v>2</v>
      </c>
      <c r="E138" s="4">
        <v>270600</v>
      </c>
      <c r="F138" s="4">
        <f t="shared" si="8"/>
        <v>1</v>
      </c>
      <c r="G138" s="4">
        <f t="shared" si="9"/>
        <v>1</v>
      </c>
      <c r="H138" s="4">
        <f t="shared" si="10"/>
        <v>1</v>
      </c>
      <c r="I138" s="4" t="str">
        <f t="shared" si="11"/>
        <v>Lost/Churned</v>
      </c>
    </row>
    <row r="139" spans="1:9" x14ac:dyDescent="0.3">
      <c r="A139" t="s">
        <v>212</v>
      </c>
      <c r="B139" s="4" t="str">
        <f>_xlfn.XLOOKUP(A139,Cleaned_Data!$B$1:$B$1957,Cleaned_Data!$D$1:$D$1957)</f>
        <v>Dhaka</v>
      </c>
      <c r="C139" s="4">
        <v>10</v>
      </c>
      <c r="D139" s="6">
        <v>8</v>
      </c>
      <c r="E139" s="4">
        <v>2163570</v>
      </c>
      <c r="F139" s="4">
        <f t="shared" si="8"/>
        <v>5</v>
      </c>
      <c r="G139" s="4">
        <f t="shared" si="9"/>
        <v>4</v>
      </c>
      <c r="H139" s="4">
        <f t="shared" si="10"/>
        <v>5</v>
      </c>
      <c r="I139" s="4" t="str">
        <f t="shared" si="11"/>
        <v>Champions</v>
      </c>
    </row>
    <row r="140" spans="1:9" x14ac:dyDescent="0.3">
      <c r="A140" t="s">
        <v>274</v>
      </c>
      <c r="B140" s="4" t="str">
        <f>_xlfn.XLOOKUP(A140,Cleaned_Data!$B$1:$B$1957,Cleaned_Data!$D$1:$D$1957)</f>
        <v>Rajshahi</v>
      </c>
      <c r="C140" s="4">
        <v>76</v>
      </c>
      <c r="D140" s="6">
        <v>5</v>
      </c>
      <c r="E140" s="4">
        <v>381300</v>
      </c>
      <c r="F140" s="4">
        <f t="shared" si="8"/>
        <v>3</v>
      </c>
      <c r="G140" s="4">
        <f t="shared" si="9"/>
        <v>2</v>
      </c>
      <c r="H140" s="4">
        <f t="shared" si="10"/>
        <v>1</v>
      </c>
      <c r="I140" s="4" t="str">
        <f t="shared" si="11"/>
        <v>Low Engagement</v>
      </c>
    </row>
    <row r="141" spans="1:9" x14ac:dyDescent="0.3">
      <c r="A141" t="s">
        <v>132</v>
      </c>
      <c r="B141" s="4" t="str">
        <f>_xlfn.XLOOKUP(A141,Cleaned_Data!$B$1:$B$1957,Cleaned_Data!$D$1:$D$1957)</f>
        <v>Dhaka</v>
      </c>
      <c r="C141" s="4">
        <v>17</v>
      </c>
      <c r="D141" s="6">
        <v>3</v>
      </c>
      <c r="E141" s="4">
        <v>666660</v>
      </c>
      <c r="F141" s="4">
        <f t="shared" si="8"/>
        <v>5</v>
      </c>
      <c r="G141" s="4">
        <f t="shared" si="9"/>
        <v>1</v>
      </c>
      <c r="H141" s="4">
        <f t="shared" si="10"/>
        <v>2</v>
      </c>
      <c r="I141" s="4" t="str">
        <f t="shared" si="11"/>
        <v>New Customers</v>
      </c>
    </row>
    <row r="142" spans="1:9" x14ac:dyDescent="0.3">
      <c r="A142" t="s">
        <v>25</v>
      </c>
      <c r="B142" s="4" t="str">
        <f>_xlfn.XLOOKUP(A142,Cleaned_Data!$B$1:$B$1957,Cleaned_Data!$D$1:$D$1957)</f>
        <v>Chattogram</v>
      </c>
      <c r="C142" s="4">
        <v>15</v>
      </c>
      <c r="D142" s="6">
        <v>6</v>
      </c>
      <c r="E142" s="4">
        <v>238620</v>
      </c>
      <c r="F142" s="4">
        <f t="shared" si="8"/>
        <v>5</v>
      </c>
      <c r="G142" s="4">
        <f t="shared" si="9"/>
        <v>3</v>
      </c>
      <c r="H142" s="4">
        <f t="shared" si="10"/>
        <v>1</v>
      </c>
      <c r="I142" s="4" t="str">
        <f t="shared" si="11"/>
        <v>Potential Loyal</v>
      </c>
    </row>
    <row r="143" spans="1:9" x14ac:dyDescent="0.3">
      <c r="A143" t="s">
        <v>214</v>
      </c>
      <c r="B143" s="4" t="str">
        <f>_xlfn.XLOOKUP(A143,Cleaned_Data!$B$1:$B$1957,Cleaned_Data!$D$1:$D$1957)</f>
        <v>Sylhet</v>
      </c>
      <c r="C143" s="4">
        <v>25</v>
      </c>
      <c r="D143" s="6">
        <v>10</v>
      </c>
      <c r="E143" s="4">
        <v>1041810</v>
      </c>
      <c r="F143" s="4">
        <f t="shared" si="8"/>
        <v>4</v>
      </c>
      <c r="G143" s="4">
        <f t="shared" si="9"/>
        <v>5</v>
      </c>
      <c r="H143" s="4">
        <f t="shared" si="10"/>
        <v>3</v>
      </c>
      <c r="I143" s="4" t="str">
        <f t="shared" si="11"/>
        <v>Loyal Customers</v>
      </c>
    </row>
    <row r="144" spans="1:9" x14ac:dyDescent="0.3">
      <c r="A144" t="s">
        <v>264</v>
      </c>
      <c r="B144" s="4" t="str">
        <f>_xlfn.XLOOKUP(A144,Cleaned_Data!$B$1:$B$1957,Cleaned_Data!$D$1:$D$1957)</f>
        <v>Dhaka</v>
      </c>
      <c r="C144" s="4">
        <v>121</v>
      </c>
      <c r="D144" s="6">
        <v>6</v>
      </c>
      <c r="E144" s="4">
        <v>842550</v>
      </c>
      <c r="F144" s="4">
        <f t="shared" si="8"/>
        <v>2</v>
      </c>
      <c r="G144" s="4">
        <f t="shared" si="9"/>
        <v>3</v>
      </c>
      <c r="H144" s="4">
        <f t="shared" si="10"/>
        <v>2</v>
      </c>
      <c r="I144" s="4" t="str">
        <f t="shared" si="11"/>
        <v>At Risk</v>
      </c>
    </row>
    <row r="145" spans="1:9" x14ac:dyDescent="0.3">
      <c r="A145" t="s">
        <v>115</v>
      </c>
      <c r="B145" s="4" t="str">
        <f>_xlfn.XLOOKUP(A145,Cleaned_Data!$B$1:$B$1957,Cleaned_Data!$D$1:$D$1957)</f>
        <v>Chattogram</v>
      </c>
      <c r="C145" s="4">
        <v>21</v>
      </c>
      <c r="D145" s="6">
        <v>8</v>
      </c>
      <c r="E145" s="4">
        <v>1103310</v>
      </c>
      <c r="F145" s="4">
        <f t="shared" si="8"/>
        <v>5</v>
      </c>
      <c r="G145" s="4">
        <f t="shared" si="9"/>
        <v>4</v>
      </c>
      <c r="H145" s="4">
        <f t="shared" si="10"/>
        <v>3</v>
      </c>
      <c r="I145" s="4" t="str">
        <f t="shared" si="11"/>
        <v>Loyal Customers</v>
      </c>
    </row>
    <row r="146" spans="1:9" x14ac:dyDescent="0.3">
      <c r="A146" t="s">
        <v>206</v>
      </c>
      <c r="B146" s="4" t="str">
        <f>_xlfn.XLOOKUP(A146,Cleaned_Data!$B$1:$B$1957,Cleaned_Data!$D$1:$D$1957)</f>
        <v>Dhaka</v>
      </c>
      <c r="C146" s="4">
        <v>101</v>
      </c>
      <c r="D146" s="6">
        <v>7</v>
      </c>
      <c r="E146" s="4">
        <v>889290</v>
      </c>
      <c r="F146" s="4">
        <f t="shared" si="8"/>
        <v>2</v>
      </c>
      <c r="G146" s="4">
        <f t="shared" si="9"/>
        <v>4</v>
      </c>
      <c r="H146" s="4">
        <f t="shared" si="10"/>
        <v>3</v>
      </c>
      <c r="I146" s="4" t="str">
        <f t="shared" si="11"/>
        <v>At Risk</v>
      </c>
    </row>
    <row r="147" spans="1:9" x14ac:dyDescent="0.3">
      <c r="A147" t="s">
        <v>114</v>
      </c>
      <c r="B147" s="4" t="str">
        <f>_xlfn.XLOOKUP(A147,Cleaned_Data!$B$1:$B$1957,Cleaned_Data!$D$1:$D$1957)</f>
        <v>Khulna</v>
      </c>
      <c r="C147" s="4">
        <v>117</v>
      </c>
      <c r="D147" s="6">
        <v>5</v>
      </c>
      <c r="E147" s="4">
        <v>511680</v>
      </c>
      <c r="F147" s="4">
        <f t="shared" si="8"/>
        <v>2</v>
      </c>
      <c r="G147" s="4">
        <f t="shared" si="9"/>
        <v>2</v>
      </c>
      <c r="H147" s="4">
        <f t="shared" si="10"/>
        <v>2</v>
      </c>
      <c r="I147" s="4" t="str">
        <f t="shared" si="11"/>
        <v>Lost/Churned</v>
      </c>
    </row>
    <row r="148" spans="1:9" x14ac:dyDescent="0.3">
      <c r="A148" t="s">
        <v>52</v>
      </c>
      <c r="B148" s="4" t="str">
        <f>_xlfn.XLOOKUP(A148,Cleaned_Data!$B$1:$B$1957,Cleaned_Data!$D$1:$D$1957)</f>
        <v>Barishal</v>
      </c>
      <c r="C148" s="4">
        <v>177</v>
      </c>
      <c r="D148" s="6">
        <v>6</v>
      </c>
      <c r="E148" s="4">
        <v>292740</v>
      </c>
      <c r="F148" s="4">
        <f t="shared" si="8"/>
        <v>1</v>
      </c>
      <c r="G148" s="4">
        <f t="shared" si="9"/>
        <v>3</v>
      </c>
      <c r="H148" s="4">
        <f t="shared" si="10"/>
        <v>1</v>
      </c>
      <c r="I148" s="4" t="str">
        <f t="shared" si="11"/>
        <v>At Risk</v>
      </c>
    </row>
    <row r="149" spans="1:9" x14ac:dyDescent="0.3">
      <c r="A149" t="s">
        <v>135</v>
      </c>
      <c r="B149" s="4" t="str">
        <f>_xlfn.XLOOKUP(A149,Cleaned_Data!$B$1:$B$1957,Cleaned_Data!$D$1:$D$1957)</f>
        <v>Chattogram</v>
      </c>
      <c r="C149" s="4">
        <v>44</v>
      </c>
      <c r="D149" s="6">
        <v>7</v>
      </c>
      <c r="E149" s="4">
        <v>1180800</v>
      </c>
      <c r="F149" s="4">
        <f t="shared" si="8"/>
        <v>4</v>
      </c>
      <c r="G149" s="4">
        <f t="shared" si="9"/>
        <v>4</v>
      </c>
      <c r="H149" s="4">
        <f t="shared" si="10"/>
        <v>4</v>
      </c>
      <c r="I149" s="4" t="str">
        <f t="shared" si="11"/>
        <v>Champions</v>
      </c>
    </row>
    <row r="150" spans="1:9" x14ac:dyDescent="0.3">
      <c r="A150" t="s">
        <v>166</v>
      </c>
      <c r="B150" s="4" t="str">
        <f>_xlfn.XLOOKUP(A150,Cleaned_Data!$B$1:$B$1957,Cleaned_Data!$D$1:$D$1957)</f>
        <v>Rajshahi</v>
      </c>
      <c r="C150" s="4">
        <v>161</v>
      </c>
      <c r="D150" s="6">
        <v>8</v>
      </c>
      <c r="E150" s="4">
        <v>1881900</v>
      </c>
      <c r="F150" s="4">
        <f t="shared" si="8"/>
        <v>2</v>
      </c>
      <c r="G150" s="4">
        <f t="shared" si="9"/>
        <v>4</v>
      </c>
      <c r="H150" s="4">
        <f t="shared" si="10"/>
        <v>5</v>
      </c>
      <c r="I150" s="4" t="str">
        <f t="shared" si="11"/>
        <v>At Risk</v>
      </c>
    </row>
    <row r="151" spans="1:9" x14ac:dyDescent="0.3">
      <c r="A151" t="s">
        <v>271</v>
      </c>
      <c r="B151" s="4" t="str">
        <f>_xlfn.XLOOKUP(A151,Cleaned_Data!$B$1:$B$1957,Cleaned_Data!$D$1:$D$1957)</f>
        <v>Dhaka</v>
      </c>
      <c r="C151" s="4">
        <v>32</v>
      </c>
      <c r="D151" s="6">
        <v>7</v>
      </c>
      <c r="E151" s="4">
        <v>1992600</v>
      </c>
      <c r="F151" s="4">
        <f t="shared" si="8"/>
        <v>4</v>
      </c>
      <c r="G151" s="4">
        <f t="shared" si="9"/>
        <v>4</v>
      </c>
      <c r="H151" s="4">
        <f t="shared" si="10"/>
        <v>5</v>
      </c>
      <c r="I151" s="4" t="str">
        <f t="shared" si="11"/>
        <v>Champions</v>
      </c>
    </row>
    <row r="152" spans="1:9" x14ac:dyDescent="0.3">
      <c r="A152" t="s">
        <v>197</v>
      </c>
      <c r="B152" s="4" t="str">
        <f>_xlfn.XLOOKUP(A152,Cleaned_Data!$B$1:$B$1957,Cleaned_Data!$D$1:$D$1957)</f>
        <v>Chattogram</v>
      </c>
      <c r="C152" s="4">
        <v>2</v>
      </c>
      <c r="D152" s="6">
        <v>7</v>
      </c>
      <c r="E152" s="4">
        <v>1332090</v>
      </c>
      <c r="F152" s="4">
        <f t="shared" si="8"/>
        <v>5</v>
      </c>
      <c r="G152" s="4">
        <f t="shared" si="9"/>
        <v>4</v>
      </c>
      <c r="H152" s="4">
        <f t="shared" si="10"/>
        <v>4</v>
      </c>
      <c r="I152" s="4" t="str">
        <f t="shared" si="11"/>
        <v>Champions</v>
      </c>
    </row>
    <row r="153" spans="1:9" x14ac:dyDescent="0.3">
      <c r="A153" t="s">
        <v>30</v>
      </c>
      <c r="B153" s="4" t="str">
        <f>_xlfn.XLOOKUP(A153,Cleaned_Data!$B$1:$B$1957,Cleaned_Data!$D$1:$D$1957)</f>
        <v>Rangpur</v>
      </c>
      <c r="C153" s="4">
        <v>144</v>
      </c>
      <c r="D153" s="6">
        <v>8</v>
      </c>
      <c r="E153" s="4">
        <v>846240</v>
      </c>
      <c r="F153" s="4">
        <f t="shared" si="8"/>
        <v>2</v>
      </c>
      <c r="G153" s="4">
        <f t="shared" si="9"/>
        <v>4</v>
      </c>
      <c r="H153" s="4">
        <f t="shared" si="10"/>
        <v>2</v>
      </c>
      <c r="I153" s="4" t="str">
        <f t="shared" si="11"/>
        <v>At Risk</v>
      </c>
    </row>
    <row r="154" spans="1:9" x14ac:dyDescent="0.3">
      <c r="A154" t="s">
        <v>256</v>
      </c>
      <c r="B154" s="4" t="str">
        <f>_xlfn.XLOOKUP(A154,Cleaned_Data!$B$1:$B$1957,Cleaned_Data!$D$1:$D$1957)</f>
        <v>Dhaka</v>
      </c>
      <c r="C154" s="4">
        <v>353</v>
      </c>
      <c r="D154" s="6">
        <v>7</v>
      </c>
      <c r="E154" s="4">
        <v>1740450</v>
      </c>
      <c r="F154" s="4">
        <f t="shared" si="8"/>
        <v>1</v>
      </c>
      <c r="G154" s="4">
        <f t="shared" si="9"/>
        <v>4</v>
      </c>
      <c r="H154" s="4">
        <f t="shared" si="10"/>
        <v>5</v>
      </c>
      <c r="I154" s="4" t="str">
        <f t="shared" si="11"/>
        <v>At Risk</v>
      </c>
    </row>
    <row r="155" spans="1:9" x14ac:dyDescent="0.3">
      <c r="A155" t="s">
        <v>217</v>
      </c>
      <c r="B155" s="4" t="str">
        <f>_xlfn.XLOOKUP(A155,Cleaned_Data!$B$1:$B$1957,Cleaned_Data!$D$1:$D$1957)</f>
        <v>Khulna</v>
      </c>
      <c r="C155" s="4">
        <v>66</v>
      </c>
      <c r="D155" s="6">
        <v>10</v>
      </c>
      <c r="E155" s="4">
        <v>854850</v>
      </c>
      <c r="F155" s="4">
        <f t="shared" si="8"/>
        <v>3</v>
      </c>
      <c r="G155" s="4">
        <f t="shared" si="9"/>
        <v>5</v>
      </c>
      <c r="H155" s="4">
        <f t="shared" si="10"/>
        <v>3</v>
      </c>
      <c r="I155" s="4" t="str">
        <f t="shared" si="11"/>
        <v>Loyal Customers</v>
      </c>
    </row>
    <row r="156" spans="1:9" x14ac:dyDescent="0.3">
      <c r="A156" t="s">
        <v>219</v>
      </c>
      <c r="B156" s="4" t="str">
        <f>_xlfn.XLOOKUP(A156,Cleaned_Data!$B$1:$B$1957,Cleaned_Data!$D$1:$D$1957)</f>
        <v>Mymensingh</v>
      </c>
      <c r="C156" s="4">
        <v>177</v>
      </c>
      <c r="D156" s="6">
        <v>6</v>
      </c>
      <c r="E156" s="4">
        <v>1672800</v>
      </c>
      <c r="F156" s="4">
        <f t="shared" si="8"/>
        <v>1</v>
      </c>
      <c r="G156" s="4">
        <f t="shared" si="9"/>
        <v>3</v>
      </c>
      <c r="H156" s="4">
        <f t="shared" si="10"/>
        <v>5</v>
      </c>
      <c r="I156" s="4" t="str">
        <f t="shared" si="11"/>
        <v>At Risk</v>
      </c>
    </row>
    <row r="157" spans="1:9" x14ac:dyDescent="0.3">
      <c r="A157" t="s">
        <v>117</v>
      </c>
      <c r="B157" s="4" t="str">
        <f>_xlfn.XLOOKUP(A157,Cleaned_Data!$B$1:$B$1957,Cleaned_Data!$D$1:$D$1957)</f>
        <v>Dhaka</v>
      </c>
      <c r="C157" s="4">
        <v>94</v>
      </c>
      <c r="D157" s="6">
        <v>7</v>
      </c>
      <c r="E157" s="4">
        <v>578100</v>
      </c>
      <c r="F157" s="4">
        <f t="shared" si="8"/>
        <v>3</v>
      </c>
      <c r="G157" s="4">
        <f t="shared" si="9"/>
        <v>4</v>
      </c>
      <c r="H157" s="4">
        <f t="shared" si="10"/>
        <v>2</v>
      </c>
      <c r="I157" s="4" t="str">
        <f t="shared" si="11"/>
        <v>Loyal Customers</v>
      </c>
    </row>
    <row r="158" spans="1:9" x14ac:dyDescent="0.3">
      <c r="A158" t="s">
        <v>250</v>
      </c>
      <c r="B158" s="4" t="str">
        <f>_xlfn.XLOOKUP(A158,Cleaned_Data!$B$1:$B$1957,Cleaned_Data!$D$1:$D$1957)</f>
        <v>Rajshahi</v>
      </c>
      <c r="C158" s="4">
        <v>16</v>
      </c>
      <c r="D158" s="6">
        <v>4</v>
      </c>
      <c r="E158" s="4">
        <v>430500</v>
      </c>
      <c r="F158" s="4">
        <f t="shared" si="8"/>
        <v>5</v>
      </c>
      <c r="G158" s="4">
        <f t="shared" si="9"/>
        <v>1</v>
      </c>
      <c r="H158" s="4">
        <f t="shared" si="10"/>
        <v>1</v>
      </c>
      <c r="I158" s="4" t="str">
        <f t="shared" si="11"/>
        <v>New Customers</v>
      </c>
    </row>
    <row r="159" spans="1:9" x14ac:dyDescent="0.3">
      <c r="A159" t="s">
        <v>77</v>
      </c>
      <c r="B159" s="4" t="str">
        <f>_xlfn.XLOOKUP(A159,Cleaned_Data!$B$1:$B$1957,Cleaned_Data!$D$1:$D$1957)</f>
        <v>Dhaka</v>
      </c>
      <c r="C159" s="4">
        <v>30</v>
      </c>
      <c r="D159" s="6">
        <v>8</v>
      </c>
      <c r="E159" s="4">
        <v>1446480</v>
      </c>
      <c r="F159" s="4">
        <f t="shared" si="8"/>
        <v>4</v>
      </c>
      <c r="G159" s="4">
        <f t="shared" si="9"/>
        <v>4</v>
      </c>
      <c r="H159" s="4">
        <f t="shared" si="10"/>
        <v>4</v>
      </c>
      <c r="I159" s="4" t="str">
        <f t="shared" si="11"/>
        <v>Champions</v>
      </c>
    </row>
    <row r="160" spans="1:9" x14ac:dyDescent="0.3">
      <c r="A160" t="s">
        <v>312</v>
      </c>
      <c r="B160" s="4" t="str">
        <f>_xlfn.XLOOKUP(A160,Cleaned_Data!$B$1:$B$1957,Cleaned_Data!$D$1:$D$1957)</f>
        <v>Chattogram</v>
      </c>
      <c r="C160" s="4">
        <v>85</v>
      </c>
      <c r="D160" s="6">
        <v>6</v>
      </c>
      <c r="E160" s="4">
        <v>709710</v>
      </c>
      <c r="F160" s="4">
        <f t="shared" si="8"/>
        <v>3</v>
      </c>
      <c r="G160" s="4">
        <f t="shared" si="9"/>
        <v>3</v>
      </c>
      <c r="H160" s="4">
        <f t="shared" si="10"/>
        <v>2</v>
      </c>
      <c r="I160" s="4" t="str">
        <f t="shared" si="11"/>
        <v>Potential Loyal</v>
      </c>
    </row>
    <row r="161" spans="1:9" x14ac:dyDescent="0.3">
      <c r="A161" t="s">
        <v>80</v>
      </c>
      <c r="B161" s="4" t="str">
        <f>_xlfn.XLOOKUP(A161,Cleaned_Data!$B$1:$B$1957,Cleaned_Data!$D$1:$D$1957)</f>
        <v>Sylhet</v>
      </c>
      <c r="C161" s="4">
        <v>20</v>
      </c>
      <c r="D161" s="6">
        <v>6</v>
      </c>
      <c r="E161" s="4">
        <v>559650</v>
      </c>
      <c r="F161" s="4">
        <f t="shared" si="8"/>
        <v>5</v>
      </c>
      <c r="G161" s="4">
        <f t="shared" si="9"/>
        <v>3</v>
      </c>
      <c r="H161" s="4">
        <f t="shared" si="10"/>
        <v>2</v>
      </c>
      <c r="I161" s="4" t="str">
        <f t="shared" si="11"/>
        <v>Potential Loyal</v>
      </c>
    </row>
    <row r="162" spans="1:9" x14ac:dyDescent="0.3">
      <c r="A162" t="s">
        <v>74</v>
      </c>
      <c r="B162" s="4" t="str">
        <f>_xlfn.XLOOKUP(A162,Cleaned_Data!$B$1:$B$1957,Cleaned_Data!$D$1:$D$1957)</f>
        <v>Dhaka</v>
      </c>
      <c r="C162" s="4">
        <v>7</v>
      </c>
      <c r="D162" s="6">
        <v>10</v>
      </c>
      <c r="E162" s="4">
        <v>787200</v>
      </c>
      <c r="F162" s="4">
        <f t="shared" si="8"/>
        <v>5</v>
      </c>
      <c r="G162" s="4">
        <f t="shared" si="9"/>
        <v>5</v>
      </c>
      <c r="H162" s="4">
        <f t="shared" si="10"/>
        <v>2</v>
      </c>
      <c r="I162" s="4" t="str">
        <f t="shared" si="11"/>
        <v>Loyal Customers</v>
      </c>
    </row>
    <row r="163" spans="1:9" x14ac:dyDescent="0.3">
      <c r="A163" t="s">
        <v>19</v>
      </c>
      <c r="B163" s="4" t="str">
        <f>_xlfn.XLOOKUP(A163,Cleaned_Data!$B$1:$B$1957,Cleaned_Data!$D$1:$D$1957)</f>
        <v>Chattogram</v>
      </c>
      <c r="C163" s="4">
        <v>75</v>
      </c>
      <c r="D163" s="6">
        <v>2</v>
      </c>
      <c r="E163" s="4">
        <v>73800</v>
      </c>
      <c r="F163" s="4">
        <f t="shared" si="8"/>
        <v>3</v>
      </c>
      <c r="G163" s="4">
        <f t="shared" si="9"/>
        <v>1</v>
      </c>
      <c r="H163" s="4">
        <f t="shared" si="10"/>
        <v>1</v>
      </c>
      <c r="I163" s="4" t="str">
        <f t="shared" si="11"/>
        <v>Low Engagement</v>
      </c>
    </row>
    <row r="164" spans="1:9" x14ac:dyDescent="0.3">
      <c r="A164" t="s">
        <v>100</v>
      </c>
      <c r="B164" s="4" t="str">
        <f>_xlfn.XLOOKUP(A164,Cleaned_Data!$B$1:$B$1957,Cleaned_Data!$D$1:$D$1957)</f>
        <v>Mymensingh</v>
      </c>
      <c r="C164" s="4">
        <v>69</v>
      </c>
      <c r="D164" s="6">
        <v>4</v>
      </c>
      <c r="E164" s="4">
        <v>104550</v>
      </c>
      <c r="F164" s="4">
        <f t="shared" si="8"/>
        <v>3</v>
      </c>
      <c r="G164" s="4">
        <f t="shared" si="9"/>
        <v>1</v>
      </c>
      <c r="H164" s="4">
        <f t="shared" si="10"/>
        <v>1</v>
      </c>
      <c r="I164" s="4" t="str">
        <f t="shared" si="11"/>
        <v>Low Engagement</v>
      </c>
    </row>
    <row r="165" spans="1:9" x14ac:dyDescent="0.3">
      <c r="A165" t="s">
        <v>285</v>
      </c>
      <c r="B165" s="4" t="str">
        <f>_xlfn.XLOOKUP(A165,Cleaned_Data!$B$1:$B$1957,Cleaned_Data!$D$1:$D$1957)</f>
        <v>Dhaka</v>
      </c>
      <c r="C165" s="4">
        <v>339</v>
      </c>
      <c r="D165" s="6">
        <v>2</v>
      </c>
      <c r="E165" s="4">
        <v>553500</v>
      </c>
      <c r="F165" s="4">
        <f t="shared" si="8"/>
        <v>1</v>
      </c>
      <c r="G165" s="4">
        <f t="shared" si="9"/>
        <v>1</v>
      </c>
      <c r="H165" s="4">
        <f t="shared" si="10"/>
        <v>2</v>
      </c>
      <c r="I165" s="4" t="str">
        <f t="shared" si="11"/>
        <v>Lost/Churned</v>
      </c>
    </row>
    <row r="166" spans="1:9" x14ac:dyDescent="0.3">
      <c r="A166" t="s">
        <v>276</v>
      </c>
      <c r="B166" s="4" t="str">
        <f>_xlfn.XLOOKUP(A166,Cleaned_Data!$B$1:$B$1957,Cleaned_Data!$D$1:$D$1957)</f>
        <v>Khulna</v>
      </c>
      <c r="C166" s="4">
        <v>48</v>
      </c>
      <c r="D166" s="6">
        <v>7</v>
      </c>
      <c r="E166" s="4">
        <v>339480</v>
      </c>
      <c r="F166" s="4">
        <f t="shared" si="8"/>
        <v>3</v>
      </c>
      <c r="G166" s="4">
        <f t="shared" si="9"/>
        <v>4</v>
      </c>
      <c r="H166" s="4">
        <f t="shared" si="10"/>
        <v>1</v>
      </c>
      <c r="I166" s="4" t="str">
        <f t="shared" si="11"/>
        <v>Loyal Customers</v>
      </c>
    </row>
    <row r="167" spans="1:9" x14ac:dyDescent="0.3">
      <c r="A167" t="s">
        <v>23</v>
      </c>
      <c r="B167" s="4" t="str">
        <f>_xlfn.XLOOKUP(A167,Cleaned_Data!$B$1:$B$1957,Cleaned_Data!$D$1:$D$1957)</f>
        <v>Dhaka</v>
      </c>
      <c r="C167" s="4">
        <v>15</v>
      </c>
      <c r="D167" s="6">
        <v>12</v>
      </c>
      <c r="E167" s="4">
        <v>2739210</v>
      </c>
      <c r="F167" s="4">
        <f t="shared" si="8"/>
        <v>5</v>
      </c>
      <c r="G167" s="4">
        <f t="shared" si="9"/>
        <v>5</v>
      </c>
      <c r="H167" s="4">
        <f t="shared" si="10"/>
        <v>5</v>
      </c>
      <c r="I167" s="4" t="str">
        <f t="shared" si="11"/>
        <v>Champions</v>
      </c>
    </row>
    <row r="168" spans="1:9" x14ac:dyDescent="0.3">
      <c r="A168" t="s">
        <v>148</v>
      </c>
      <c r="B168" s="4" t="str">
        <f>_xlfn.XLOOKUP(A168,Cleaned_Data!$B$1:$B$1957,Cleaned_Data!$D$1:$D$1957)</f>
        <v>Chattogram</v>
      </c>
      <c r="C168" s="4">
        <v>24</v>
      </c>
      <c r="D168" s="6">
        <v>12</v>
      </c>
      <c r="E168" s="4">
        <v>1030740</v>
      </c>
      <c r="F168" s="4">
        <f t="shared" si="8"/>
        <v>4</v>
      </c>
      <c r="G168" s="4">
        <f t="shared" si="9"/>
        <v>5</v>
      </c>
      <c r="H168" s="4">
        <f t="shared" si="10"/>
        <v>3</v>
      </c>
      <c r="I168" s="4" t="str">
        <f t="shared" si="11"/>
        <v>Loyal Customers</v>
      </c>
    </row>
    <row r="169" spans="1:9" x14ac:dyDescent="0.3">
      <c r="A169" t="s">
        <v>75</v>
      </c>
      <c r="B169" s="4" t="str">
        <f>_xlfn.XLOOKUP(A169,Cleaned_Data!$B$1:$B$1957,Cleaned_Data!$D$1:$D$1957)</f>
        <v>Dhaka</v>
      </c>
      <c r="C169" s="4">
        <v>44</v>
      </c>
      <c r="D169" s="6">
        <v>7</v>
      </c>
      <c r="E169" s="4">
        <v>1672800</v>
      </c>
      <c r="F169" s="4">
        <f t="shared" si="8"/>
        <v>4</v>
      </c>
      <c r="G169" s="4">
        <f t="shared" si="9"/>
        <v>4</v>
      </c>
      <c r="H169" s="4">
        <f t="shared" si="10"/>
        <v>5</v>
      </c>
      <c r="I169" s="4" t="str">
        <f t="shared" si="11"/>
        <v>Champions</v>
      </c>
    </row>
    <row r="170" spans="1:9" x14ac:dyDescent="0.3">
      <c r="A170" t="s">
        <v>144</v>
      </c>
      <c r="B170" s="4" t="str">
        <f>_xlfn.XLOOKUP(A170,Cleaned_Data!$B$1:$B$1957,Cleaned_Data!$D$1:$D$1957)</f>
        <v>Chattogram</v>
      </c>
      <c r="C170" s="4">
        <v>140</v>
      </c>
      <c r="D170" s="6">
        <v>7</v>
      </c>
      <c r="E170" s="4">
        <v>800730</v>
      </c>
      <c r="F170" s="4">
        <f t="shared" si="8"/>
        <v>2</v>
      </c>
      <c r="G170" s="4">
        <f t="shared" si="9"/>
        <v>4</v>
      </c>
      <c r="H170" s="4">
        <f t="shared" si="10"/>
        <v>2</v>
      </c>
      <c r="I170" s="4" t="str">
        <f t="shared" si="11"/>
        <v>At Risk</v>
      </c>
    </row>
    <row r="171" spans="1:9" x14ac:dyDescent="0.3">
      <c r="A171" t="s">
        <v>70</v>
      </c>
      <c r="B171" s="4" t="str">
        <f>_xlfn.XLOOKUP(A171,Cleaned_Data!$B$1:$B$1957,Cleaned_Data!$D$1:$D$1957)</f>
        <v>Rangpur</v>
      </c>
      <c r="C171" s="4">
        <v>178</v>
      </c>
      <c r="D171" s="6">
        <v>8</v>
      </c>
      <c r="E171" s="4">
        <v>1746600</v>
      </c>
      <c r="F171" s="4">
        <f t="shared" si="8"/>
        <v>1</v>
      </c>
      <c r="G171" s="4">
        <f t="shared" si="9"/>
        <v>4</v>
      </c>
      <c r="H171" s="4">
        <f t="shared" si="10"/>
        <v>5</v>
      </c>
      <c r="I171" s="4" t="str">
        <f t="shared" si="11"/>
        <v>At Risk</v>
      </c>
    </row>
    <row r="172" spans="1:9" x14ac:dyDescent="0.3">
      <c r="A172" t="s">
        <v>96</v>
      </c>
      <c r="B172" s="4" t="str">
        <f>_xlfn.XLOOKUP(A172,Cleaned_Data!$B$1:$B$1957,Cleaned_Data!$D$1:$D$1957)</f>
        <v>Dhaka</v>
      </c>
      <c r="C172" s="4">
        <v>61</v>
      </c>
      <c r="D172" s="6">
        <v>5</v>
      </c>
      <c r="E172" s="4">
        <v>947100</v>
      </c>
      <c r="F172" s="4">
        <f t="shared" si="8"/>
        <v>3</v>
      </c>
      <c r="G172" s="4">
        <f t="shared" si="9"/>
        <v>2</v>
      </c>
      <c r="H172" s="4">
        <f t="shared" si="10"/>
        <v>3</v>
      </c>
      <c r="I172" s="4" t="str">
        <f t="shared" si="11"/>
        <v>Potential Loyal</v>
      </c>
    </row>
    <row r="173" spans="1:9" x14ac:dyDescent="0.3">
      <c r="A173" t="s">
        <v>187</v>
      </c>
      <c r="B173" s="4" t="str">
        <f>_xlfn.XLOOKUP(A173,Cleaned_Data!$B$1:$B$1957,Cleaned_Data!$D$1:$D$1957)</f>
        <v>Khulna</v>
      </c>
      <c r="C173" s="4">
        <v>7</v>
      </c>
      <c r="D173" s="6">
        <v>12</v>
      </c>
      <c r="E173" s="4">
        <v>1448940</v>
      </c>
      <c r="F173" s="4">
        <f t="shared" si="8"/>
        <v>5</v>
      </c>
      <c r="G173" s="4">
        <f t="shared" si="9"/>
        <v>5</v>
      </c>
      <c r="H173" s="4">
        <f t="shared" si="10"/>
        <v>4</v>
      </c>
      <c r="I173" s="4" t="str">
        <f t="shared" si="11"/>
        <v>Champions</v>
      </c>
    </row>
    <row r="174" spans="1:9" x14ac:dyDescent="0.3">
      <c r="A174" t="s">
        <v>99</v>
      </c>
      <c r="B174" s="4" t="str">
        <f>_xlfn.XLOOKUP(A174,Cleaned_Data!$B$1:$B$1957,Cleaned_Data!$D$1:$D$1957)</f>
        <v>Barishal</v>
      </c>
      <c r="C174" s="4">
        <v>112</v>
      </c>
      <c r="D174" s="6">
        <v>3</v>
      </c>
      <c r="E174" s="4">
        <v>270600</v>
      </c>
      <c r="F174" s="4">
        <f t="shared" si="8"/>
        <v>2</v>
      </c>
      <c r="G174" s="4">
        <f t="shared" si="9"/>
        <v>1</v>
      </c>
      <c r="H174" s="4">
        <f t="shared" si="10"/>
        <v>1</v>
      </c>
      <c r="I174" s="4" t="str">
        <f t="shared" si="11"/>
        <v>Lost/Churned</v>
      </c>
    </row>
    <row r="175" spans="1:9" x14ac:dyDescent="0.3">
      <c r="A175" t="s">
        <v>101</v>
      </c>
      <c r="B175" s="4" t="str">
        <f>_xlfn.XLOOKUP(A175,Cleaned_Data!$B$1:$B$1957,Cleaned_Data!$D$1:$D$1957)</f>
        <v>Dhaka</v>
      </c>
      <c r="C175" s="4">
        <v>239</v>
      </c>
      <c r="D175" s="6">
        <v>7</v>
      </c>
      <c r="E175" s="4">
        <v>1067640</v>
      </c>
      <c r="F175" s="4">
        <f t="shared" si="8"/>
        <v>1</v>
      </c>
      <c r="G175" s="4">
        <f t="shared" si="9"/>
        <v>4</v>
      </c>
      <c r="H175" s="4">
        <f t="shared" si="10"/>
        <v>3</v>
      </c>
      <c r="I175" s="4" t="str">
        <f t="shared" si="11"/>
        <v>At Risk</v>
      </c>
    </row>
    <row r="176" spans="1:9" x14ac:dyDescent="0.3">
      <c r="A176" t="s">
        <v>170</v>
      </c>
      <c r="B176" s="4" t="str">
        <f>_xlfn.XLOOKUP(A176,Cleaned_Data!$B$1:$B$1957,Cleaned_Data!$D$1:$D$1957)</f>
        <v>Rajshahi</v>
      </c>
      <c r="C176" s="4">
        <v>53</v>
      </c>
      <c r="D176" s="6">
        <v>6</v>
      </c>
      <c r="E176" s="4">
        <v>1125450</v>
      </c>
      <c r="F176" s="4">
        <f t="shared" si="8"/>
        <v>3</v>
      </c>
      <c r="G176" s="4">
        <f t="shared" si="9"/>
        <v>3</v>
      </c>
      <c r="H176" s="4">
        <f t="shared" si="10"/>
        <v>3</v>
      </c>
      <c r="I176" s="4" t="str">
        <f t="shared" si="11"/>
        <v>Potential Loyal</v>
      </c>
    </row>
    <row r="177" spans="1:9" x14ac:dyDescent="0.3">
      <c r="A177" t="s">
        <v>158</v>
      </c>
      <c r="B177" s="4" t="str">
        <f>_xlfn.XLOOKUP(A177,Cleaned_Data!$B$1:$B$1957,Cleaned_Data!$D$1:$D$1957)</f>
        <v>Dhaka</v>
      </c>
      <c r="C177" s="4">
        <v>101</v>
      </c>
      <c r="D177" s="6">
        <v>5</v>
      </c>
      <c r="E177" s="4">
        <v>656820</v>
      </c>
      <c r="F177" s="4">
        <f t="shared" si="8"/>
        <v>2</v>
      </c>
      <c r="G177" s="4">
        <f t="shared" si="9"/>
        <v>2</v>
      </c>
      <c r="H177" s="4">
        <f t="shared" si="10"/>
        <v>2</v>
      </c>
      <c r="I177" s="4" t="str">
        <f t="shared" si="11"/>
        <v>Lost/Churned</v>
      </c>
    </row>
    <row r="178" spans="1:9" x14ac:dyDescent="0.3">
      <c r="A178" t="s">
        <v>279</v>
      </c>
      <c r="B178" s="4" t="str">
        <f>_xlfn.XLOOKUP(A178,Cleaned_Data!$B$1:$B$1957,Cleaned_Data!$D$1:$D$1957)</f>
        <v>Chattogram</v>
      </c>
      <c r="C178" s="4">
        <v>260</v>
      </c>
      <c r="D178" s="6">
        <v>6</v>
      </c>
      <c r="E178" s="4">
        <v>1457550</v>
      </c>
      <c r="F178" s="4">
        <f t="shared" si="8"/>
        <v>1</v>
      </c>
      <c r="G178" s="4">
        <f t="shared" si="9"/>
        <v>3</v>
      </c>
      <c r="H178" s="4">
        <f t="shared" si="10"/>
        <v>4</v>
      </c>
      <c r="I178" s="4" t="str">
        <f t="shared" si="11"/>
        <v>At Risk</v>
      </c>
    </row>
    <row r="179" spans="1:9" x14ac:dyDescent="0.3">
      <c r="A179" t="s">
        <v>173</v>
      </c>
      <c r="B179" s="4" t="str">
        <f>_xlfn.XLOOKUP(A179,Cleaned_Data!$B$1:$B$1957,Cleaned_Data!$D$1:$D$1957)</f>
        <v>Sylhet</v>
      </c>
      <c r="C179" s="4">
        <v>33</v>
      </c>
      <c r="D179" s="6">
        <v>12</v>
      </c>
      <c r="E179" s="4">
        <v>1474770</v>
      </c>
      <c r="F179" s="4">
        <f t="shared" si="8"/>
        <v>4</v>
      </c>
      <c r="G179" s="4">
        <f t="shared" si="9"/>
        <v>5</v>
      </c>
      <c r="H179" s="4">
        <f t="shared" si="10"/>
        <v>4</v>
      </c>
      <c r="I179" s="4" t="str">
        <f t="shared" si="11"/>
        <v>Champions</v>
      </c>
    </row>
    <row r="180" spans="1:9" x14ac:dyDescent="0.3">
      <c r="A180" t="s">
        <v>234</v>
      </c>
      <c r="B180" s="4" t="str">
        <f>_xlfn.XLOOKUP(A180,Cleaned_Data!$B$1:$B$1957,Cleaned_Data!$D$1:$D$1957)</f>
        <v>Dhaka</v>
      </c>
      <c r="C180" s="4">
        <v>83</v>
      </c>
      <c r="D180" s="6">
        <v>3</v>
      </c>
      <c r="E180" s="4">
        <v>953250</v>
      </c>
      <c r="F180" s="4">
        <f t="shared" si="8"/>
        <v>3</v>
      </c>
      <c r="G180" s="4">
        <f t="shared" si="9"/>
        <v>1</v>
      </c>
      <c r="H180" s="4">
        <f t="shared" si="10"/>
        <v>3</v>
      </c>
      <c r="I180" s="4" t="str">
        <f t="shared" si="11"/>
        <v>Potential Loyal</v>
      </c>
    </row>
    <row r="181" spans="1:9" x14ac:dyDescent="0.3">
      <c r="A181" t="s">
        <v>183</v>
      </c>
      <c r="B181" s="4" t="str">
        <f>_xlfn.XLOOKUP(A181,Cleaned_Data!$B$1:$B$1957,Cleaned_Data!$D$1:$D$1957)</f>
        <v>Khulna</v>
      </c>
      <c r="C181" s="4">
        <v>113</v>
      </c>
      <c r="D181" s="6">
        <v>8</v>
      </c>
      <c r="E181" s="4">
        <v>1621140</v>
      </c>
      <c r="F181" s="4">
        <f t="shared" si="8"/>
        <v>2</v>
      </c>
      <c r="G181" s="4">
        <f t="shared" si="9"/>
        <v>4</v>
      </c>
      <c r="H181" s="4">
        <f t="shared" si="10"/>
        <v>4</v>
      </c>
      <c r="I181" s="4" t="str">
        <f t="shared" si="11"/>
        <v>At Risk</v>
      </c>
    </row>
    <row r="182" spans="1:9" x14ac:dyDescent="0.3">
      <c r="A182" t="s">
        <v>123</v>
      </c>
      <c r="B182" s="4" t="str">
        <f>_xlfn.XLOOKUP(A182,Cleaned_Data!$B$1:$B$1957,Cleaned_Data!$D$1:$D$1957)</f>
        <v>Mymensingh</v>
      </c>
      <c r="C182" s="4">
        <v>109</v>
      </c>
      <c r="D182" s="6">
        <v>8</v>
      </c>
      <c r="E182" s="4">
        <v>1301340</v>
      </c>
      <c r="F182" s="4">
        <f t="shared" si="8"/>
        <v>2</v>
      </c>
      <c r="G182" s="4">
        <f t="shared" si="9"/>
        <v>4</v>
      </c>
      <c r="H182" s="4">
        <f t="shared" si="10"/>
        <v>4</v>
      </c>
      <c r="I182" s="4" t="str">
        <f t="shared" si="11"/>
        <v>At Risk</v>
      </c>
    </row>
    <row r="183" spans="1:9" x14ac:dyDescent="0.3">
      <c r="A183" t="s">
        <v>53</v>
      </c>
      <c r="B183" s="4" t="str">
        <f>_xlfn.XLOOKUP(A183,Cleaned_Data!$B$1:$B$1957,Cleaned_Data!$D$1:$D$1957)</f>
        <v>Dhaka</v>
      </c>
      <c r="C183" s="4">
        <v>79</v>
      </c>
      <c r="D183" s="6">
        <v>5</v>
      </c>
      <c r="E183" s="4">
        <v>768750</v>
      </c>
      <c r="F183" s="4">
        <f t="shared" si="8"/>
        <v>3</v>
      </c>
      <c r="G183" s="4">
        <f t="shared" si="9"/>
        <v>2</v>
      </c>
      <c r="H183" s="4">
        <f t="shared" si="10"/>
        <v>2</v>
      </c>
      <c r="I183" s="4" t="str">
        <f t="shared" si="11"/>
        <v>Low Engagement</v>
      </c>
    </row>
    <row r="184" spans="1:9" x14ac:dyDescent="0.3">
      <c r="A184" t="s">
        <v>302</v>
      </c>
      <c r="B184" s="4" t="str">
        <f>_xlfn.XLOOKUP(A184,Cleaned_Data!$B$1:$B$1957,Cleaned_Data!$D$1:$D$1957)</f>
        <v>Rajshahi</v>
      </c>
      <c r="C184" s="4">
        <v>247</v>
      </c>
      <c r="D184" s="6">
        <v>2</v>
      </c>
      <c r="E184" s="4">
        <v>861000</v>
      </c>
      <c r="F184" s="4">
        <f t="shared" si="8"/>
        <v>1</v>
      </c>
      <c r="G184" s="4">
        <f t="shared" si="9"/>
        <v>1</v>
      </c>
      <c r="H184" s="4">
        <f t="shared" si="10"/>
        <v>3</v>
      </c>
      <c r="I184" s="4" t="str">
        <f t="shared" si="11"/>
        <v>At Risk</v>
      </c>
    </row>
    <row r="185" spans="1:9" x14ac:dyDescent="0.3">
      <c r="A185" t="s">
        <v>113</v>
      </c>
      <c r="B185" s="4" t="str">
        <f>_xlfn.XLOOKUP(A185,Cleaned_Data!$B$1:$B$1957,Cleaned_Data!$D$1:$D$1957)</f>
        <v>Dhaka</v>
      </c>
      <c r="C185" s="4">
        <v>94</v>
      </c>
      <c r="D185" s="6">
        <v>4</v>
      </c>
      <c r="E185" s="4">
        <v>1073790</v>
      </c>
      <c r="F185" s="4">
        <f t="shared" si="8"/>
        <v>3</v>
      </c>
      <c r="G185" s="4">
        <f t="shared" si="9"/>
        <v>1</v>
      </c>
      <c r="H185" s="4">
        <f t="shared" si="10"/>
        <v>3</v>
      </c>
      <c r="I185" s="4" t="str">
        <f t="shared" si="11"/>
        <v>Potential Loyal</v>
      </c>
    </row>
    <row r="186" spans="1:9" x14ac:dyDescent="0.3">
      <c r="A186" t="s">
        <v>251</v>
      </c>
      <c r="B186" s="4" t="str">
        <f>_xlfn.XLOOKUP(A186,Cleaned_Data!$B$1:$B$1957,Cleaned_Data!$D$1:$D$1957)</f>
        <v>Chattogram</v>
      </c>
      <c r="C186" s="4">
        <v>23</v>
      </c>
      <c r="D186" s="6">
        <v>5</v>
      </c>
      <c r="E186" s="4">
        <v>926190</v>
      </c>
      <c r="F186" s="4">
        <f t="shared" si="8"/>
        <v>4</v>
      </c>
      <c r="G186" s="4">
        <f t="shared" si="9"/>
        <v>2</v>
      </c>
      <c r="H186" s="4">
        <f t="shared" si="10"/>
        <v>3</v>
      </c>
      <c r="I186" s="4" t="str">
        <f t="shared" si="11"/>
        <v>New Customers</v>
      </c>
    </row>
    <row r="187" spans="1:9" x14ac:dyDescent="0.3">
      <c r="A187" t="s">
        <v>181</v>
      </c>
      <c r="B187" s="4" t="str">
        <f>_xlfn.XLOOKUP(A187,Cleaned_Data!$B$1:$B$1957,Cleaned_Data!$D$1:$D$1957)</f>
        <v>Sylhet</v>
      </c>
      <c r="C187" s="4">
        <v>47</v>
      </c>
      <c r="D187" s="6">
        <v>7</v>
      </c>
      <c r="E187" s="4">
        <v>1046730</v>
      </c>
      <c r="F187" s="4">
        <f t="shared" si="8"/>
        <v>4</v>
      </c>
      <c r="G187" s="4">
        <f t="shared" si="9"/>
        <v>4</v>
      </c>
      <c r="H187" s="4">
        <f t="shared" si="10"/>
        <v>3</v>
      </c>
      <c r="I187" s="4" t="str">
        <f t="shared" si="11"/>
        <v>Loyal Customers</v>
      </c>
    </row>
    <row r="188" spans="1:9" x14ac:dyDescent="0.3">
      <c r="A188" t="s">
        <v>189</v>
      </c>
      <c r="B188" s="4" t="str">
        <f>_xlfn.XLOOKUP(A188,Cleaned_Data!$B$1:$B$1957,Cleaned_Data!$D$1:$D$1957)</f>
        <v>Dhaka</v>
      </c>
      <c r="C188" s="4">
        <v>23</v>
      </c>
      <c r="D188" s="6">
        <v>8</v>
      </c>
      <c r="E188" s="4">
        <v>455100</v>
      </c>
      <c r="F188" s="4">
        <f t="shared" si="8"/>
        <v>4</v>
      </c>
      <c r="G188" s="4">
        <f t="shared" si="9"/>
        <v>4</v>
      </c>
      <c r="H188" s="4">
        <f t="shared" si="10"/>
        <v>1</v>
      </c>
      <c r="I188" s="4" t="str">
        <f t="shared" si="11"/>
        <v>Loyal Customers</v>
      </c>
    </row>
    <row r="189" spans="1:9" x14ac:dyDescent="0.3">
      <c r="A189" t="s">
        <v>45</v>
      </c>
      <c r="B189" s="4" t="str">
        <f>_xlfn.XLOOKUP(A189,Cleaned_Data!$B$1:$B$1957,Cleaned_Data!$D$1:$D$1957)</f>
        <v>Chattogram</v>
      </c>
      <c r="C189" s="4">
        <v>247</v>
      </c>
      <c r="D189" s="6">
        <v>10</v>
      </c>
      <c r="E189" s="4">
        <v>1637130</v>
      </c>
      <c r="F189" s="4">
        <f t="shared" si="8"/>
        <v>1</v>
      </c>
      <c r="G189" s="4">
        <f t="shared" si="9"/>
        <v>5</v>
      </c>
      <c r="H189" s="4">
        <f t="shared" si="10"/>
        <v>5</v>
      </c>
      <c r="I189" s="4" t="str">
        <f t="shared" si="11"/>
        <v>At Risk</v>
      </c>
    </row>
    <row r="190" spans="1:9" x14ac:dyDescent="0.3">
      <c r="A190" t="s">
        <v>137</v>
      </c>
      <c r="B190" s="4" t="str">
        <f>_xlfn.XLOOKUP(A190,Cleaned_Data!$B$1:$B$1957,Cleaned_Data!$D$1:$D$1957)</f>
        <v>Rangpur</v>
      </c>
      <c r="C190" s="4">
        <v>39</v>
      </c>
      <c r="D190" s="6">
        <v>8</v>
      </c>
      <c r="E190" s="4">
        <v>2164800</v>
      </c>
      <c r="F190" s="4">
        <f t="shared" si="8"/>
        <v>4</v>
      </c>
      <c r="G190" s="4">
        <f t="shared" si="9"/>
        <v>4</v>
      </c>
      <c r="H190" s="4">
        <f t="shared" si="10"/>
        <v>5</v>
      </c>
      <c r="I190" s="4" t="str">
        <f t="shared" si="11"/>
        <v>Champions</v>
      </c>
    </row>
    <row r="191" spans="1:9" x14ac:dyDescent="0.3">
      <c r="A191" t="s">
        <v>241</v>
      </c>
      <c r="B191" s="4" t="str">
        <f>_xlfn.XLOOKUP(A191,Cleaned_Data!$B$1:$B$1957,Cleaned_Data!$D$1:$D$1957)</f>
        <v>Dhaka</v>
      </c>
      <c r="C191" s="4">
        <v>161</v>
      </c>
      <c r="D191" s="6">
        <v>6</v>
      </c>
      <c r="E191" s="4">
        <v>1790880</v>
      </c>
      <c r="F191" s="4">
        <f t="shared" si="8"/>
        <v>2</v>
      </c>
      <c r="G191" s="4">
        <f t="shared" si="9"/>
        <v>3</v>
      </c>
      <c r="H191" s="4">
        <f t="shared" si="10"/>
        <v>5</v>
      </c>
      <c r="I191" s="4" t="str">
        <f t="shared" si="11"/>
        <v>At Risk</v>
      </c>
    </row>
    <row r="192" spans="1:9" x14ac:dyDescent="0.3">
      <c r="A192" t="s">
        <v>36</v>
      </c>
      <c r="B192" s="4" t="str">
        <f>_xlfn.XLOOKUP(A192,Cleaned_Data!$B$1:$B$1957,Cleaned_Data!$D$1:$D$1957)</f>
        <v>Khulna</v>
      </c>
      <c r="C192" s="4">
        <v>67</v>
      </c>
      <c r="D192" s="6">
        <v>8</v>
      </c>
      <c r="E192" s="4">
        <v>1113150</v>
      </c>
      <c r="F192" s="4">
        <f t="shared" si="8"/>
        <v>3</v>
      </c>
      <c r="G192" s="4">
        <f t="shared" si="9"/>
        <v>4</v>
      </c>
      <c r="H192" s="4">
        <f t="shared" si="10"/>
        <v>3</v>
      </c>
      <c r="I192" s="4" t="str">
        <f t="shared" si="11"/>
        <v>Loyal Customers</v>
      </c>
    </row>
    <row r="193" spans="1:9" x14ac:dyDescent="0.3">
      <c r="A193" t="s">
        <v>244</v>
      </c>
      <c r="B193" s="4" t="str">
        <f>_xlfn.XLOOKUP(A193,Cleaned_Data!$B$1:$B$1957,Cleaned_Data!$D$1:$D$1957)</f>
        <v>Dhaka</v>
      </c>
      <c r="C193" s="4">
        <v>181</v>
      </c>
      <c r="D193" s="6">
        <v>8</v>
      </c>
      <c r="E193" s="4">
        <v>2626050</v>
      </c>
      <c r="F193" s="4">
        <f t="shared" si="8"/>
        <v>1</v>
      </c>
      <c r="G193" s="4">
        <f t="shared" si="9"/>
        <v>4</v>
      </c>
      <c r="H193" s="4">
        <f t="shared" si="10"/>
        <v>5</v>
      </c>
      <c r="I193" s="4" t="str">
        <f t="shared" si="11"/>
        <v>At Risk</v>
      </c>
    </row>
    <row r="194" spans="1:9" x14ac:dyDescent="0.3">
      <c r="A194" t="s">
        <v>34</v>
      </c>
      <c r="B194" s="4" t="str">
        <f>_xlfn.XLOOKUP(A194,Cleaned_Data!$B$1:$B$1957,Cleaned_Data!$D$1:$D$1957)</f>
        <v>Chattogram</v>
      </c>
      <c r="C194" s="4">
        <v>75</v>
      </c>
      <c r="D194" s="6">
        <v>10</v>
      </c>
      <c r="E194" s="4">
        <v>1118070</v>
      </c>
      <c r="F194" s="4">
        <f t="shared" ref="F194:F257" si="12">IF(C194&lt;=$L$2,5,
  IF(C194&lt;=$L$3,4,
    IF(C194&lt;=$L$4,3,
      IF(C194&lt;=$L$5,2,1))))</f>
        <v>3</v>
      </c>
      <c r="G194" s="4">
        <f t="shared" ref="G194:G257" si="13">IF(D194&gt;=$M$5,5,
  IF(D194&gt;=$M$4,4,
    IF(D194&gt;=$M$3,3,
      IF(D194&gt;=$M$2,2,1))))</f>
        <v>5</v>
      </c>
      <c r="H194" s="4">
        <f t="shared" ref="H194:H257" si="14">IF(E194&gt;=$N$5,5,
  IF(E194&gt;=$N$4,4,
    IF(E194&gt;=$N$3,3,
      IF(E194&gt;=$N$2,2,1))))</f>
        <v>3</v>
      </c>
      <c r="I194" s="4" t="str">
        <f t="shared" ref="I194:I257" si="15">IF(AND(F194&gt;=4,G194&gt;=4,H194&gt;=4),"Champions",
  IF(AND(F194&lt;=2,OR(G194&gt;=3,H194&gt;=3)),"At Risk",
    IF(G194&gt;=4,"Loyal Customers",
      IF(AND(F194&gt;=4,G194&lt;=2),"New Customers",
        IF(AND(F194&gt;=3,OR(G194&gt;=3,H194&gt;=3)),"Potential Loyal",
          IF(AND(F194&lt;=2,G194&lt;=2,H194&lt;=2),"Lost/Churned",
            IF(AND(F194=3,G194&lt;=2,H194&lt;=2),"Low Engagement",
              "Unclassified")))))))</f>
        <v>Loyal Customers</v>
      </c>
    </row>
    <row r="195" spans="1:9" x14ac:dyDescent="0.3">
      <c r="A195" t="s">
        <v>150</v>
      </c>
      <c r="B195" s="4" t="str">
        <f>_xlfn.XLOOKUP(A195,Cleaned_Data!$B$1:$B$1957,Cleaned_Data!$D$1:$D$1957)</f>
        <v>Rajshahi</v>
      </c>
      <c r="C195" s="4">
        <v>93</v>
      </c>
      <c r="D195" s="6">
        <v>6</v>
      </c>
      <c r="E195" s="4">
        <v>1081170</v>
      </c>
      <c r="F195" s="4">
        <f t="shared" si="12"/>
        <v>3</v>
      </c>
      <c r="G195" s="4">
        <f t="shared" si="13"/>
        <v>3</v>
      </c>
      <c r="H195" s="4">
        <f t="shared" si="14"/>
        <v>3</v>
      </c>
      <c r="I195" s="4" t="str">
        <f t="shared" si="15"/>
        <v>Potential Loyal</v>
      </c>
    </row>
    <row r="196" spans="1:9" x14ac:dyDescent="0.3">
      <c r="A196" t="s">
        <v>116</v>
      </c>
      <c r="B196" s="4" t="str">
        <f>_xlfn.XLOOKUP(A196,Cleaned_Data!$B$1:$B$1957,Cleaned_Data!$D$1:$D$1957)</f>
        <v>Dhaka</v>
      </c>
      <c r="C196" s="4">
        <v>2</v>
      </c>
      <c r="D196" s="6">
        <v>10</v>
      </c>
      <c r="E196" s="4">
        <v>2303790</v>
      </c>
      <c r="F196" s="4">
        <f t="shared" si="12"/>
        <v>5</v>
      </c>
      <c r="G196" s="4">
        <f t="shared" si="13"/>
        <v>5</v>
      </c>
      <c r="H196" s="4">
        <f t="shared" si="14"/>
        <v>5</v>
      </c>
      <c r="I196" s="4" t="str">
        <f t="shared" si="15"/>
        <v>Champions</v>
      </c>
    </row>
    <row r="197" spans="1:9" x14ac:dyDescent="0.3">
      <c r="A197" t="s">
        <v>176</v>
      </c>
      <c r="B197" s="4" t="str">
        <f>_xlfn.XLOOKUP(A197,Cleaned_Data!$B$1:$B$1957,Cleaned_Data!$D$1:$D$1957)</f>
        <v>Chattogram</v>
      </c>
      <c r="C197" s="4">
        <v>1</v>
      </c>
      <c r="D197" s="6">
        <v>13</v>
      </c>
      <c r="E197" s="4">
        <v>4280400</v>
      </c>
      <c r="F197" s="4">
        <f t="shared" si="12"/>
        <v>5</v>
      </c>
      <c r="G197" s="4">
        <f t="shared" si="13"/>
        <v>5</v>
      </c>
      <c r="H197" s="4">
        <f t="shared" si="14"/>
        <v>5</v>
      </c>
      <c r="I197" s="4" t="str">
        <f t="shared" si="15"/>
        <v>Champions</v>
      </c>
    </row>
    <row r="198" spans="1:9" x14ac:dyDescent="0.3">
      <c r="A198" t="s">
        <v>62</v>
      </c>
      <c r="B198" s="4" t="str">
        <f>_xlfn.XLOOKUP(A198,Cleaned_Data!$B$1:$B$1957,Cleaned_Data!$D$1:$D$1957)</f>
        <v>Rangpur</v>
      </c>
      <c r="C198" s="4">
        <v>57</v>
      </c>
      <c r="D198" s="6">
        <v>5</v>
      </c>
      <c r="E198" s="4">
        <v>166050</v>
      </c>
      <c r="F198" s="4">
        <f t="shared" si="12"/>
        <v>3</v>
      </c>
      <c r="G198" s="4">
        <f t="shared" si="13"/>
        <v>2</v>
      </c>
      <c r="H198" s="4">
        <f t="shared" si="14"/>
        <v>1</v>
      </c>
      <c r="I198" s="4" t="str">
        <f t="shared" si="15"/>
        <v>Low Engagement</v>
      </c>
    </row>
    <row r="199" spans="1:9" x14ac:dyDescent="0.3">
      <c r="A199" t="s">
        <v>270</v>
      </c>
      <c r="B199" s="4" t="str">
        <f>_xlfn.XLOOKUP(A199,Cleaned_Data!$B$1:$B$1957,Cleaned_Data!$D$1:$D$1957)</f>
        <v>Dhaka</v>
      </c>
      <c r="C199" s="4">
        <v>17</v>
      </c>
      <c r="D199" s="6">
        <v>5</v>
      </c>
      <c r="E199" s="4">
        <v>1107000</v>
      </c>
      <c r="F199" s="4">
        <f t="shared" si="12"/>
        <v>5</v>
      </c>
      <c r="G199" s="4">
        <f t="shared" si="13"/>
        <v>2</v>
      </c>
      <c r="H199" s="4">
        <f t="shared" si="14"/>
        <v>3</v>
      </c>
      <c r="I199" s="4" t="str">
        <f t="shared" si="15"/>
        <v>New Customers</v>
      </c>
    </row>
    <row r="200" spans="1:9" x14ac:dyDescent="0.3">
      <c r="A200" t="s">
        <v>79</v>
      </c>
      <c r="B200" s="4" t="str">
        <f>_xlfn.XLOOKUP(A200,Cleaned_Data!$B$1:$B$1957,Cleaned_Data!$D$1:$D$1957)</f>
        <v>Khulna</v>
      </c>
      <c r="C200" s="4">
        <v>21</v>
      </c>
      <c r="D200" s="6">
        <v>4</v>
      </c>
      <c r="E200" s="4">
        <v>731850</v>
      </c>
      <c r="F200" s="4">
        <f t="shared" si="12"/>
        <v>5</v>
      </c>
      <c r="G200" s="4">
        <f t="shared" si="13"/>
        <v>1</v>
      </c>
      <c r="H200" s="4">
        <f t="shared" si="14"/>
        <v>2</v>
      </c>
      <c r="I200" s="4" t="str">
        <f t="shared" si="15"/>
        <v>New Customers</v>
      </c>
    </row>
    <row r="201" spans="1:9" x14ac:dyDescent="0.3">
      <c r="A201" t="s">
        <v>172</v>
      </c>
      <c r="B201" s="4" t="str">
        <f>_xlfn.XLOOKUP(A201,Cleaned_Data!$B$1:$B$1957,Cleaned_Data!$D$1:$D$1957)</f>
        <v>Barishal</v>
      </c>
      <c r="C201" s="4">
        <v>93</v>
      </c>
      <c r="D201" s="6">
        <v>9</v>
      </c>
      <c r="E201" s="4">
        <v>654360</v>
      </c>
      <c r="F201" s="4">
        <f t="shared" si="12"/>
        <v>3</v>
      </c>
      <c r="G201" s="4">
        <f t="shared" si="13"/>
        <v>5</v>
      </c>
      <c r="H201" s="4">
        <f t="shared" si="14"/>
        <v>2</v>
      </c>
      <c r="I201" s="4" t="str">
        <f t="shared" si="15"/>
        <v>Loyal Customers</v>
      </c>
    </row>
    <row r="202" spans="1:9" x14ac:dyDescent="0.3">
      <c r="A202" t="s">
        <v>314</v>
      </c>
      <c r="B202" s="4" t="str">
        <f>_xlfn.XLOOKUP(A202,Cleaned_Data!$B$1:$B$1957,Cleaned_Data!$D$1:$D$1957)</f>
        <v>Dhaka</v>
      </c>
      <c r="C202" s="4">
        <v>139</v>
      </c>
      <c r="D202" s="6">
        <v>4</v>
      </c>
      <c r="E202" s="4">
        <v>485850</v>
      </c>
      <c r="F202" s="4">
        <f t="shared" si="12"/>
        <v>2</v>
      </c>
      <c r="G202" s="4">
        <f t="shared" si="13"/>
        <v>1</v>
      </c>
      <c r="H202" s="4">
        <f t="shared" si="14"/>
        <v>1</v>
      </c>
      <c r="I202" s="4" t="str">
        <f t="shared" si="15"/>
        <v>Lost/Churned</v>
      </c>
    </row>
    <row r="203" spans="1:9" x14ac:dyDescent="0.3">
      <c r="A203" t="s">
        <v>41</v>
      </c>
      <c r="B203" s="4" t="str">
        <f>_xlfn.XLOOKUP(A203,Cleaned_Data!$B$1:$B$1957,Cleaned_Data!$D$1:$D$1957)</f>
        <v>Rajshahi</v>
      </c>
      <c r="C203" s="4">
        <v>112</v>
      </c>
      <c r="D203" s="6">
        <v>5</v>
      </c>
      <c r="E203" s="4">
        <v>584250</v>
      </c>
      <c r="F203" s="4">
        <f t="shared" si="12"/>
        <v>2</v>
      </c>
      <c r="G203" s="4">
        <f t="shared" si="13"/>
        <v>2</v>
      </c>
      <c r="H203" s="4">
        <f t="shared" si="14"/>
        <v>2</v>
      </c>
      <c r="I203" s="4" t="str">
        <f t="shared" si="15"/>
        <v>Lost/Churned</v>
      </c>
    </row>
    <row r="204" spans="1:9" x14ac:dyDescent="0.3">
      <c r="A204" t="s">
        <v>58</v>
      </c>
      <c r="B204" s="4" t="str">
        <f>_xlfn.XLOOKUP(A204,Cleaned_Data!$B$1:$B$1957,Cleaned_Data!$D$1:$D$1957)</f>
        <v>Dhaka</v>
      </c>
      <c r="C204" s="4">
        <v>138</v>
      </c>
      <c r="D204" s="6">
        <v>9</v>
      </c>
      <c r="E204" s="4">
        <v>1394820</v>
      </c>
      <c r="F204" s="4">
        <f t="shared" si="12"/>
        <v>2</v>
      </c>
      <c r="G204" s="4">
        <f t="shared" si="13"/>
        <v>5</v>
      </c>
      <c r="H204" s="4">
        <f t="shared" si="14"/>
        <v>4</v>
      </c>
      <c r="I204" s="4" t="str">
        <f t="shared" si="15"/>
        <v>At Risk</v>
      </c>
    </row>
    <row r="205" spans="1:9" x14ac:dyDescent="0.3">
      <c r="A205" t="s">
        <v>131</v>
      </c>
      <c r="B205" s="4" t="str">
        <f>_xlfn.XLOOKUP(A205,Cleaned_Data!$B$1:$B$1957,Cleaned_Data!$D$1:$D$1957)</f>
        <v>Chattogram</v>
      </c>
      <c r="C205" s="4">
        <v>42</v>
      </c>
      <c r="D205" s="6">
        <v>6</v>
      </c>
      <c r="E205" s="4">
        <v>1311180</v>
      </c>
      <c r="F205" s="4">
        <f t="shared" si="12"/>
        <v>4</v>
      </c>
      <c r="G205" s="4">
        <f t="shared" si="13"/>
        <v>3</v>
      </c>
      <c r="H205" s="4">
        <f t="shared" si="14"/>
        <v>4</v>
      </c>
      <c r="I205" s="4" t="str">
        <f t="shared" si="15"/>
        <v>Potential Loyal</v>
      </c>
    </row>
    <row r="206" spans="1:9" x14ac:dyDescent="0.3">
      <c r="A206" t="s">
        <v>286</v>
      </c>
      <c r="B206" s="4" t="str">
        <f>_xlfn.XLOOKUP(A206,Cleaned_Data!$B$1:$B$1957,Cleaned_Data!$D$1:$D$1957)</f>
        <v>Sylhet</v>
      </c>
      <c r="C206" s="4">
        <v>311</v>
      </c>
      <c r="D206" s="6">
        <v>3</v>
      </c>
      <c r="E206" s="4">
        <v>277980</v>
      </c>
      <c r="F206" s="4">
        <f t="shared" si="12"/>
        <v>1</v>
      </c>
      <c r="G206" s="4">
        <f t="shared" si="13"/>
        <v>1</v>
      </c>
      <c r="H206" s="4">
        <f t="shared" si="14"/>
        <v>1</v>
      </c>
      <c r="I206" s="4" t="str">
        <f t="shared" si="15"/>
        <v>Lost/Churned</v>
      </c>
    </row>
    <row r="207" spans="1:9" x14ac:dyDescent="0.3">
      <c r="A207" t="s">
        <v>310</v>
      </c>
      <c r="B207" s="4" t="str">
        <f>_xlfn.XLOOKUP(A207,Cleaned_Data!$B$1:$B$1957,Cleaned_Data!$D$1:$D$1957)</f>
        <v>Dhaka</v>
      </c>
      <c r="C207" s="4">
        <v>457</v>
      </c>
      <c r="D207" s="6">
        <v>1</v>
      </c>
      <c r="E207" s="4">
        <v>73800</v>
      </c>
      <c r="F207" s="4">
        <f t="shared" si="12"/>
        <v>1</v>
      </c>
      <c r="G207" s="4">
        <f t="shared" si="13"/>
        <v>1</v>
      </c>
      <c r="H207" s="4">
        <f t="shared" si="14"/>
        <v>1</v>
      </c>
      <c r="I207" s="4" t="str">
        <f t="shared" si="15"/>
        <v>Lost/Churned</v>
      </c>
    </row>
    <row r="208" spans="1:9" x14ac:dyDescent="0.3">
      <c r="A208" t="s">
        <v>262</v>
      </c>
      <c r="B208" s="4" t="str">
        <f>_xlfn.XLOOKUP(A208,Cleaned_Data!$B$1:$B$1957,Cleaned_Data!$D$1:$D$1957)</f>
        <v>Khulna</v>
      </c>
      <c r="C208" s="4">
        <v>33</v>
      </c>
      <c r="D208" s="6">
        <v>3</v>
      </c>
      <c r="E208" s="4">
        <v>226320</v>
      </c>
      <c r="F208" s="4">
        <f t="shared" si="12"/>
        <v>4</v>
      </c>
      <c r="G208" s="4">
        <f t="shared" si="13"/>
        <v>1</v>
      </c>
      <c r="H208" s="4">
        <f t="shared" si="14"/>
        <v>1</v>
      </c>
      <c r="I208" s="4" t="str">
        <f t="shared" si="15"/>
        <v>New Customers</v>
      </c>
    </row>
    <row r="209" spans="1:9" x14ac:dyDescent="0.3">
      <c r="A209" t="s">
        <v>154</v>
      </c>
      <c r="B209" s="4" t="str">
        <f>_xlfn.XLOOKUP(A209,Cleaned_Data!$B$1:$B$1957,Cleaned_Data!$D$1:$D$1957)</f>
        <v>Mymensingh</v>
      </c>
      <c r="C209" s="4">
        <v>28</v>
      </c>
      <c r="D209" s="6">
        <v>11</v>
      </c>
      <c r="E209" s="4">
        <v>900360</v>
      </c>
      <c r="F209" s="4">
        <f t="shared" si="12"/>
        <v>4</v>
      </c>
      <c r="G209" s="4">
        <f t="shared" si="13"/>
        <v>5</v>
      </c>
      <c r="H209" s="4">
        <f t="shared" si="14"/>
        <v>3</v>
      </c>
      <c r="I209" s="4" t="str">
        <f t="shared" si="15"/>
        <v>Loyal Customers</v>
      </c>
    </row>
    <row r="210" spans="1:9" x14ac:dyDescent="0.3">
      <c r="A210" t="s">
        <v>317</v>
      </c>
      <c r="B210" s="4" t="str">
        <f>_xlfn.XLOOKUP(A210,Cleaned_Data!$B$1:$B$1957,Cleaned_Data!$D$1:$D$1957)</f>
        <v>Dhaka</v>
      </c>
      <c r="C210" s="4">
        <v>193</v>
      </c>
      <c r="D210" s="6">
        <v>3</v>
      </c>
      <c r="E210" s="4">
        <v>222630</v>
      </c>
      <c r="F210" s="4">
        <f t="shared" si="12"/>
        <v>1</v>
      </c>
      <c r="G210" s="4">
        <f t="shared" si="13"/>
        <v>1</v>
      </c>
      <c r="H210" s="4">
        <f t="shared" si="14"/>
        <v>1</v>
      </c>
      <c r="I210" s="4" t="str">
        <f t="shared" si="15"/>
        <v>Lost/Churned</v>
      </c>
    </row>
    <row r="211" spans="1:9" x14ac:dyDescent="0.3">
      <c r="A211" t="s">
        <v>85</v>
      </c>
      <c r="B211" s="4" t="str">
        <f>_xlfn.XLOOKUP(A211,Cleaned_Data!$B$1:$B$1957,Cleaned_Data!$D$1:$D$1957)</f>
        <v>Rajshahi</v>
      </c>
      <c r="C211" s="4">
        <v>53</v>
      </c>
      <c r="D211" s="6">
        <v>11</v>
      </c>
      <c r="E211" s="4">
        <v>2719530</v>
      </c>
      <c r="F211" s="4">
        <f t="shared" si="12"/>
        <v>3</v>
      </c>
      <c r="G211" s="4">
        <f t="shared" si="13"/>
        <v>5</v>
      </c>
      <c r="H211" s="4">
        <f t="shared" si="14"/>
        <v>5</v>
      </c>
      <c r="I211" s="4" t="str">
        <f t="shared" si="15"/>
        <v>Loyal Customers</v>
      </c>
    </row>
    <row r="212" spans="1:9" x14ac:dyDescent="0.3">
      <c r="A212" t="s">
        <v>102</v>
      </c>
      <c r="B212" s="4" t="str">
        <f>_xlfn.XLOOKUP(A212,Cleaned_Data!$B$1:$B$1957,Cleaned_Data!$D$1:$D$1957)</f>
        <v>Dhaka</v>
      </c>
      <c r="C212" s="4">
        <v>167</v>
      </c>
      <c r="D212" s="6">
        <v>7</v>
      </c>
      <c r="E212" s="4">
        <v>1661730</v>
      </c>
      <c r="F212" s="4">
        <f t="shared" si="12"/>
        <v>2</v>
      </c>
      <c r="G212" s="4">
        <f t="shared" si="13"/>
        <v>4</v>
      </c>
      <c r="H212" s="4">
        <f t="shared" si="14"/>
        <v>5</v>
      </c>
      <c r="I212" s="4" t="str">
        <f t="shared" si="15"/>
        <v>At Risk</v>
      </c>
    </row>
    <row r="213" spans="1:9" x14ac:dyDescent="0.3">
      <c r="A213" t="s">
        <v>216</v>
      </c>
      <c r="B213" s="4" t="str">
        <f>_xlfn.XLOOKUP(A213,Cleaned_Data!$B$1:$B$1957,Cleaned_Data!$D$1:$D$1957)</f>
        <v>Chattogram</v>
      </c>
      <c r="C213" s="4">
        <v>49</v>
      </c>
      <c r="D213" s="6">
        <v>6</v>
      </c>
      <c r="E213" s="4">
        <v>940950</v>
      </c>
      <c r="F213" s="4">
        <f t="shared" si="12"/>
        <v>3</v>
      </c>
      <c r="G213" s="4">
        <f t="shared" si="13"/>
        <v>3</v>
      </c>
      <c r="H213" s="4">
        <f t="shared" si="14"/>
        <v>3</v>
      </c>
      <c r="I213" s="4" t="str">
        <f t="shared" si="15"/>
        <v>Potential Loyal</v>
      </c>
    </row>
    <row r="214" spans="1:9" x14ac:dyDescent="0.3">
      <c r="A214" t="s">
        <v>228</v>
      </c>
      <c r="B214" s="4" t="str">
        <f>_xlfn.XLOOKUP(A214,Cleaned_Data!$B$1:$B$1957,Cleaned_Data!$D$1:$D$1957)</f>
        <v>Sylhet</v>
      </c>
      <c r="C214" s="4">
        <v>13</v>
      </c>
      <c r="D214" s="6">
        <v>7</v>
      </c>
      <c r="E214" s="4">
        <v>659280</v>
      </c>
      <c r="F214" s="4">
        <f t="shared" si="12"/>
        <v>5</v>
      </c>
      <c r="G214" s="4">
        <f t="shared" si="13"/>
        <v>4</v>
      </c>
      <c r="H214" s="4">
        <f t="shared" si="14"/>
        <v>2</v>
      </c>
      <c r="I214" s="4" t="str">
        <f t="shared" si="15"/>
        <v>Loyal Customers</v>
      </c>
    </row>
    <row r="215" spans="1:9" x14ac:dyDescent="0.3">
      <c r="A215" t="s">
        <v>63</v>
      </c>
      <c r="B215" s="4" t="str">
        <f>_xlfn.XLOOKUP(A215,Cleaned_Data!$B$1:$B$1957,Cleaned_Data!$D$1:$D$1957)</f>
        <v>Dhaka</v>
      </c>
      <c r="C215" s="4">
        <v>83</v>
      </c>
      <c r="D215" s="6">
        <v>5</v>
      </c>
      <c r="E215" s="4">
        <v>1717080</v>
      </c>
      <c r="F215" s="4">
        <f t="shared" si="12"/>
        <v>3</v>
      </c>
      <c r="G215" s="4">
        <f t="shared" si="13"/>
        <v>2</v>
      </c>
      <c r="H215" s="4">
        <f t="shared" si="14"/>
        <v>5</v>
      </c>
      <c r="I215" s="4" t="str">
        <f t="shared" si="15"/>
        <v>Potential Loyal</v>
      </c>
    </row>
    <row r="216" spans="1:9" x14ac:dyDescent="0.3">
      <c r="A216" t="s">
        <v>118</v>
      </c>
      <c r="B216" s="4" t="str">
        <f>_xlfn.XLOOKUP(A216,Cleaned_Data!$B$1:$B$1957,Cleaned_Data!$D$1:$D$1957)</f>
        <v>Chattogram</v>
      </c>
      <c r="C216" s="4">
        <v>235</v>
      </c>
      <c r="D216" s="6">
        <v>4</v>
      </c>
      <c r="E216" s="4">
        <v>972930</v>
      </c>
      <c r="F216" s="4">
        <f t="shared" si="12"/>
        <v>1</v>
      </c>
      <c r="G216" s="4">
        <f t="shared" si="13"/>
        <v>1</v>
      </c>
      <c r="H216" s="4">
        <f t="shared" si="14"/>
        <v>3</v>
      </c>
      <c r="I216" s="4" t="str">
        <f t="shared" si="15"/>
        <v>At Risk</v>
      </c>
    </row>
    <row r="217" spans="1:9" x14ac:dyDescent="0.3">
      <c r="A217" t="s">
        <v>238</v>
      </c>
      <c r="B217" s="4" t="str">
        <f>_xlfn.XLOOKUP(A217,Cleaned_Data!$B$1:$B$1957,Cleaned_Data!$D$1:$D$1957)</f>
        <v>Rangpur</v>
      </c>
      <c r="C217" s="4">
        <v>71</v>
      </c>
      <c r="D217" s="6">
        <v>5</v>
      </c>
      <c r="E217" s="4">
        <v>1126680</v>
      </c>
      <c r="F217" s="4">
        <f t="shared" si="12"/>
        <v>3</v>
      </c>
      <c r="G217" s="4">
        <f t="shared" si="13"/>
        <v>2</v>
      </c>
      <c r="H217" s="4">
        <f t="shared" si="14"/>
        <v>3</v>
      </c>
      <c r="I217" s="4" t="str">
        <f t="shared" si="15"/>
        <v>Potential Loyal</v>
      </c>
    </row>
    <row r="218" spans="1:9" x14ac:dyDescent="0.3">
      <c r="A218" t="s">
        <v>273</v>
      </c>
      <c r="B218" s="4" t="str">
        <f>_xlfn.XLOOKUP(A218,Cleaned_Data!$B$1:$B$1957,Cleaned_Data!$D$1:$D$1957)</f>
        <v>Dhaka</v>
      </c>
      <c r="C218" s="4">
        <v>13</v>
      </c>
      <c r="D218" s="6">
        <v>8</v>
      </c>
      <c r="E218" s="4">
        <v>1077480</v>
      </c>
      <c r="F218" s="4">
        <f t="shared" si="12"/>
        <v>5</v>
      </c>
      <c r="G218" s="4">
        <f t="shared" si="13"/>
        <v>4</v>
      </c>
      <c r="H218" s="4">
        <f t="shared" si="14"/>
        <v>3</v>
      </c>
      <c r="I218" s="4" t="str">
        <f t="shared" si="15"/>
        <v>Loyal Customers</v>
      </c>
    </row>
    <row r="219" spans="1:9" x14ac:dyDescent="0.3">
      <c r="A219" t="s">
        <v>168</v>
      </c>
      <c r="B219" s="4" t="str">
        <f>_xlfn.XLOOKUP(A219,Cleaned_Data!$B$1:$B$1957,Cleaned_Data!$D$1:$D$1957)</f>
        <v>Khulna</v>
      </c>
      <c r="C219" s="4">
        <v>34</v>
      </c>
      <c r="D219" s="6">
        <v>5</v>
      </c>
      <c r="E219" s="4">
        <v>842550</v>
      </c>
      <c r="F219" s="4">
        <f t="shared" si="12"/>
        <v>4</v>
      </c>
      <c r="G219" s="4">
        <f t="shared" si="13"/>
        <v>2</v>
      </c>
      <c r="H219" s="4">
        <f t="shared" si="14"/>
        <v>2</v>
      </c>
      <c r="I219" s="4" t="str">
        <f t="shared" si="15"/>
        <v>New Customers</v>
      </c>
    </row>
    <row r="220" spans="1:9" x14ac:dyDescent="0.3">
      <c r="A220" t="s">
        <v>93</v>
      </c>
      <c r="B220" s="4" t="str">
        <f>_xlfn.XLOOKUP(A220,Cleaned_Data!$B$1:$B$1957,Cleaned_Data!$D$1:$D$1957)</f>
        <v>Barishal</v>
      </c>
      <c r="C220" s="4">
        <v>134</v>
      </c>
      <c r="D220" s="6">
        <v>8</v>
      </c>
      <c r="E220" s="4">
        <v>730620</v>
      </c>
      <c r="F220" s="4">
        <f t="shared" si="12"/>
        <v>2</v>
      </c>
      <c r="G220" s="4">
        <f t="shared" si="13"/>
        <v>4</v>
      </c>
      <c r="H220" s="4">
        <f t="shared" si="14"/>
        <v>2</v>
      </c>
      <c r="I220" s="4" t="str">
        <f t="shared" si="15"/>
        <v>At Risk</v>
      </c>
    </row>
    <row r="221" spans="1:9" x14ac:dyDescent="0.3">
      <c r="A221" t="s">
        <v>110</v>
      </c>
      <c r="B221" s="4" t="str">
        <f>_xlfn.XLOOKUP(A221,Cleaned_Data!$B$1:$B$1957,Cleaned_Data!$D$1:$D$1957)</f>
        <v>Chattogram</v>
      </c>
      <c r="C221" s="4">
        <v>38</v>
      </c>
      <c r="D221" s="6">
        <v>10</v>
      </c>
      <c r="E221" s="4">
        <v>1282890</v>
      </c>
      <c r="F221" s="4">
        <f t="shared" si="12"/>
        <v>4</v>
      </c>
      <c r="G221" s="4">
        <f t="shared" si="13"/>
        <v>5</v>
      </c>
      <c r="H221" s="4">
        <f t="shared" si="14"/>
        <v>4</v>
      </c>
      <c r="I221" s="4" t="str">
        <f t="shared" si="15"/>
        <v>Champions</v>
      </c>
    </row>
    <row r="222" spans="1:9" x14ac:dyDescent="0.3">
      <c r="A222" t="s">
        <v>208</v>
      </c>
      <c r="B222" s="4" t="str">
        <f>_xlfn.XLOOKUP(A222,Cleaned_Data!$B$1:$B$1957,Cleaned_Data!$D$1:$D$1957)</f>
        <v>Rajshahi</v>
      </c>
      <c r="C222" s="4">
        <v>144</v>
      </c>
      <c r="D222" s="6">
        <v>6</v>
      </c>
      <c r="E222" s="4">
        <v>207870</v>
      </c>
      <c r="F222" s="4">
        <f t="shared" si="12"/>
        <v>2</v>
      </c>
      <c r="G222" s="4">
        <f t="shared" si="13"/>
        <v>3</v>
      </c>
      <c r="H222" s="4">
        <f t="shared" si="14"/>
        <v>1</v>
      </c>
      <c r="I222" s="4" t="str">
        <f t="shared" si="15"/>
        <v>At Risk</v>
      </c>
    </row>
    <row r="223" spans="1:9" x14ac:dyDescent="0.3">
      <c r="A223" t="s">
        <v>299</v>
      </c>
      <c r="B223" s="4" t="str">
        <f>_xlfn.XLOOKUP(A223,Cleaned_Data!$B$1:$B$1957,Cleaned_Data!$D$1:$D$1957)</f>
        <v>Rangpur</v>
      </c>
      <c r="C223" s="4">
        <v>43</v>
      </c>
      <c r="D223" s="6">
        <v>9</v>
      </c>
      <c r="E223" s="4">
        <v>1535040</v>
      </c>
      <c r="F223" s="4">
        <f t="shared" si="12"/>
        <v>4</v>
      </c>
      <c r="G223" s="4">
        <f t="shared" si="13"/>
        <v>5</v>
      </c>
      <c r="H223" s="4">
        <f t="shared" si="14"/>
        <v>4</v>
      </c>
      <c r="I223" s="4" t="str">
        <f t="shared" si="15"/>
        <v>Champions</v>
      </c>
    </row>
    <row r="224" spans="1:9" x14ac:dyDescent="0.3">
      <c r="A224" t="s">
        <v>307</v>
      </c>
      <c r="B224" s="4" t="str">
        <f>_xlfn.XLOOKUP(A224,Cleaned_Data!$B$1:$B$1957,Cleaned_Data!$D$1:$D$1957)</f>
        <v>Dhaka</v>
      </c>
      <c r="C224" s="4">
        <v>82</v>
      </c>
      <c r="D224" s="6">
        <v>5</v>
      </c>
      <c r="E224" s="4">
        <v>282900</v>
      </c>
      <c r="F224" s="4">
        <f t="shared" si="12"/>
        <v>3</v>
      </c>
      <c r="G224" s="4">
        <f t="shared" si="13"/>
        <v>2</v>
      </c>
      <c r="H224" s="4">
        <f t="shared" si="14"/>
        <v>1</v>
      </c>
      <c r="I224" s="4" t="str">
        <f t="shared" si="15"/>
        <v>Low Engagement</v>
      </c>
    </row>
    <row r="225" spans="1:9" x14ac:dyDescent="0.3">
      <c r="A225" t="s">
        <v>308</v>
      </c>
      <c r="B225" s="4" t="str">
        <f>_xlfn.XLOOKUP(A225,Cleaned_Data!$B$1:$B$1957,Cleaned_Data!$D$1:$D$1957)</f>
        <v>Khulna</v>
      </c>
      <c r="C225" s="4">
        <v>188</v>
      </c>
      <c r="D225" s="6">
        <v>4</v>
      </c>
      <c r="E225" s="4">
        <v>1057800</v>
      </c>
      <c r="F225" s="4">
        <f t="shared" si="12"/>
        <v>1</v>
      </c>
      <c r="G225" s="4">
        <f t="shared" si="13"/>
        <v>1</v>
      </c>
      <c r="H225" s="4">
        <f t="shared" si="14"/>
        <v>3</v>
      </c>
      <c r="I225" s="4" t="str">
        <f t="shared" si="15"/>
        <v>At Risk</v>
      </c>
    </row>
    <row r="226" spans="1:9" x14ac:dyDescent="0.3">
      <c r="A226" t="s">
        <v>269</v>
      </c>
      <c r="B226" s="4" t="str">
        <f>_xlfn.XLOOKUP(A226,Cleaned_Data!$B$1:$B$1957,Cleaned_Data!$D$1:$D$1957)</f>
        <v>Barishal</v>
      </c>
      <c r="C226" s="4">
        <v>200</v>
      </c>
      <c r="D226" s="6">
        <v>7</v>
      </c>
      <c r="E226" s="4">
        <v>330870</v>
      </c>
      <c r="F226" s="4">
        <f t="shared" si="12"/>
        <v>1</v>
      </c>
      <c r="G226" s="4">
        <f t="shared" si="13"/>
        <v>4</v>
      </c>
      <c r="H226" s="4">
        <f t="shared" si="14"/>
        <v>1</v>
      </c>
      <c r="I226" s="4" t="str">
        <f t="shared" si="15"/>
        <v>At Risk</v>
      </c>
    </row>
    <row r="227" spans="1:9" x14ac:dyDescent="0.3">
      <c r="A227" t="s">
        <v>107</v>
      </c>
      <c r="B227" s="4" t="str">
        <f>_xlfn.XLOOKUP(A227,Cleaned_Data!$B$1:$B$1957,Cleaned_Data!$D$1:$D$1957)</f>
        <v>Dhaka</v>
      </c>
      <c r="C227" s="4">
        <v>262</v>
      </c>
      <c r="D227" s="6">
        <v>4</v>
      </c>
      <c r="E227" s="4">
        <v>1488300</v>
      </c>
      <c r="F227" s="4">
        <f t="shared" si="12"/>
        <v>1</v>
      </c>
      <c r="G227" s="4">
        <f t="shared" si="13"/>
        <v>1</v>
      </c>
      <c r="H227" s="4">
        <f t="shared" si="14"/>
        <v>4</v>
      </c>
      <c r="I227" s="4" t="str">
        <f t="shared" si="15"/>
        <v>At Risk</v>
      </c>
    </row>
    <row r="228" spans="1:9" x14ac:dyDescent="0.3">
      <c r="A228" t="s">
        <v>231</v>
      </c>
      <c r="B228" s="4" t="str">
        <f>_xlfn.XLOOKUP(A228,Cleaned_Data!$B$1:$B$1957,Cleaned_Data!$D$1:$D$1957)</f>
        <v>Rajshahi</v>
      </c>
      <c r="C228" s="4">
        <v>29</v>
      </c>
      <c r="D228" s="6">
        <v>5</v>
      </c>
      <c r="E228" s="4">
        <v>1168500</v>
      </c>
      <c r="F228" s="4">
        <f t="shared" si="12"/>
        <v>4</v>
      </c>
      <c r="G228" s="4">
        <f t="shared" si="13"/>
        <v>2</v>
      </c>
      <c r="H228" s="4">
        <f t="shared" si="14"/>
        <v>4</v>
      </c>
      <c r="I228" s="4" t="str">
        <f t="shared" si="15"/>
        <v>New Customers</v>
      </c>
    </row>
    <row r="229" spans="1:9" x14ac:dyDescent="0.3">
      <c r="A229" t="s">
        <v>210</v>
      </c>
      <c r="B229" s="4" t="str">
        <f>_xlfn.XLOOKUP(A229,Cleaned_Data!$B$1:$B$1957,Cleaned_Data!$D$1:$D$1957)</f>
        <v>Dhaka</v>
      </c>
      <c r="C229" s="4">
        <v>117</v>
      </c>
      <c r="D229" s="6">
        <v>6</v>
      </c>
      <c r="E229" s="4">
        <v>334560</v>
      </c>
      <c r="F229" s="4">
        <f t="shared" si="12"/>
        <v>2</v>
      </c>
      <c r="G229" s="4">
        <f t="shared" si="13"/>
        <v>3</v>
      </c>
      <c r="H229" s="4">
        <f t="shared" si="14"/>
        <v>1</v>
      </c>
      <c r="I229" s="4" t="str">
        <f t="shared" si="15"/>
        <v>At Risk</v>
      </c>
    </row>
    <row r="230" spans="1:9" x14ac:dyDescent="0.3">
      <c r="A230" t="s">
        <v>141</v>
      </c>
      <c r="B230" s="4" t="str">
        <f>_xlfn.XLOOKUP(A230,Cleaned_Data!$B$1:$B$1957,Cleaned_Data!$D$1:$D$1957)</f>
        <v>Chattogram</v>
      </c>
      <c r="C230" s="4">
        <v>267</v>
      </c>
      <c r="D230" s="6">
        <v>5</v>
      </c>
      <c r="E230" s="4">
        <v>1408350</v>
      </c>
      <c r="F230" s="4">
        <f t="shared" si="12"/>
        <v>1</v>
      </c>
      <c r="G230" s="4">
        <f t="shared" si="13"/>
        <v>2</v>
      </c>
      <c r="H230" s="4">
        <f t="shared" si="14"/>
        <v>4</v>
      </c>
      <c r="I230" s="4" t="str">
        <f t="shared" si="15"/>
        <v>At Risk</v>
      </c>
    </row>
    <row r="231" spans="1:9" x14ac:dyDescent="0.3">
      <c r="A231" t="s">
        <v>257</v>
      </c>
      <c r="B231" s="4" t="str">
        <f>_xlfn.XLOOKUP(A231,Cleaned_Data!$B$1:$B$1957,Cleaned_Data!$D$1:$D$1957)</f>
        <v>Sylhet</v>
      </c>
      <c r="C231" s="4">
        <v>31</v>
      </c>
      <c r="D231" s="6">
        <v>10</v>
      </c>
      <c r="E231" s="4">
        <v>1795800</v>
      </c>
      <c r="F231" s="4">
        <f t="shared" si="12"/>
        <v>4</v>
      </c>
      <c r="G231" s="4">
        <f t="shared" si="13"/>
        <v>5</v>
      </c>
      <c r="H231" s="4">
        <f t="shared" si="14"/>
        <v>5</v>
      </c>
      <c r="I231" s="4" t="str">
        <f t="shared" si="15"/>
        <v>Champions</v>
      </c>
    </row>
    <row r="232" spans="1:9" x14ac:dyDescent="0.3">
      <c r="A232" t="s">
        <v>242</v>
      </c>
      <c r="B232" s="4" t="str">
        <f>_xlfn.XLOOKUP(A232,Cleaned_Data!$B$1:$B$1957,Cleaned_Data!$D$1:$D$1957)</f>
        <v>Dhaka</v>
      </c>
      <c r="C232" s="4">
        <v>22</v>
      </c>
      <c r="D232" s="6">
        <v>7</v>
      </c>
      <c r="E232" s="4">
        <v>1194330</v>
      </c>
      <c r="F232" s="4">
        <f t="shared" si="12"/>
        <v>5</v>
      </c>
      <c r="G232" s="4">
        <f t="shared" si="13"/>
        <v>4</v>
      </c>
      <c r="H232" s="4">
        <f t="shared" si="14"/>
        <v>4</v>
      </c>
      <c r="I232" s="4" t="str">
        <f t="shared" si="15"/>
        <v>Champions</v>
      </c>
    </row>
    <row r="233" spans="1:9" x14ac:dyDescent="0.3">
      <c r="A233" t="s">
        <v>48</v>
      </c>
      <c r="B233" s="4" t="str">
        <f>_xlfn.XLOOKUP(A233,Cleaned_Data!$B$1:$B$1957,Cleaned_Data!$D$1:$D$1957)</f>
        <v>Chattogram</v>
      </c>
      <c r="C233" s="4">
        <v>110</v>
      </c>
      <c r="D233" s="6">
        <v>7</v>
      </c>
      <c r="E233" s="4">
        <v>2287800</v>
      </c>
      <c r="F233" s="4">
        <f t="shared" si="12"/>
        <v>2</v>
      </c>
      <c r="G233" s="4">
        <f t="shared" si="13"/>
        <v>4</v>
      </c>
      <c r="H233" s="4">
        <f t="shared" si="14"/>
        <v>5</v>
      </c>
      <c r="I233" s="4" t="str">
        <f t="shared" si="15"/>
        <v>At Risk</v>
      </c>
    </row>
    <row r="234" spans="1:9" x14ac:dyDescent="0.3">
      <c r="A234" t="s">
        <v>259</v>
      </c>
      <c r="B234" s="4" t="str">
        <f>_xlfn.XLOOKUP(A234,Cleaned_Data!$B$1:$B$1957,Cleaned_Data!$D$1:$D$1957)</f>
        <v>Mymensingh</v>
      </c>
      <c r="C234" s="4">
        <v>18</v>
      </c>
      <c r="D234" s="6">
        <v>7</v>
      </c>
      <c r="E234" s="4">
        <v>1137750</v>
      </c>
      <c r="F234" s="4">
        <f t="shared" si="12"/>
        <v>5</v>
      </c>
      <c r="G234" s="4">
        <f t="shared" si="13"/>
        <v>4</v>
      </c>
      <c r="H234" s="4">
        <f t="shared" si="14"/>
        <v>3</v>
      </c>
      <c r="I234" s="4" t="str">
        <f t="shared" si="15"/>
        <v>Loyal Customers</v>
      </c>
    </row>
    <row r="235" spans="1:9" x14ac:dyDescent="0.3">
      <c r="A235" t="s">
        <v>84</v>
      </c>
      <c r="B235" s="4" t="str">
        <f>_xlfn.XLOOKUP(A235,Cleaned_Data!$B$1:$B$1957,Cleaned_Data!$D$1:$D$1957)</f>
        <v>Dhaka</v>
      </c>
      <c r="C235" s="4">
        <v>95</v>
      </c>
      <c r="D235" s="6">
        <v>8</v>
      </c>
      <c r="E235" s="4">
        <v>2607600</v>
      </c>
      <c r="F235" s="4">
        <f t="shared" si="12"/>
        <v>3</v>
      </c>
      <c r="G235" s="4">
        <f t="shared" si="13"/>
        <v>4</v>
      </c>
      <c r="H235" s="4">
        <f t="shared" si="14"/>
        <v>5</v>
      </c>
      <c r="I235" s="4" t="str">
        <f t="shared" si="15"/>
        <v>Loyal Customers</v>
      </c>
    </row>
    <row r="236" spans="1:9" x14ac:dyDescent="0.3">
      <c r="A236" t="s">
        <v>94</v>
      </c>
      <c r="B236" s="4" t="str">
        <f>_xlfn.XLOOKUP(A236,Cleaned_Data!$B$1:$B$1957,Cleaned_Data!$D$1:$D$1957)</f>
        <v>Rajshahi</v>
      </c>
      <c r="C236" s="4">
        <v>91</v>
      </c>
      <c r="D236" s="6">
        <v>7</v>
      </c>
      <c r="E236" s="4">
        <v>1559640</v>
      </c>
      <c r="F236" s="4">
        <f t="shared" si="12"/>
        <v>3</v>
      </c>
      <c r="G236" s="4">
        <f t="shared" si="13"/>
        <v>4</v>
      </c>
      <c r="H236" s="4">
        <f t="shared" si="14"/>
        <v>4</v>
      </c>
      <c r="I236" s="4" t="str">
        <f t="shared" si="15"/>
        <v>Loyal Customers</v>
      </c>
    </row>
    <row r="237" spans="1:9" x14ac:dyDescent="0.3">
      <c r="A237" t="s">
        <v>266</v>
      </c>
      <c r="B237" s="4" t="str">
        <f>_xlfn.XLOOKUP(A237,Cleaned_Data!$B$1:$B$1957,Cleaned_Data!$D$1:$D$1957)</f>
        <v>Dhaka</v>
      </c>
      <c r="C237" s="4">
        <v>262</v>
      </c>
      <c r="D237" s="6">
        <v>4</v>
      </c>
      <c r="E237" s="4">
        <v>1205400</v>
      </c>
      <c r="F237" s="4">
        <f t="shared" si="12"/>
        <v>1</v>
      </c>
      <c r="G237" s="4">
        <f t="shared" si="13"/>
        <v>1</v>
      </c>
      <c r="H237" s="4">
        <f t="shared" si="14"/>
        <v>4</v>
      </c>
      <c r="I237" s="4" t="str">
        <f t="shared" si="15"/>
        <v>At Risk</v>
      </c>
    </row>
    <row r="238" spans="1:9" x14ac:dyDescent="0.3">
      <c r="A238" t="s">
        <v>68</v>
      </c>
      <c r="B238" s="4" t="str">
        <f>_xlfn.XLOOKUP(A238,Cleaned_Data!$B$1:$B$1957,Cleaned_Data!$D$1:$D$1957)</f>
        <v>Chattogram</v>
      </c>
      <c r="C238" s="4">
        <v>127</v>
      </c>
      <c r="D238" s="6">
        <v>6</v>
      </c>
      <c r="E238" s="4">
        <v>1626060</v>
      </c>
      <c r="F238" s="4">
        <f t="shared" si="12"/>
        <v>2</v>
      </c>
      <c r="G238" s="4">
        <f t="shared" si="13"/>
        <v>3</v>
      </c>
      <c r="H238" s="4">
        <f t="shared" si="14"/>
        <v>4</v>
      </c>
      <c r="I238" s="4" t="str">
        <f t="shared" si="15"/>
        <v>At Risk</v>
      </c>
    </row>
    <row r="239" spans="1:9" x14ac:dyDescent="0.3">
      <c r="A239" t="s">
        <v>267</v>
      </c>
      <c r="B239" s="4" t="str">
        <f>_xlfn.XLOOKUP(A239,Cleaned_Data!$B$1:$B$1957,Cleaned_Data!$D$1:$D$1957)</f>
        <v>Sylhet</v>
      </c>
      <c r="C239" s="4">
        <v>7</v>
      </c>
      <c r="D239" s="6">
        <v>5</v>
      </c>
      <c r="E239" s="4">
        <v>831480</v>
      </c>
      <c r="F239" s="4">
        <f t="shared" si="12"/>
        <v>5</v>
      </c>
      <c r="G239" s="4">
        <f t="shared" si="13"/>
        <v>2</v>
      </c>
      <c r="H239" s="4">
        <f t="shared" si="14"/>
        <v>2</v>
      </c>
      <c r="I239" s="4" t="str">
        <f t="shared" si="15"/>
        <v>New Customers</v>
      </c>
    </row>
    <row r="240" spans="1:9" x14ac:dyDescent="0.3">
      <c r="A240" t="s">
        <v>275</v>
      </c>
      <c r="B240" s="4" t="str">
        <f>_xlfn.XLOOKUP(A240,Cleaned_Data!$B$1:$B$1957,Cleaned_Data!$D$1:$D$1957)</f>
        <v>Dhaka</v>
      </c>
      <c r="C240" s="4">
        <v>24</v>
      </c>
      <c r="D240" s="6">
        <v>5</v>
      </c>
      <c r="E240" s="4">
        <v>1161120</v>
      </c>
      <c r="F240" s="4">
        <f t="shared" si="12"/>
        <v>4</v>
      </c>
      <c r="G240" s="4">
        <f t="shared" si="13"/>
        <v>2</v>
      </c>
      <c r="H240" s="4">
        <f t="shared" si="14"/>
        <v>3</v>
      </c>
      <c r="I240" s="4" t="str">
        <f t="shared" si="15"/>
        <v>New Customers</v>
      </c>
    </row>
    <row r="241" spans="1:9" x14ac:dyDescent="0.3">
      <c r="A241" t="s">
        <v>193</v>
      </c>
      <c r="B241" s="4" t="str">
        <f>_xlfn.XLOOKUP(A241,Cleaned_Data!$B$1:$B$1957,Cleaned_Data!$D$1:$D$1957)</f>
        <v>Chattogram</v>
      </c>
      <c r="C241" s="4">
        <v>38</v>
      </c>
      <c r="D241" s="6">
        <v>5</v>
      </c>
      <c r="E241" s="4">
        <v>571950</v>
      </c>
      <c r="F241" s="4">
        <f t="shared" si="12"/>
        <v>4</v>
      </c>
      <c r="G241" s="4">
        <f t="shared" si="13"/>
        <v>2</v>
      </c>
      <c r="H241" s="4">
        <f t="shared" si="14"/>
        <v>2</v>
      </c>
      <c r="I241" s="4" t="str">
        <f t="shared" si="15"/>
        <v>New Customers</v>
      </c>
    </row>
    <row r="242" spans="1:9" x14ac:dyDescent="0.3">
      <c r="A242" t="s">
        <v>108</v>
      </c>
      <c r="B242" s="4" t="str">
        <f>_xlfn.XLOOKUP(A242,Cleaned_Data!$B$1:$B$1957,Cleaned_Data!$D$1:$D$1957)</f>
        <v>Rangpur</v>
      </c>
      <c r="C242" s="4">
        <v>220</v>
      </c>
      <c r="D242" s="6">
        <v>6</v>
      </c>
      <c r="E242" s="4">
        <v>1175880</v>
      </c>
      <c r="F242" s="4">
        <f t="shared" si="12"/>
        <v>1</v>
      </c>
      <c r="G242" s="4">
        <f t="shared" si="13"/>
        <v>3</v>
      </c>
      <c r="H242" s="4">
        <f t="shared" si="14"/>
        <v>4</v>
      </c>
      <c r="I242" s="4" t="str">
        <f t="shared" si="15"/>
        <v>At Risk</v>
      </c>
    </row>
    <row r="243" spans="1:9" x14ac:dyDescent="0.3">
      <c r="A243" t="s">
        <v>260</v>
      </c>
      <c r="B243" s="4" t="str">
        <f>_xlfn.XLOOKUP(A243,Cleaned_Data!$B$1:$B$1957,Cleaned_Data!$D$1:$D$1957)</f>
        <v>Dhaka</v>
      </c>
      <c r="C243" s="4">
        <v>30</v>
      </c>
      <c r="D243" s="6">
        <v>6</v>
      </c>
      <c r="E243" s="4">
        <v>418200</v>
      </c>
      <c r="F243" s="4">
        <f t="shared" si="12"/>
        <v>4</v>
      </c>
      <c r="G243" s="4">
        <f t="shared" si="13"/>
        <v>3</v>
      </c>
      <c r="H243" s="4">
        <f t="shared" si="14"/>
        <v>1</v>
      </c>
      <c r="I243" s="4" t="str">
        <f t="shared" si="15"/>
        <v>Potential Loyal</v>
      </c>
    </row>
    <row r="244" spans="1:9" x14ac:dyDescent="0.3">
      <c r="A244" t="s">
        <v>186</v>
      </c>
      <c r="B244" s="4" t="str">
        <f>_xlfn.XLOOKUP(A244,Cleaned_Data!$B$1:$B$1957,Cleaned_Data!$D$1:$D$1957)</f>
        <v>Khulna</v>
      </c>
      <c r="C244" s="4">
        <v>170</v>
      </c>
      <c r="D244" s="6">
        <v>8</v>
      </c>
      <c r="E244" s="4">
        <v>1100850</v>
      </c>
      <c r="F244" s="4">
        <f t="shared" si="12"/>
        <v>2</v>
      </c>
      <c r="G244" s="4">
        <f t="shared" si="13"/>
        <v>4</v>
      </c>
      <c r="H244" s="4">
        <f t="shared" si="14"/>
        <v>3</v>
      </c>
      <c r="I244" s="4" t="str">
        <f t="shared" si="15"/>
        <v>At Risk</v>
      </c>
    </row>
    <row r="245" spans="1:9" x14ac:dyDescent="0.3">
      <c r="A245" t="s">
        <v>297</v>
      </c>
      <c r="B245" s="4" t="str">
        <f>_xlfn.XLOOKUP(A245,Cleaned_Data!$B$1:$B$1957,Cleaned_Data!$D$1:$D$1957)</f>
        <v>Chattogram</v>
      </c>
      <c r="C245" s="4">
        <v>112</v>
      </c>
      <c r="D245" s="6">
        <v>6</v>
      </c>
      <c r="E245" s="4">
        <v>1537500</v>
      </c>
      <c r="F245" s="4">
        <f t="shared" si="12"/>
        <v>2</v>
      </c>
      <c r="G245" s="4">
        <f t="shared" si="13"/>
        <v>3</v>
      </c>
      <c r="H245" s="4">
        <f t="shared" si="14"/>
        <v>4</v>
      </c>
      <c r="I245" s="4" t="str">
        <f t="shared" si="15"/>
        <v>At Risk</v>
      </c>
    </row>
    <row r="246" spans="1:9" x14ac:dyDescent="0.3">
      <c r="A246" t="s">
        <v>191</v>
      </c>
      <c r="B246" s="4" t="str">
        <f>_xlfn.XLOOKUP(A246,Cleaned_Data!$B$1:$B$1957,Cleaned_Data!$D$1:$D$1957)</f>
        <v>Rajshahi</v>
      </c>
      <c r="C246" s="4">
        <v>159</v>
      </c>
      <c r="D246" s="6">
        <v>6</v>
      </c>
      <c r="E246" s="4">
        <v>1057800</v>
      </c>
      <c r="F246" s="4">
        <f t="shared" si="12"/>
        <v>2</v>
      </c>
      <c r="G246" s="4">
        <f t="shared" si="13"/>
        <v>3</v>
      </c>
      <c r="H246" s="4">
        <f t="shared" si="14"/>
        <v>3</v>
      </c>
      <c r="I246" s="4" t="str">
        <f t="shared" si="15"/>
        <v>At Risk</v>
      </c>
    </row>
    <row r="247" spans="1:9" x14ac:dyDescent="0.3">
      <c r="A247" t="s">
        <v>316</v>
      </c>
      <c r="B247" s="4" t="str">
        <f>_xlfn.XLOOKUP(A247,Cleaned_Data!$B$1:$B$1957,Cleaned_Data!$D$1:$D$1957)</f>
        <v>Dhaka</v>
      </c>
      <c r="C247" s="4">
        <v>71</v>
      </c>
      <c r="D247" s="6">
        <v>5</v>
      </c>
      <c r="E247" s="4">
        <v>161130</v>
      </c>
      <c r="F247" s="4">
        <f t="shared" si="12"/>
        <v>3</v>
      </c>
      <c r="G247" s="4">
        <f t="shared" si="13"/>
        <v>2</v>
      </c>
      <c r="H247" s="4">
        <f t="shared" si="14"/>
        <v>1</v>
      </c>
      <c r="I247" s="4" t="str">
        <f t="shared" si="15"/>
        <v>Low Engagement</v>
      </c>
    </row>
    <row r="248" spans="1:9" x14ac:dyDescent="0.3">
      <c r="A248" t="s">
        <v>143</v>
      </c>
      <c r="B248" s="4" t="str">
        <f>_xlfn.XLOOKUP(A248,Cleaned_Data!$B$1:$B$1957,Cleaned_Data!$D$1:$D$1957)</f>
        <v>Chattogram</v>
      </c>
      <c r="C248" s="4">
        <v>44</v>
      </c>
      <c r="D248" s="6">
        <v>6</v>
      </c>
      <c r="E248" s="4">
        <v>885600</v>
      </c>
      <c r="F248" s="4">
        <f t="shared" si="12"/>
        <v>4</v>
      </c>
      <c r="G248" s="4">
        <f t="shared" si="13"/>
        <v>3</v>
      </c>
      <c r="H248" s="4">
        <f t="shared" si="14"/>
        <v>3</v>
      </c>
      <c r="I248" s="4" t="str">
        <f t="shared" si="15"/>
        <v>Potential Loyal</v>
      </c>
    </row>
    <row r="249" spans="1:9" x14ac:dyDescent="0.3">
      <c r="A249" t="s">
        <v>151</v>
      </c>
      <c r="B249" s="4" t="str">
        <f>_xlfn.XLOOKUP(A249,Cleaned_Data!$B$1:$B$1957,Cleaned_Data!$D$1:$D$1957)</f>
        <v>Rangpur</v>
      </c>
      <c r="C249" s="4">
        <v>12</v>
      </c>
      <c r="D249" s="6">
        <v>6</v>
      </c>
      <c r="E249" s="4">
        <v>1039350</v>
      </c>
      <c r="F249" s="4">
        <f t="shared" si="12"/>
        <v>5</v>
      </c>
      <c r="G249" s="4">
        <f t="shared" si="13"/>
        <v>3</v>
      </c>
      <c r="H249" s="4">
        <f t="shared" si="14"/>
        <v>3</v>
      </c>
      <c r="I249" s="4" t="str">
        <f t="shared" si="15"/>
        <v>Potential Loyal</v>
      </c>
    </row>
    <row r="250" spans="1:9" x14ac:dyDescent="0.3">
      <c r="A250" t="s">
        <v>278</v>
      </c>
      <c r="B250" s="4" t="str">
        <f>_xlfn.XLOOKUP(A250,Cleaned_Data!$B$1:$B$1957,Cleaned_Data!$D$1:$D$1957)</f>
        <v>Dhaka</v>
      </c>
      <c r="C250" s="4">
        <v>29</v>
      </c>
      <c r="D250" s="6">
        <v>6</v>
      </c>
      <c r="E250" s="4">
        <v>295200</v>
      </c>
      <c r="F250" s="4">
        <f t="shared" si="12"/>
        <v>4</v>
      </c>
      <c r="G250" s="4">
        <f t="shared" si="13"/>
        <v>3</v>
      </c>
      <c r="H250" s="4">
        <f t="shared" si="14"/>
        <v>1</v>
      </c>
      <c r="I250" s="4" t="str">
        <f t="shared" si="15"/>
        <v>Potential Loyal</v>
      </c>
    </row>
    <row r="251" spans="1:9" x14ac:dyDescent="0.3">
      <c r="A251" t="s">
        <v>91</v>
      </c>
      <c r="B251" s="4" t="str">
        <f>_xlfn.XLOOKUP(A251,Cleaned_Data!$B$1:$B$1957,Cleaned_Data!$D$1:$D$1957)</f>
        <v>Khulna</v>
      </c>
      <c r="C251" s="4">
        <v>419</v>
      </c>
      <c r="D251" s="6">
        <v>2</v>
      </c>
      <c r="E251" s="4">
        <v>933570</v>
      </c>
      <c r="F251" s="4">
        <f t="shared" si="12"/>
        <v>1</v>
      </c>
      <c r="G251" s="4">
        <f t="shared" si="13"/>
        <v>1</v>
      </c>
      <c r="H251" s="4">
        <f t="shared" si="14"/>
        <v>3</v>
      </c>
      <c r="I251" s="4" t="str">
        <f t="shared" si="15"/>
        <v>At Risk</v>
      </c>
    </row>
    <row r="252" spans="1:9" x14ac:dyDescent="0.3">
      <c r="A252" t="s">
        <v>28</v>
      </c>
      <c r="B252" s="4" t="str">
        <f>_xlfn.XLOOKUP(A252,Cleaned_Data!$B$1:$B$1957,Cleaned_Data!$D$1:$D$1957)</f>
        <v>Mymensingh</v>
      </c>
      <c r="C252" s="4">
        <v>142</v>
      </c>
      <c r="D252" s="6">
        <v>4</v>
      </c>
      <c r="E252" s="4">
        <v>119310</v>
      </c>
      <c r="F252" s="4">
        <f t="shared" si="12"/>
        <v>2</v>
      </c>
      <c r="G252" s="4">
        <f t="shared" si="13"/>
        <v>1</v>
      </c>
      <c r="H252" s="4">
        <f t="shared" si="14"/>
        <v>1</v>
      </c>
      <c r="I252" s="4" t="str">
        <f t="shared" si="15"/>
        <v>Lost/Churned</v>
      </c>
    </row>
    <row r="253" spans="1:9" x14ac:dyDescent="0.3">
      <c r="A253" t="s">
        <v>188</v>
      </c>
      <c r="B253" s="4" t="str">
        <f>_xlfn.XLOOKUP(A253,Cleaned_Data!$B$1:$B$1957,Cleaned_Data!$D$1:$D$1957)</f>
        <v>Dhaka</v>
      </c>
      <c r="C253" s="4">
        <v>364</v>
      </c>
      <c r="D253" s="6">
        <v>5</v>
      </c>
      <c r="E253" s="4">
        <v>307500</v>
      </c>
      <c r="F253" s="4">
        <f t="shared" si="12"/>
        <v>1</v>
      </c>
      <c r="G253" s="4">
        <f t="shared" si="13"/>
        <v>2</v>
      </c>
      <c r="H253" s="4">
        <f t="shared" si="14"/>
        <v>1</v>
      </c>
      <c r="I253" s="4" t="str">
        <f t="shared" si="15"/>
        <v>Lost/Churned</v>
      </c>
    </row>
    <row r="254" spans="1:9" x14ac:dyDescent="0.3">
      <c r="A254" t="s">
        <v>50</v>
      </c>
      <c r="B254" s="4" t="str">
        <f>_xlfn.XLOOKUP(A254,Cleaned_Data!$B$1:$B$1957,Cleaned_Data!$D$1:$D$1957)</f>
        <v>Rajshahi</v>
      </c>
      <c r="C254" s="4">
        <v>121</v>
      </c>
      <c r="D254" s="6">
        <v>9</v>
      </c>
      <c r="E254" s="4">
        <v>870840</v>
      </c>
      <c r="F254" s="4">
        <f t="shared" si="12"/>
        <v>2</v>
      </c>
      <c r="G254" s="4">
        <f t="shared" si="13"/>
        <v>5</v>
      </c>
      <c r="H254" s="4">
        <f t="shared" si="14"/>
        <v>3</v>
      </c>
      <c r="I254" s="4" t="str">
        <f t="shared" si="15"/>
        <v>At Risk</v>
      </c>
    </row>
    <row r="255" spans="1:9" x14ac:dyDescent="0.3">
      <c r="A255" t="s">
        <v>309</v>
      </c>
      <c r="B255" s="4" t="str">
        <f>_xlfn.XLOOKUP(A255,Cleaned_Data!$B$1:$B$1957,Cleaned_Data!$D$1:$D$1957)</f>
        <v>Dhaka</v>
      </c>
      <c r="C255" s="4">
        <v>37</v>
      </c>
      <c r="D255" s="6">
        <v>5</v>
      </c>
      <c r="E255" s="4">
        <v>210330</v>
      </c>
      <c r="F255" s="4">
        <f t="shared" si="12"/>
        <v>4</v>
      </c>
      <c r="G255" s="4">
        <f t="shared" si="13"/>
        <v>2</v>
      </c>
      <c r="H255" s="4">
        <f t="shared" si="14"/>
        <v>1</v>
      </c>
      <c r="I255" s="4" t="str">
        <f t="shared" si="15"/>
        <v>New Customers</v>
      </c>
    </row>
    <row r="256" spans="1:9" x14ac:dyDescent="0.3">
      <c r="A256" t="s">
        <v>119</v>
      </c>
      <c r="B256" s="4" t="str">
        <f>_xlfn.XLOOKUP(A256,Cleaned_Data!$B$1:$B$1957,Cleaned_Data!$D$1:$D$1957)</f>
        <v>Chattogram</v>
      </c>
      <c r="C256" s="4">
        <v>309</v>
      </c>
      <c r="D256" s="6">
        <v>5</v>
      </c>
      <c r="E256" s="4">
        <v>762600</v>
      </c>
      <c r="F256" s="4">
        <f t="shared" si="12"/>
        <v>1</v>
      </c>
      <c r="G256" s="4">
        <f t="shared" si="13"/>
        <v>2</v>
      </c>
      <c r="H256" s="4">
        <f t="shared" si="14"/>
        <v>2</v>
      </c>
      <c r="I256" s="4" t="str">
        <f t="shared" si="15"/>
        <v>Lost/Churned</v>
      </c>
    </row>
    <row r="257" spans="1:9" x14ac:dyDescent="0.3">
      <c r="A257" t="s">
        <v>127</v>
      </c>
      <c r="B257" s="4" t="str">
        <f>_xlfn.XLOOKUP(A257,Cleaned_Data!$B$1:$B$1957,Cleaned_Data!$D$1:$D$1957)</f>
        <v>Sylhet</v>
      </c>
      <c r="C257" s="4">
        <v>72</v>
      </c>
      <c r="D257" s="6">
        <v>3</v>
      </c>
      <c r="E257" s="4">
        <v>1168500</v>
      </c>
      <c r="F257" s="4">
        <f t="shared" si="12"/>
        <v>3</v>
      </c>
      <c r="G257" s="4">
        <f t="shared" si="13"/>
        <v>1</v>
      </c>
      <c r="H257" s="4">
        <f t="shared" si="14"/>
        <v>4</v>
      </c>
      <c r="I257" s="4" t="str">
        <f t="shared" si="15"/>
        <v>Potential Loyal</v>
      </c>
    </row>
    <row r="258" spans="1:9" x14ac:dyDescent="0.3">
      <c r="A258" t="s">
        <v>10</v>
      </c>
      <c r="B258" s="4" t="str">
        <f>_xlfn.XLOOKUP(A258,Cleaned_Data!$B$1:$B$1957,Cleaned_Data!$D$1:$D$1957)</f>
        <v>Dhaka</v>
      </c>
      <c r="C258" s="4">
        <v>270</v>
      </c>
      <c r="D258" s="6">
        <v>11</v>
      </c>
      <c r="E258" s="4">
        <v>2028270</v>
      </c>
      <c r="F258" s="4">
        <f t="shared" ref="F258:F288" si="16">IF(C258&lt;=$L$2,5,
  IF(C258&lt;=$L$3,4,
    IF(C258&lt;=$L$4,3,
      IF(C258&lt;=$L$5,2,1))))</f>
        <v>1</v>
      </c>
      <c r="G258" s="4">
        <f t="shared" ref="G258:G288" si="17">IF(D258&gt;=$M$5,5,
  IF(D258&gt;=$M$4,4,
    IF(D258&gt;=$M$3,3,
      IF(D258&gt;=$M$2,2,1))))</f>
        <v>5</v>
      </c>
      <c r="H258" s="4">
        <f t="shared" ref="H258:H288" si="18">IF(E258&gt;=$N$5,5,
  IF(E258&gt;=$N$4,4,
    IF(E258&gt;=$N$3,3,
      IF(E258&gt;=$N$2,2,1))))</f>
        <v>5</v>
      </c>
      <c r="I258" s="4" t="str">
        <f t="shared" ref="I258:I288" si="19">IF(AND(F258&gt;=4,G258&gt;=4,H258&gt;=4),"Champions",
  IF(AND(F258&lt;=2,OR(G258&gt;=3,H258&gt;=3)),"At Risk",
    IF(G258&gt;=4,"Loyal Customers",
      IF(AND(F258&gt;=4,G258&lt;=2),"New Customers",
        IF(AND(F258&gt;=3,OR(G258&gt;=3,H258&gt;=3)),"Potential Loyal",
          IF(AND(F258&lt;=2,G258&lt;=2,H258&lt;=2),"Lost/Churned",
            IF(AND(F258=3,G258&lt;=2,H258&lt;=2),"Low Engagement",
              "Unclassified")))))))</f>
        <v>At Risk</v>
      </c>
    </row>
    <row r="259" spans="1:9" x14ac:dyDescent="0.3">
      <c r="A259" t="s">
        <v>98</v>
      </c>
      <c r="B259" s="4" t="str">
        <f>_xlfn.XLOOKUP(A259,Cleaned_Data!$B$1:$B$1957,Cleaned_Data!$D$1:$D$1957)</f>
        <v>Chattogram</v>
      </c>
      <c r="C259" s="4">
        <v>74</v>
      </c>
      <c r="D259" s="6">
        <v>8</v>
      </c>
      <c r="E259" s="4">
        <v>2521500</v>
      </c>
      <c r="F259" s="4">
        <f t="shared" si="16"/>
        <v>3</v>
      </c>
      <c r="G259" s="4">
        <f t="shared" si="17"/>
        <v>4</v>
      </c>
      <c r="H259" s="4">
        <f t="shared" si="18"/>
        <v>5</v>
      </c>
      <c r="I259" s="4" t="str">
        <f t="shared" si="19"/>
        <v>Loyal Customers</v>
      </c>
    </row>
    <row r="260" spans="1:9" x14ac:dyDescent="0.3">
      <c r="A260" t="s">
        <v>169</v>
      </c>
      <c r="B260" s="4" t="str">
        <f>_xlfn.XLOOKUP(A260,Cleaned_Data!$B$1:$B$1957,Cleaned_Data!$D$1:$D$1957)</f>
        <v>Mymensingh</v>
      </c>
      <c r="C260" s="4">
        <v>53</v>
      </c>
      <c r="D260" s="6">
        <v>10</v>
      </c>
      <c r="E260" s="4">
        <v>1254600</v>
      </c>
      <c r="F260" s="4">
        <f t="shared" si="16"/>
        <v>3</v>
      </c>
      <c r="G260" s="4">
        <f t="shared" si="17"/>
        <v>5</v>
      </c>
      <c r="H260" s="4">
        <f t="shared" si="18"/>
        <v>4</v>
      </c>
      <c r="I260" s="4" t="str">
        <f t="shared" si="19"/>
        <v>Loyal Customers</v>
      </c>
    </row>
    <row r="261" spans="1:9" x14ac:dyDescent="0.3">
      <c r="A261" t="s">
        <v>284</v>
      </c>
      <c r="B261" s="4" t="str">
        <f>_xlfn.XLOOKUP(A261,Cleaned_Data!$B$1:$B$1957,Cleaned_Data!$D$1:$D$1957)</f>
        <v>Dhaka</v>
      </c>
      <c r="C261" s="4">
        <v>30</v>
      </c>
      <c r="D261" s="6">
        <v>9</v>
      </c>
      <c r="E261" s="4">
        <v>453870</v>
      </c>
      <c r="F261" s="4">
        <f t="shared" si="16"/>
        <v>4</v>
      </c>
      <c r="G261" s="4">
        <f t="shared" si="17"/>
        <v>5</v>
      </c>
      <c r="H261" s="4">
        <f t="shared" si="18"/>
        <v>1</v>
      </c>
      <c r="I261" s="4" t="str">
        <f t="shared" si="19"/>
        <v>Loyal Customers</v>
      </c>
    </row>
    <row r="262" spans="1:9" x14ac:dyDescent="0.3">
      <c r="A262" t="s">
        <v>190</v>
      </c>
      <c r="B262" s="4" t="str">
        <f>_xlfn.XLOOKUP(A262,Cleaned_Data!$B$1:$B$1957,Cleaned_Data!$D$1:$D$1957)</f>
        <v>Khulna</v>
      </c>
      <c r="C262" s="4">
        <v>25</v>
      </c>
      <c r="D262" s="6">
        <v>7</v>
      </c>
      <c r="E262" s="4">
        <v>1867140</v>
      </c>
      <c r="F262" s="4">
        <f t="shared" si="16"/>
        <v>4</v>
      </c>
      <c r="G262" s="4">
        <f t="shared" si="17"/>
        <v>4</v>
      </c>
      <c r="H262" s="4">
        <f t="shared" si="18"/>
        <v>5</v>
      </c>
      <c r="I262" s="4" t="str">
        <f t="shared" si="19"/>
        <v>Champions</v>
      </c>
    </row>
    <row r="263" spans="1:9" x14ac:dyDescent="0.3">
      <c r="A263" t="s">
        <v>182</v>
      </c>
      <c r="B263" s="4" t="str">
        <f>_xlfn.XLOOKUP(A263,Cleaned_Data!$B$1:$B$1957,Cleaned_Data!$D$1:$D$1957)</f>
        <v>Dhaka</v>
      </c>
      <c r="C263" s="4">
        <v>326</v>
      </c>
      <c r="D263" s="6">
        <v>5</v>
      </c>
      <c r="E263" s="4">
        <v>552270</v>
      </c>
      <c r="F263" s="4">
        <f t="shared" si="16"/>
        <v>1</v>
      </c>
      <c r="G263" s="4">
        <f t="shared" si="17"/>
        <v>2</v>
      </c>
      <c r="H263" s="4">
        <f t="shared" si="18"/>
        <v>2</v>
      </c>
      <c r="I263" s="4" t="str">
        <f t="shared" si="19"/>
        <v>Lost/Churned</v>
      </c>
    </row>
    <row r="264" spans="1:9" x14ac:dyDescent="0.3">
      <c r="A264" t="s">
        <v>253</v>
      </c>
      <c r="B264" s="4" t="str">
        <f>_xlfn.XLOOKUP(A264,Cleaned_Data!$B$1:$B$1957,Cleaned_Data!$D$1:$D$1957)</f>
        <v>Chattogram</v>
      </c>
      <c r="C264" s="4">
        <v>24</v>
      </c>
      <c r="D264" s="6">
        <v>6</v>
      </c>
      <c r="E264" s="4">
        <v>1894200</v>
      </c>
      <c r="F264" s="4">
        <f t="shared" si="16"/>
        <v>4</v>
      </c>
      <c r="G264" s="4">
        <f t="shared" si="17"/>
        <v>3</v>
      </c>
      <c r="H264" s="4">
        <f t="shared" si="18"/>
        <v>5</v>
      </c>
      <c r="I264" s="4" t="str">
        <f t="shared" si="19"/>
        <v>Potential Loyal</v>
      </c>
    </row>
    <row r="265" spans="1:9" x14ac:dyDescent="0.3">
      <c r="A265" t="s">
        <v>38</v>
      </c>
      <c r="B265" s="4" t="str">
        <f>_xlfn.XLOOKUP(A265,Cleaned_Data!$B$1:$B$1957,Cleaned_Data!$D$1:$D$1957)</f>
        <v>Dhaka</v>
      </c>
      <c r="C265" s="4">
        <v>6</v>
      </c>
      <c r="D265" s="6">
        <v>10</v>
      </c>
      <c r="E265" s="4">
        <v>1473540</v>
      </c>
      <c r="F265" s="4">
        <f t="shared" si="16"/>
        <v>5</v>
      </c>
      <c r="G265" s="4">
        <f t="shared" si="17"/>
        <v>5</v>
      </c>
      <c r="H265" s="4">
        <f t="shared" si="18"/>
        <v>4</v>
      </c>
      <c r="I265" s="4" t="str">
        <f t="shared" si="19"/>
        <v>Champions</v>
      </c>
    </row>
    <row r="266" spans="1:9" x14ac:dyDescent="0.3">
      <c r="A266" t="s">
        <v>207</v>
      </c>
      <c r="B266" s="4" t="str">
        <f>_xlfn.XLOOKUP(A266,Cleaned_Data!$B$1:$B$1957,Cleaned_Data!$D$1:$D$1957)</f>
        <v>Rangpur</v>
      </c>
      <c r="C266" s="4">
        <v>10</v>
      </c>
      <c r="D266" s="6">
        <v>5</v>
      </c>
      <c r="E266" s="4">
        <v>264450</v>
      </c>
      <c r="F266" s="4">
        <f t="shared" si="16"/>
        <v>5</v>
      </c>
      <c r="G266" s="4">
        <f t="shared" si="17"/>
        <v>2</v>
      </c>
      <c r="H266" s="4">
        <f t="shared" si="18"/>
        <v>1</v>
      </c>
      <c r="I266" s="4" t="str">
        <f t="shared" si="19"/>
        <v>New Customers</v>
      </c>
    </row>
    <row r="267" spans="1:9" x14ac:dyDescent="0.3">
      <c r="A267" t="s">
        <v>192</v>
      </c>
      <c r="B267" s="4" t="str">
        <f>_xlfn.XLOOKUP(A267,Cleaned_Data!$B$1:$B$1957,Cleaned_Data!$D$1:$D$1957)</f>
        <v>Dhaka</v>
      </c>
      <c r="C267" s="4">
        <v>94</v>
      </c>
      <c r="D267" s="6">
        <v>6</v>
      </c>
      <c r="E267" s="4">
        <v>907740</v>
      </c>
      <c r="F267" s="4">
        <f t="shared" si="16"/>
        <v>3</v>
      </c>
      <c r="G267" s="4">
        <f t="shared" si="17"/>
        <v>3</v>
      </c>
      <c r="H267" s="4">
        <f t="shared" si="18"/>
        <v>3</v>
      </c>
      <c r="I267" s="4" t="str">
        <f t="shared" si="19"/>
        <v>Potential Loyal</v>
      </c>
    </row>
    <row r="268" spans="1:9" x14ac:dyDescent="0.3">
      <c r="A268" t="s">
        <v>202</v>
      </c>
      <c r="B268" s="4" t="str">
        <f>_xlfn.XLOOKUP(A268,Cleaned_Data!$B$1:$B$1957,Cleaned_Data!$D$1:$D$1957)</f>
        <v>Khulna</v>
      </c>
      <c r="C268" s="4">
        <v>14</v>
      </c>
      <c r="D268" s="6">
        <v>9</v>
      </c>
      <c r="E268" s="4">
        <v>762600</v>
      </c>
      <c r="F268" s="4">
        <f t="shared" si="16"/>
        <v>5</v>
      </c>
      <c r="G268" s="4">
        <f t="shared" si="17"/>
        <v>5</v>
      </c>
      <c r="H268" s="4">
        <f t="shared" si="18"/>
        <v>2</v>
      </c>
      <c r="I268" s="4" t="str">
        <f t="shared" si="19"/>
        <v>Loyal Customers</v>
      </c>
    </row>
    <row r="269" spans="1:9" x14ac:dyDescent="0.3">
      <c r="A269" t="s">
        <v>140</v>
      </c>
      <c r="B269" s="4" t="str">
        <f>_xlfn.XLOOKUP(A269,Cleaned_Data!$B$1:$B$1957,Cleaned_Data!$D$1:$D$1957)</f>
        <v>Barishal</v>
      </c>
      <c r="C269" s="4">
        <v>401</v>
      </c>
      <c r="D269" s="6">
        <v>8</v>
      </c>
      <c r="E269" s="4">
        <v>2195550</v>
      </c>
      <c r="F269" s="4">
        <f t="shared" si="16"/>
        <v>1</v>
      </c>
      <c r="G269" s="4">
        <f t="shared" si="17"/>
        <v>4</v>
      </c>
      <c r="H269" s="4">
        <f t="shared" si="18"/>
        <v>5</v>
      </c>
      <c r="I269" s="4" t="str">
        <f t="shared" si="19"/>
        <v>At Risk</v>
      </c>
    </row>
    <row r="270" spans="1:9" x14ac:dyDescent="0.3">
      <c r="A270" t="s">
        <v>61</v>
      </c>
      <c r="B270" s="4" t="str">
        <f>_xlfn.XLOOKUP(A270,Cleaned_Data!$B$1:$B$1957,Cleaned_Data!$D$1:$D$1957)</f>
        <v>Dhaka</v>
      </c>
      <c r="C270" s="4">
        <v>17</v>
      </c>
      <c r="D270" s="6">
        <v>7</v>
      </c>
      <c r="E270" s="4">
        <v>1414500</v>
      </c>
      <c r="F270" s="4">
        <f t="shared" si="16"/>
        <v>5</v>
      </c>
      <c r="G270" s="4">
        <f t="shared" si="17"/>
        <v>4</v>
      </c>
      <c r="H270" s="4">
        <f t="shared" si="18"/>
        <v>4</v>
      </c>
      <c r="I270" s="4" t="str">
        <f t="shared" si="19"/>
        <v>Champions</v>
      </c>
    </row>
    <row r="271" spans="1:9" x14ac:dyDescent="0.3">
      <c r="A271" t="s">
        <v>35</v>
      </c>
      <c r="B271" s="4" t="str">
        <f>_xlfn.XLOOKUP(A271,Cleaned_Data!$B$1:$B$1957,Cleaned_Data!$D$1:$D$1957)</f>
        <v>Rajshahi</v>
      </c>
      <c r="C271" s="4">
        <v>265</v>
      </c>
      <c r="D271" s="6">
        <v>5</v>
      </c>
      <c r="E271" s="4">
        <v>1271820</v>
      </c>
      <c r="F271" s="4">
        <f t="shared" si="16"/>
        <v>1</v>
      </c>
      <c r="G271" s="4">
        <f t="shared" si="17"/>
        <v>2</v>
      </c>
      <c r="H271" s="4">
        <f t="shared" si="18"/>
        <v>4</v>
      </c>
      <c r="I271" s="4" t="str">
        <f t="shared" si="19"/>
        <v>At Risk</v>
      </c>
    </row>
    <row r="272" spans="1:9" x14ac:dyDescent="0.3">
      <c r="A272" t="s">
        <v>60</v>
      </c>
      <c r="B272" s="4" t="str">
        <f>_xlfn.XLOOKUP(A272,Cleaned_Data!$B$1:$B$1957,Cleaned_Data!$D$1:$D$1957)</f>
        <v>Dhaka</v>
      </c>
      <c r="C272" s="4">
        <v>37</v>
      </c>
      <c r="D272" s="6">
        <v>8</v>
      </c>
      <c r="E272" s="4">
        <v>1022130</v>
      </c>
      <c r="F272" s="4">
        <f t="shared" si="16"/>
        <v>4</v>
      </c>
      <c r="G272" s="4">
        <f t="shared" si="17"/>
        <v>4</v>
      </c>
      <c r="H272" s="4">
        <f t="shared" si="18"/>
        <v>3</v>
      </c>
      <c r="I272" s="4" t="str">
        <f t="shared" si="19"/>
        <v>Loyal Customers</v>
      </c>
    </row>
    <row r="273" spans="1:9" x14ac:dyDescent="0.3">
      <c r="A273" t="s">
        <v>240</v>
      </c>
      <c r="B273" s="4" t="str">
        <f>_xlfn.XLOOKUP(A273,Cleaned_Data!$B$1:$B$1957,Cleaned_Data!$D$1:$D$1957)</f>
        <v>Chattogram</v>
      </c>
      <c r="C273" s="4">
        <v>191</v>
      </c>
      <c r="D273" s="6">
        <v>6</v>
      </c>
      <c r="E273" s="4">
        <v>584250</v>
      </c>
      <c r="F273" s="4">
        <f t="shared" si="16"/>
        <v>1</v>
      </c>
      <c r="G273" s="4">
        <f t="shared" si="17"/>
        <v>3</v>
      </c>
      <c r="H273" s="4">
        <f t="shared" si="18"/>
        <v>2</v>
      </c>
      <c r="I273" s="4" t="str">
        <f t="shared" si="19"/>
        <v>At Risk</v>
      </c>
    </row>
    <row r="274" spans="1:9" x14ac:dyDescent="0.3">
      <c r="A274" t="s">
        <v>105</v>
      </c>
      <c r="B274" s="4" t="str">
        <f>_xlfn.XLOOKUP(A274,Cleaned_Data!$B$1:$B$1957,Cleaned_Data!$D$1:$D$1957)</f>
        <v>Sylhet</v>
      </c>
      <c r="C274" s="4">
        <v>232</v>
      </c>
      <c r="D274" s="6">
        <v>3</v>
      </c>
      <c r="E274" s="4">
        <v>270600</v>
      </c>
      <c r="F274" s="4">
        <f t="shared" si="16"/>
        <v>1</v>
      </c>
      <c r="G274" s="4">
        <f t="shared" si="17"/>
        <v>1</v>
      </c>
      <c r="H274" s="4">
        <f t="shared" si="18"/>
        <v>1</v>
      </c>
      <c r="I274" s="4" t="str">
        <f t="shared" si="19"/>
        <v>Lost/Churned</v>
      </c>
    </row>
    <row r="275" spans="1:9" x14ac:dyDescent="0.3">
      <c r="A275" t="s">
        <v>303</v>
      </c>
      <c r="B275" s="4" t="str">
        <f>_xlfn.XLOOKUP(A275,Cleaned_Data!$B$1:$B$1957,Cleaned_Data!$D$1:$D$1957)</f>
        <v>Dhaka</v>
      </c>
      <c r="C275" s="4">
        <v>12</v>
      </c>
      <c r="D275" s="6">
        <v>7</v>
      </c>
      <c r="E275" s="4">
        <v>1840080</v>
      </c>
      <c r="F275" s="4">
        <f t="shared" si="16"/>
        <v>5</v>
      </c>
      <c r="G275" s="4">
        <f t="shared" si="17"/>
        <v>4</v>
      </c>
      <c r="H275" s="4">
        <f t="shared" si="18"/>
        <v>5</v>
      </c>
      <c r="I275" s="4" t="str">
        <f t="shared" si="19"/>
        <v>Champions</v>
      </c>
    </row>
    <row r="276" spans="1:9" x14ac:dyDescent="0.3">
      <c r="A276" t="s">
        <v>55</v>
      </c>
      <c r="B276" s="4" t="str">
        <f>_xlfn.XLOOKUP(A276,Cleaned_Data!$B$1:$B$1957,Cleaned_Data!$D$1:$D$1957)</f>
        <v>Khulna</v>
      </c>
      <c r="C276" s="4">
        <v>224</v>
      </c>
      <c r="D276" s="6">
        <v>8</v>
      </c>
      <c r="E276" s="4">
        <v>2097150</v>
      </c>
      <c r="F276" s="4">
        <f t="shared" si="16"/>
        <v>1</v>
      </c>
      <c r="G276" s="4">
        <f t="shared" si="17"/>
        <v>4</v>
      </c>
      <c r="H276" s="4">
        <f t="shared" si="18"/>
        <v>5</v>
      </c>
      <c r="I276" s="4" t="str">
        <f t="shared" si="19"/>
        <v>At Risk</v>
      </c>
    </row>
    <row r="277" spans="1:9" x14ac:dyDescent="0.3">
      <c r="A277" t="s">
        <v>120</v>
      </c>
      <c r="B277" s="4" t="str">
        <f>_xlfn.XLOOKUP(A277,Cleaned_Data!$B$1:$B$1957,Cleaned_Data!$D$1:$D$1957)</f>
        <v>Mymensingh</v>
      </c>
      <c r="C277" s="4">
        <v>118</v>
      </c>
      <c r="D277" s="6">
        <v>5</v>
      </c>
      <c r="E277" s="4">
        <v>1291500</v>
      </c>
      <c r="F277" s="4">
        <f t="shared" si="16"/>
        <v>2</v>
      </c>
      <c r="G277" s="4">
        <f t="shared" si="17"/>
        <v>2</v>
      </c>
      <c r="H277" s="4">
        <f t="shared" si="18"/>
        <v>4</v>
      </c>
      <c r="I277" s="4" t="str">
        <f t="shared" si="19"/>
        <v>At Risk</v>
      </c>
    </row>
    <row r="278" spans="1:9" x14ac:dyDescent="0.3">
      <c r="A278" t="s">
        <v>249</v>
      </c>
      <c r="B278" s="4" t="str">
        <f>_xlfn.XLOOKUP(A278,Cleaned_Data!$B$1:$B$1957,Cleaned_Data!$D$1:$D$1957)</f>
        <v>Dhaka</v>
      </c>
      <c r="C278" s="4">
        <v>65</v>
      </c>
      <c r="D278" s="6">
        <v>6</v>
      </c>
      <c r="E278" s="4">
        <v>789660</v>
      </c>
      <c r="F278" s="4">
        <f t="shared" si="16"/>
        <v>3</v>
      </c>
      <c r="G278" s="4">
        <f t="shared" si="17"/>
        <v>3</v>
      </c>
      <c r="H278" s="4">
        <f t="shared" si="18"/>
        <v>2</v>
      </c>
      <c r="I278" s="4" t="str">
        <f t="shared" si="19"/>
        <v>Potential Loyal</v>
      </c>
    </row>
    <row r="279" spans="1:9" x14ac:dyDescent="0.3">
      <c r="A279" t="s">
        <v>215</v>
      </c>
      <c r="B279" s="4" t="str">
        <f>_xlfn.XLOOKUP(A279,Cleaned_Data!$B$1:$B$1957,Cleaned_Data!$D$1:$D$1957)</f>
        <v>Rajshahi</v>
      </c>
      <c r="C279" s="4">
        <v>134</v>
      </c>
      <c r="D279" s="6">
        <v>5</v>
      </c>
      <c r="E279" s="4">
        <v>876990</v>
      </c>
      <c r="F279" s="4">
        <f t="shared" si="16"/>
        <v>2</v>
      </c>
      <c r="G279" s="4">
        <f t="shared" si="17"/>
        <v>2</v>
      </c>
      <c r="H279" s="4">
        <f t="shared" si="18"/>
        <v>3</v>
      </c>
      <c r="I279" s="4" t="str">
        <f t="shared" si="19"/>
        <v>At Risk</v>
      </c>
    </row>
    <row r="280" spans="1:9" x14ac:dyDescent="0.3">
      <c r="A280" t="s">
        <v>311</v>
      </c>
      <c r="B280" s="4" t="str">
        <f>_xlfn.XLOOKUP(A280,Cleaned_Data!$B$1:$B$1957,Cleaned_Data!$D$1:$D$1957)</f>
        <v>Dhaka</v>
      </c>
      <c r="C280" s="4">
        <v>8</v>
      </c>
      <c r="D280" s="6">
        <v>9</v>
      </c>
      <c r="E280" s="4">
        <v>1244760</v>
      </c>
      <c r="F280" s="4">
        <f t="shared" si="16"/>
        <v>5</v>
      </c>
      <c r="G280" s="4">
        <f t="shared" si="17"/>
        <v>5</v>
      </c>
      <c r="H280" s="4">
        <f t="shared" si="18"/>
        <v>4</v>
      </c>
      <c r="I280" s="4" t="str">
        <f t="shared" si="19"/>
        <v>Champions</v>
      </c>
    </row>
    <row r="281" spans="1:9" x14ac:dyDescent="0.3">
      <c r="A281" t="s">
        <v>43</v>
      </c>
      <c r="B281" s="4" t="str">
        <f>_xlfn.XLOOKUP(A281,Cleaned_Data!$B$1:$B$1957,Cleaned_Data!$D$1:$D$1957)</f>
        <v>Chattogram</v>
      </c>
      <c r="C281" s="4">
        <v>4</v>
      </c>
      <c r="D281" s="6">
        <v>7</v>
      </c>
      <c r="E281" s="4">
        <v>1788420</v>
      </c>
      <c r="F281" s="4">
        <f t="shared" si="16"/>
        <v>5</v>
      </c>
      <c r="G281" s="4">
        <f t="shared" si="17"/>
        <v>4</v>
      </c>
      <c r="H281" s="4">
        <f t="shared" si="18"/>
        <v>5</v>
      </c>
      <c r="I281" s="4" t="str">
        <f t="shared" si="19"/>
        <v>Champions</v>
      </c>
    </row>
    <row r="282" spans="1:9" x14ac:dyDescent="0.3">
      <c r="A282" t="s">
        <v>261</v>
      </c>
      <c r="B282" s="4" t="str">
        <f>_xlfn.XLOOKUP(A282,Cleaned_Data!$B$1:$B$1957,Cleaned_Data!$D$1:$D$1957)</f>
        <v>Sylhet</v>
      </c>
      <c r="C282" s="4">
        <v>169</v>
      </c>
      <c r="D282" s="6">
        <v>8</v>
      </c>
      <c r="E282" s="4">
        <v>1232460</v>
      </c>
      <c r="F282" s="4">
        <f t="shared" si="16"/>
        <v>2</v>
      </c>
      <c r="G282" s="4">
        <f t="shared" si="17"/>
        <v>4</v>
      </c>
      <c r="H282" s="4">
        <f t="shared" si="18"/>
        <v>4</v>
      </c>
      <c r="I282" s="4" t="str">
        <f t="shared" si="19"/>
        <v>At Risk</v>
      </c>
    </row>
    <row r="283" spans="1:9" x14ac:dyDescent="0.3">
      <c r="A283" t="s">
        <v>263</v>
      </c>
      <c r="B283" s="4" t="str">
        <f>_xlfn.XLOOKUP(A283,Cleaned_Data!$B$1:$B$1957,Cleaned_Data!$D$1:$D$1957)</f>
        <v>Dhaka</v>
      </c>
      <c r="C283" s="4">
        <v>14</v>
      </c>
      <c r="D283" s="6">
        <v>9</v>
      </c>
      <c r="E283" s="4">
        <v>1912650</v>
      </c>
      <c r="F283" s="4">
        <f t="shared" si="16"/>
        <v>5</v>
      </c>
      <c r="G283" s="4">
        <f t="shared" si="17"/>
        <v>5</v>
      </c>
      <c r="H283" s="4">
        <f t="shared" si="18"/>
        <v>5</v>
      </c>
      <c r="I283" s="4" t="str">
        <f t="shared" si="19"/>
        <v>Champions</v>
      </c>
    </row>
    <row r="284" spans="1:9" x14ac:dyDescent="0.3">
      <c r="A284" t="s">
        <v>90</v>
      </c>
      <c r="B284" s="4" t="str">
        <f>_xlfn.XLOOKUP(A284,Cleaned_Data!$B$1:$B$1957,Cleaned_Data!$D$1:$D$1957)</f>
        <v>Chattogram</v>
      </c>
      <c r="C284" s="4">
        <v>120</v>
      </c>
      <c r="D284" s="6">
        <v>7</v>
      </c>
      <c r="E284" s="4">
        <v>714630</v>
      </c>
      <c r="F284" s="4">
        <f t="shared" si="16"/>
        <v>2</v>
      </c>
      <c r="G284" s="4">
        <f t="shared" si="17"/>
        <v>4</v>
      </c>
      <c r="H284" s="4">
        <f t="shared" si="18"/>
        <v>2</v>
      </c>
      <c r="I284" s="4" t="str">
        <f t="shared" si="19"/>
        <v>At Risk</v>
      </c>
    </row>
    <row r="285" spans="1:9" x14ac:dyDescent="0.3">
      <c r="A285" t="s">
        <v>126</v>
      </c>
      <c r="B285" s="4" t="str">
        <f>_xlfn.XLOOKUP(A285,Cleaned_Data!$B$1:$B$1957,Cleaned_Data!$D$1:$D$1957)</f>
        <v>Rangpur</v>
      </c>
      <c r="C285" s="4">
        <v>175</v>
      </c>
      <c r="D285" s="6">
        <v>3</v>
      </c>
      <c r="E285" s="4">
        <v>166050</v>
      </c>
      <c r="F285" s="4">
        <f t="shared" si="16"/>
        <v>1</v>
      </c>
      <c r="G285" s="4">
        <f t="shared" si="17"/>
        <v>1</v>
      </c>
      <c r="H285" s="4">
        <f t="shared" si="18"/>
        <v>1</v>
      </c>
      <c r="I285" s="4" t="str">
        <f t="shared" si="19"/>
        <v>Lost/Churned</v>
      </c>
    </row>
    <row r="286" spans="1:9" x14ac:dyDescent="0.3">
      <c r="A286" t="s">
        <v>57</v>
      </c>
      <c r="B286" s="4" t="str">
        <f>_xlfn.XLOOKUP(A286,Cleaned_Data!$B$1:$B$1957,Cleaned_Data!$D$1:$D$1957)</f>
        <v>Dhaka</v>
      </c>
      <c r="C286" s="4">
        <v>21</v>
      </c>
      <c r="D286" s="6">
        <v>10</v>
      </c>
      <c r="E286" s="4">
        <v>2303790</v>
      </c>
      <c r="F286" s="4">
        <f t="shared" si="16"/>
        <v>5</v>
      </c>
      <c r="G286" s="4">
        <f t="shared" si="17"/>
        <v>5</v>
      </c>
      <c r="H286" s="4">
        <f t="shared" si="18"/>
        <v>5</v>
      </c>
      <c r="I286" s="4" t="str">
        <f t="shared" si="19"/>
        <v>Champions</v>
      </c>
    </row>
    <row r="287" spans="1:9" x14ac:dyDescent="0.3">
      <c r="A287" t="s">
        <v>64</v>
      </c>
      <c r="B287" s="4" t="str">
        <f>_xlfn.XLOOKUP(A287,Cleaned_Data!$B$1:$B$1957,Cleaned_Data!$D$1:$D$1957)</f>
        <v>Khulna</v>
      </c>
      <c r="C287" s="4">
        <v>7</v>
      </c>
      <c r="D287" s="6">
        <v>9</v>
      </c>
      <c r="E287" s="4">
        <v>1261980</v>
      </c>
      <c r="F287" s="4">
        <f t="shared" si="16"/>
        <v>5</v>
      </c>
      <c r="G287" s="4">
        <f t="shared" si="17"/>
        <v>5</v>
      </c>
      <c r="H287" s="4">
        <f t="shared" si="18"/>
        <v>4</v>
      </c>
      <c r="I287" s="4" t="str">
        <f t="shared" si="19"/>
        <v>Champions</v>
      </c>
    </row>
    <row r="288" spans="1:9" x14ac:dyDescent="0.3">
      <c r="A288" t="s">
        <v>204</v>
      </c>
      <c r="B288" s="4" t="str">
        <f>_xlfn.XLOOKUP(A288,Cleaned_Data!$B$1:$B$1957,Cleaned_Data!$D$1:$D$1957)</f>
        <v>Dhaka</v>
      </c>
      <c r="C288" s="4">
        <v>142</v>
      </c>
      <c r="D288" s="6">
        <v>4</v>
      </c>
      <c r="E288" s="4">
        <v>503070</v>
      </c>
      <c r="F288" s="4">
        <f t="shared" si="16"/>
        <v>2</v>
      </c>
      <c r="G288" s="4">
        <f t="shared" si="17"/>
        <v>1</v>
      </c>
      <c r="H288" s="4">
        <f t="shared" si="18"/>
        <v>1</v>
      </c>
      <c r="I288" s="4" t="str">
        <f t="shared" si="19"/>
        <v>Lost/Churned</v>
      </c>
    </row>
    <row r="289" spans="2:9" x14ac:dyDescent="0.3">
      <c r="B289" s="4"/>
      <c r="C289" s="4"/>
      <c r="D289" s="6"/>
      <c r="E289" s="4">
        <f>SUM(E2:E288)</f>
        <v>318084150</v>
      </c>
      <c r="F289" s="4"/>
      <c r="G289" s="4"/>
      <c r="H289" s="4"/>
      <c r="I289" s="4"/>
    </row>
  </sheetData>
  <pageMargins left="0.7" right="0.7" top="0.75" bottom="0.75" header="0.3" footer="0.3"/>
  <pageSetup orientation="portrait"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8B12E7-3D4D-4E6B-8A61-CB859A072A94}">
  <dimension ref="A17:N52"/>
  <sheetViews>
    <sheetView topLeftCell="A13" zoomScaleNormal="100" workbookViewId="0">
      <selection activeCell="A23" sqref="A23"/>
    </sheetView>
  </sheetViews>
  <sheetFormatPr defaultRowHeight="14.4" x14ac:dyDescent="0.3"/>
  <cols>
    <col min="1" max="1" width="10.77734375" bestFit="1" customWidth="1"/>
    <col min="2" max="2" width="14.88671875" bestFit="1" customWidth="1"/>
    <col min="3" max="3" width="15.88671875" bestFit="1" customWidth="1"/>
    <col min="4" max="4" width="11.21875" bestFit="1" customWidth="1"/>
    <col min="5" max="5" width="16.33203125" bestFit="1" customWidth="1"/>
    <col min="7" max="7" width="19.21875" bestFit="1" customWidth="1"/>
    <col min="8" max="8" width="16.33203125" bestFit="1" customWidth="1"/>
    <col min="10" max="10" width="14.77734375" bestFit="1" customWidth="1"/>
    <col min="11" max="11" width="16.33203125" bestFit="1" customWidth="1"/>
    <col min="13" max="13" width="11.109375" bestFit="1" customWidth="1"/>
    <col min="14" max="14" width="16.33203125" bestFit="1" customWidth="1"/>
  </cols>
  <sheetData>
    <row r="17" spans="1:14" x14ac:dyDescent="0.3">
      <c r="A17" t="s">
        <v>320</v>
      </c>
      <c r="C17" t="s">
        <v>2329</v>
      </c>
      <c r="E17" t="s">
        <v>2330</v>
      </c>
      <c r="G17" t="s">
        <v>2333</v>
      </c>
    </row>
    <row r="18" spans="1:14" x14ac:dyDescent="0.3">
      <c r="A18" s="31">
        <v>318084150</v>
      </c>
      <c r="C18" s="4">
        <v>1956</v>
      </c>
      <c r="E18" s="31">
        <v>162619.70858895706</v>
      </c>
      <c r="G18" s="4">
        <v>6006</v>
      </c>
    </row>
    <row r="23" spans="1:14" x14ac:dyDescent="0.3">
      <c r="A23" s="3" t="s">
        <v>365</v>
      </c>
      <c r="B23" t="s">
        <v>320</v>
      </c>
      <c r="D23" s="3" t="s">
        <v>319</v>
      </c>
      <c r="E23" t="s">
        <v>320</v>
      </c>
      <c r="G23" s="3" t="s">
        <v>2331</v>
      </c>
      <c r="H23" t="s">
        <v>320</v>
      </c>
      <c r="J23" s="3" t="s">
        <v>368</v>
      </c>
      <c r="K23" t="s">
        <v>320</v>
      </c>
      <c r="M23" s="3" t="s">
        <v>2332</v>
      </c>
      <c r="N23" t="s">
        <v>320</v>
      </c>
    </row>
    <row r="24" spans="1:14" x14ac:dyDescent="0.3">
      <c r="A24" s="32" t="s">
        <v>321</v>
      </c>
      <c r="B24" s="31">
        <v>29255550</v>
      </c>
      <c r="D24" s="32" t="s">
        <v>322</v>
      </c>
      <c r="E24" s="31">
        <v>111053010</v>
      </c>
      <c r="G24" s="32" t="s">
        <v>14</v>
      </c>
      <c r="H24" s="31">
        <v>279037800</v>
      </c>
      <c r="J24" s="32" t="s">
        <v>381</v>
      </c>
      <c r="K24" s="31">
        <v>81779010</v>
      </c>
      <c r="M24" s="32" t="s">
        <v>32</v>
      </c>
      <c r="N24" s="31">
        <v>3025800</v>
      </c>
    </row>
    <row r="25" spans="1:14" x14ac:dyDescent="0.3">
      <c r="A25" s="32" t="s">
        <v>330</v>
      </c>
      <c r="B25" s="31">
        <v>22682430</v>
      </c>
      <c r="D25" s="32" t="s">
        <v>323</v>
      </c>
      <c r="E25" s="31">
        <v>74846730</v>
      </c>
      <c r="G25" s="32" t="s">
        <v>27</v>
      </c>
      <c r="H25" s="31">
        <v>20516400</v>
      </c>
      <c r="J25" s="32" t="s">
        <v>373</v>
      </c>
      <c r="K25" s="31">
        <v>81400170</v>
      </c>
      <c r="M25" s="32" t="s">
        <v>31</v>
      </c>
      <c r="N25" s="31">
        <v>5516550</v>
      </c>
    </row>
    <row r="26" spans="1:14" x14ac:dyDescent="0.3">
      <c r="A26" s="32" t="s">
        <v>331</v>
      </c>
      <c r="B26" s="31">
        <v>20703360</v>
      </c>
      <c r="D26" s="32" t="s">
        <v>324</v>
      </c>
      <c r="E26" s="31">
        <v>35158320</v>
      </c>
      <c r="G26" s="32" t="s">
        <v>18</v>
      </c>
      <c r="H26" s="31">
        <v>18529950</v>
      </c>
      <c r="J26" s="32" t="s">
        <v>370</v>
      </c>
      <c r="K26" s="31">
        <v>75599490</v>
      </c>
      <c r="M26" s="32" t="s">
        <v>17</v>
      </c>
      <c r="N26" s="31">
        <v>9987600</v>
      </c>
    </row>
    <row r="27" spans="1:14" x14ac:dyDescent="0.3">
      <c r="A27" s="32" t="s">
        <v>334</v>
      </c>
      <c r="B27" s="31">
        <v>28980030</v>
      </c>
      <c r="D27" s="32" t="s">
        <v>326</v>
      </c>
      <c r="E27" s="31">
        <v>34615890</v>
      </c>
      <c r="G27" s="32" t="s">
        <v>332</v>
      </c>
      <c r="H27" s="31">
        <v>318084150</v>
      </c>
      <c r="J27" s="32" t="s">
        <v>375</v>
      </c>
      <c r="K27" s="31">
        <v>79305480</v>
      </c>
      <c r="M27" s="32" t="s">
        <v>26</v>
      </c>
      <c r="N27" s="31">
        <v>20516400</v>
      </c>
    </row>
    <row r="28" spans="1:14" x14ac:dyDescent="0.3">
      <c r="A28" s="32" t="s">
        <v>335</v>
      </c>
      <c r="B28" s="31">
        <v>29510160</v>
      </c>
      <c r="D28" s="32" t="s">
        <v>329</v>
      </c>
      <c r="E28" s="31">
        <v>18122820</v>
      </c>
      <c r="J28" s="32" t="s">
        <v>332</v>
      </c>
      <c r="K28" s="31">
        <v>318084150</v>
      </c>
      <c r="M28" s="32" t="s">
        <v>13</v>
      </c>
      <c r="N28" s="31">
        <v>33099300</v>
      </c>
    </row>
    <row r="29" spans="1:14" x14ac:dyDescent="0.3">
      <c r="A29" s="32" t="s">
        <v>336</v>
      </c>
      <c r="B29" s="31">
        <v>28007100</v>
      </c>
      <c r="D29" s="32" t="s">
        <v>325</v>
      </c>
      <c r="E29" s="31">
        <v>17862060</v>
      </c>
      <c r="M29" s="32" t="s">
        <v>42</v>
      </c>
      <c r="N29" s="31">
        <v>87084000</v>
      </c>
    </row>
    <row r="30" spans="1:14" x14ac:dyDescent="0.3">
      <c r="A30" s="32" t="s">
        <v>337</v>
      </c>
      <c r="B30" s="31">
        <v>21961650</v>
      </c>
      <c r="D30" s="32" t="s">
        <v>328</v>
      </c>
      <c r="E30" s="31">
        <v>14635770</v>
      </c>
      <c r="M30" s="32" t="s">
        <v>24</v>
      </c>
      <c r="N30" s="31">
        <v>158854500</v>
      </c>
    </row>
    <row r="31" spans="1:14" x14ac:dyDescent="0.3">
      <c r="A31" s="32" t="s">
        <v>338</v>
      </c>
      <c r="B31" s="31">
        <v>24644280</v>
      </c>
      <c r="D31" s="32" t="s">
        <v>327</v>
      </c>
      <c r="E31" s="31">
        <v>11789550</v>
      </c>
      <c r="M31" s="32" t="s">
        <v>332</v>
      </c>
      <c r="N31" s="31">
        <v>318084150</v>
      </c>
    </row>
    <row r="32" spans="1:14" x14ac:dyDescent="0.3">
      <c r="A32" s="32" t="s">
        <v>339</v>
      </c>
      <c r="B32" s="31">
        <v>31845930</v>
      </c>
      <c r="D32" s="32" t="s">
        <v>332</v>
      </c>
      <c r="E32" s="31">
        <v>318084150</v>
      </c>
    </row>
    <row r="33" spans="1:5" x14ac:dyDescent="0.3">
      <c r="A33" s="32" t="s">
        <v>340</v>
      </c>
      <c r="B33" s="31">
        <v>24850920</v>
      </c>
    </row>
    <row r="34" spans="1:5" x14ac:dyDescent="0.3">
      <c r="A34" s="32" t="s">
        <v>2343</v>
      </c>
      <c r="B34" s="31">
        <v>27644250</v>
      </c>
    </row>
    <row r="35" spans="1:5" x14ac:dyDescent="0.3">
      <c r="A35" s="32" t="s">
        <v>2344</v>
      </c>
      <c r="B35" s="31">
        <v>27998490</v>
      </c>
    </row>
    <row r="36" spans="1:5" x14ac:dyDescent="0.3">
      <c r="A36" s="32" t="s">
        <v>332</v>
      </c>
      <c r="B36" s="31">
        <v>318084150</v>
      </c>
    </row>
    <row r="39" spans="1:5" x14ac:dyDescent="0.3">
      <c r="A39" s="3" t="s">
        <v>365</v>
      </c>
      <c r="B39" t="s">
        <v>2333</v>
      </c>
      <c r="D39" s="3" t="s">
        <v>319</v>
      </c>
      <c r="E39" t="s">
        <v>2333</v>
      </c>
    </row>
    <row r="40" spans="1:5" x14ac:dyDescent="0.3">
      <c r="A40" s="32" t="s">
        <v>321</v>
      </c>
      <c r="B40" s="4">
        <v>580</v>
      </c>
      <c r="D40" s="32" t="s">
        <v>322</v>
      </c>
      <c r="E40" s="4">
        <v>2085</v>
      </c>
    </row>
    <row r="41" spans="1:5" x14ac:dyDescent="0.3">
      <c r="A41" s="32" t="s">
        <v>330</v>
      </c>
      <c r="B41" s="4">
        <v>433</v>
      </c>
      <c r="D41" s="32" t="s">
        <v>323</v>
      </c>
      <c r="E41" s="4">
        <v>1313</v>
      </c>
    </row>
    <row r="42" spans="1:5" x14ac:dyDescent="0.3">
      <c r="A42" s="32" t="s">
        <v>331</v>
      </c>
      <c r="B42" s="4">
        <v>442</v>
      </c>
      <c r="D42" s="32" t="s">
        <v>324</v>
      </c>
      <c r="E42" s="4">
        <v>661</v>
      </c>
    </row>
    <row r="43" spans="1:5" x14ac:dyDescent="0.3">
      <c r="A43" s="32" t="s">
        <v>334</v>
      </c>
      <c r="B43" s="4">
        <v>487</v>
      </c>
      <c r="D43" s="32" t="s">
        <v>326</v>
      </c>
      <c r="E43" s="4">
        <v>612</v>
      </c>
    </row>
    <row r="44" spans="1:5" x14ac:dyDescent="0.3">
      <c r="A44" s="32" t="s">
        <v>335</v>
      </c>
      <c r="B44" s="4">
        <v>510</v>
      </c>
      <c r="D44" s="32" t="s">
        <v>325</v>
      </c>
      <c r="E44" s="4">
        <v>420</v>
      </c>
    </row>
    <row r="45" spans="1:5" x14ac:dyDescent="0.3">
      <c r="A45" s="32" t="s">
        <v>336</v>
      </c>
      <c r="B45" s="4">
        <v>482</v>
      </c>
      <c r="D45" s="32" t="s">
        <v>329</v>
      </c>
      <c r="E45" s="4">
        <v>357</v>
      </c>
    </row>
    <row r="46" spans="1:5" x14ac:dyDescent="0.3">
      <c r="A46" s="32" t="s">
        <v>337</v>
      </c>
      <c r="B46" s="4">
        <v>477</v>
      </c>
      <c r="D46" s="32" t="s">
        <v>328</v>
      </c>
      <c r="E46" s="4">
        <v>292</v>
      </c>
    </row>
    <row r="47" spans="1:5" x14ac:dyDescent="0.3">
      <c r="A47" s="32" t="s">
        <v>338</v>
      </c>
      <c r="B47" s="4">
        <v>469</v>
      </c>
      <c r="D47" s="32" t="s">
        <v>327</v>
      </c>
      <c r="E47" s="4">
        <v>266</v>
      </c>
    </row>
    <row r="48" spans="1:5" x14ac:dyDescent="0.3">
      <c r="A48" s="32" t="s">
        <v>339</v>
      </c>
      <c r="B48" s="4">
        <v>547</v>
      </c>
      <c r="D48" s="32" t="s">
        <v>332</v>
      </c>
      <c r="E48" s="4">
        <v>6006</v>
      </c>
    </row>
    <row r="49" spans="1:2" x14ac:dyDescent="0.3">
      <c r="A49" s="32" t="s">
        <v>340</v>
      </c>
      <c r="B49" s="4">
        <v>499</v>
      </c>
    </row>
    <row r="50" spans="1:2" x14ac:dyDescent="0.3">
      <c r="A50" s="32" t="s">
        <v>2343</v>
      </c>
      <c r="B50" s="4">
        <v>536</v>
      </c>
    </row>
    <row r="51" spans="1:2" x14ac:dyDescent="0.3">
      <c r="A51" s="32" t="s">
        <v>2344</v>
      </c>
      <c r="B51" s="4">
        <v>544</v>
      </c>
    </row>
    <row r="52" spans="1:2" x14ac:dyDescent="0.3">
      <c r="A52" s="32" t="s">
        <v>332</v>
      </c>
      <c r="B52" s="4">
        <v>6006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2B70A8-9509-463A-8A7F-378FF9ACC821}">
  <dimension ref="A1"/>
  <sheetViews>
    <sheetView tabSelected="1" zoomScaleNormal="100" workbookViewId="0">
      <selection activeCell="E2" sqref="E2"/>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958"/>
  <sheetViews>
    <sheetView zoomScaleNormal="100" workbookViewId="0">
      <selection activeCell="G24" sqref="G24"/>
    </sheetView>
  </sheetViews>
  <sheetFormatPr defaultColWidth="8.6640625" defaultRowHeight="14.4" x14ac:dyDescent="0.3"/>
  <cols>
    <col min="1" max="2" width="14.44140625" customWidth="1"/>
    <col min="3" max="3" width="10" customWidth="1"/>
    <col min="4" max="4" width="11.33203125" customWidth="1"/>
    <col min="6" max="7" width="16.33203125" customWidth="1"/>
    <col min="8" max="8" width="11.44140625" customWidth="1"/>
    <col min="9" max="9" width="12.109375" customWidth="1"/>
    <col min="10" max="10" width="11.33203125" customWidth="1"/>
    <col min="11" max="11" width="12.88671875" customWidth="1"/>
    <col min="12" max="12" width="14.6640625" customWidth="1"/>
    <col min="13" max="13" width="13.5546875" customWidth="1"/>
    <col min="14" max="14" width="10.6640625" customWidth="1"/>
    <col min="17" max="17" width="11.77734375" customWidth="1"/>
    <col min="18" max="18" width="10.33203125" customWidth="1"/>
    <col min="19" max="19" width="12.77734375" customWidth="1"/>
    <col min="20" max="20" width="17.6640625" style="1" customWidth="1"/>
    <col min="21" max="22" width="17.6640625" customWidth="1"/>
    <col min="23" max="25" width="9.6640625" customWidth="1"/>
    <col min="26" max="26" width="13.6640625" customWidth="1"/>
  </cols>
  <sheetData>
    <row r="1" spans="1:26" x14ac:dyDescent="0.3">
      <c r="A1" s="1" t="s">
        <v>367</v>
      </c>
      <c r="B1" s="13" t="s">
        <v>0</v>
      </c>
      <c r="C1" s="14" t="s">
        <v>1</v>
      </c>
      <c r="D1" s="14" t="s">
        <v>319</v>
      </c>
      <c r="E1" s="14" t="s">
        <v>3</v>
      </c>
      <c r="F1" s="1" t="s">
        <v>368</v>
      </c>
      <c r="G1" s="14" t="s">
        <v>4</v>
      </c>
      <c r="H1" s="14" t="s">
        <v>5</v>
      </c>
      <c r="I1" s="14" t="s">
        <v>6</v>
      </c>
      <c r="J1" s="14" t="s">
        <v>7</v>
      </c>
      <c r="K1" s="14" t="s">
        <v>8</v>
      </c>
      <c r="L1" s="14" t="s">
        <v>9</v>
      </c>
      <c r="M1" s="14" t="s">
        <v>2347</v>
      </c>
      <c r="N1" s="14" t="s">
        <v>318</v>
      </c>
      <c r="Q1" s="14"/>
      <c r="R1" s="14"/>
      <c r="S1" s="15"/>
    </row>
    <row r="2" spans="1:26" x14ac:dyDescent="0.3">
      <c r="A2" t="s">
        <v>369</v>
      </c>
      <c r="B2" s="16" t="s">
        <v>10</v>
      </c>
      <c r="C2" s="17" t="s">
        <v>11</v>
      </c>
      <c r="D2" s="18" t="s">
        <v>322</v>
      </c>
      <c r="E2" s="19">
        <v>21</v>
      </c>
      <c r="F2" t="s">
        <v>370</v>
      </c>
      <c r="G2" s="18" t="s">
        <v>13</v>
      </c>
      <c r="H2" s="18" t="s">
        <v>14</v>
      </c>
      <c r="I2" s="18">
        <v>36900</v>
      </c>
      <c r="J2" s="18">
        <v>5</v>
      </c>
      <c r="K2" s="19">
        <f t="shared" ref="K2:K65" si="0">I2*J2</f>
        <v>184500</v>
      </c>
      <c r="L2" s="20">
        <v>45268</v>
      </c>
      <c r="M2" s="18" t="str">
        <f t="shared" ref="M2:M65" si="1">TEXT(L2, "dddd")</f>
        <v>Friday</v>
      </c>
      <c r="N2" s="18" t="str">
        <f t="shared" ref="N2:N65" si="2">IF(OR(WEEKDAY(L2, 2)=5, WEEKDAY(L2, 2)=6), "Weekend", "Weekday")</f>
        <v>Weekend</v>
      </c>
      <c r="Q2" s="18"/>
      <c r="R2" s="18"/>
      <c r="S2" s="21"/>
      <c r="T2"/>
      <c r="U2" s="6"/>
      <c r="W2" s="7"/>
      <c r="Z2" s="4"/>
    </row>
    <row r="3" spans="1:26" x14ac:dyDescent="0.3">
      <c r="A3" t="s">
        <v>371</v>
      </c>
      <c r="B3" s="22" t="s">
        <v>15</v>
      </c>
      <c r="C3" s="23" t="s">
        <v>20</v>
      </c>
      <c r="D3" s="24" t="s">
        <v>322</v>
      </c>
      <c r="E3" s="25">
        <v>22</v>
      </c>
      <c r="F3" t="s">
        <v>375</v>
      </c>
      <c r="G3" s="24" t="s">
        <v>17</v>
      </c>
      <c r="H3" s="24" t="s">
        <v>18</v>
      </c>
      <c r="I3" s="24">
        <v>12300</v>
      </c>
      <c r="J3" s="24">
        <v>2</v>
      </c>
      <c r="K3" s="25">
        <f t="shared" si="0"/>
        <v>24600</v>
      </c>
      <c r="L3" s="26">
        <v>45025</v>
      </c>
      <c r="M3" s="24" t="str">
        <f t="shared" si="1"/>
        <v>Sunday</v>
      </c>
      <c r="N3" s="24" t="str">
        <f t="shared" si="2"/>
        <v>Weekday</v>
      </c>
      <c r="Q3" s="24"/>
      <c r="R3" s="24"/>
      <c r="S3" s="27"/>
      <c r="T3"/>
      <c r="U3" s="6"/>
      <c r="W3" s="7"/>
      <c r="Z3" s="4"/>
    </row>
    <row r="4" spans="1:26" x14ac:dyDescent="0.3">
      <c r="A4" t="s">
        <v>372</v>
      </c>
      <c r="B4" s="16" t="s">
        <v>19</v>
      </c>
      <c r="C4" s="17" t="s">
        <v>20</v>
      </c>
      <c r="D4" s="18" t="s">
        <v>323</v>
      </c>
      <c r="E4" s="19">
        <v>54</v>
      </c>
      <c r="F4" t="s">
        <v>370</v>
      </c>
      <c r="G4" s="18" t="s">
        <v>13</v>
      </c>
      <c r="H4" s="18" t="s">
        <v>14</v>
      </c>
      <c r="I4" s="18">
        <v>36900</v>
      </c>
      <c r="J4" s="18">
        <v>1</v>
      </c>
      <c r="K4" s="19">
        <f t="shared" si="0"/>
        <v>36900</v>
      </c>
      <c r="L4" s="20">
        <v>45166</v>
      </c>
      <c r="M4" s="18" t="str">
        <f t="shared" si="1"/>
        <v>Monday</v>
      </c>
      <c r="N4" s="18" t="str">
        <f t="shared" si="2"/>
        <v>Weekday</v>
      </c>
      <c r="Q4" s="18"/>
      <c r="R4" s="18"/>
      <c r="S4" s="21"/>
      <c r="T4"/>
      <c r="U4" s="6"/>
      <c r="W4" s="7"/>
      <c r="Z4" s="4"/>
    </row>
    <row r="5" spans="1:26" x14ac:dyDescent="0.3">
      <c r="A5" t="s">
        <v>374</v>
      </c>
      <c r="B5" s="22" t="s">
        <v>22</v>
      </c>
      <c r="C5" s="23" t="s">
        <v>11</v>
      </c>
      <c r="D5" s="24" t="s">
        <v>326</v>
      </c>
      <c r="E5" s="25">
        <v>23</v>
      </c>
      <c r="F5" t="s">
        <v>370</v>
      </c>
      <c r="G5" s="24" t="s">
        <v>17</v>
      </c>
      <c r="H5" s="24" t="s">
        <v>18</v>
      </c>
      <c r="I5" s="24">
        <v>12300</v>
      </c>
      <c r="J5" s="24">
        <v>5</v>
      </c>
      <c r="K5" s="25">
        <f t="shared" si="0"/>
        <v>61500</v>
      </c>
      <c r="L5" s="26">
        <v>44944</v>
      </c>
      <c r="M5" s="24" t="str">
        <f t="shared" si="1"/>
        <v>Wednesday</v>
      </c>
      <c r="N5" s="24" t="str">
        <f t="shared" si="2"/>
        <v>Weekday</v>
      </c>
      <c r="Q5" s="24"/>
      <c r="R5" s="24"/>
      <c r="S5" s="27"/>
      <c r="T5"/>
      <c r="U5" s="6"/>
      <c r="W5" s="7"/>
      <c r="Z5" s="4"/>
    </row>
    <row r="6" spans="1:26" x14ac:dyDescent="0.3">
      <c r="A6" t="s">
        <v>376</v>
      </c>
      <c r="B6" s="16" t="s">
        <v>23</v>
      </c>
      <c r="C6" s="17" t="s">
        <v>11</v>
      </c>
      <c r="D6" s="18" t="s">
        <v>322</v>
      </c>
      <c r="E6" s="19">
        <v>65</v>
      </c>
      <c r="F6" t="s">
        <v>373</v>
      </c>
      <c r="G6" s="18" t="s">
        <v>24</v>
      </c>
      <c r="H6" s="18" t="s">
        <v>14</v>
      </c>
      <c r="I6" s="18">
        <v>184500</v>
      </c>
      <c r="J6" s="18">
        <v>3</v>
      </c>
      <c r="K6" s="19">
        <f t="shared" si="0"/>
        <v>553500</v>
      </c>
      <c r="L6" s="20">
        <v>44945</v>
      </c>
      <c r="M6" s="18" t="str">
        <f t="shared" si="1"/>
        <v>Thursday</v>
      </c>
      <c r="N6" s="18" t="str">
        <f t="shared" si="2"/>
        <v>Weekday</v>
      </c>
      <c r="Q6" s="18"/>
      <c r="R6" s="18"/>
      <c r="S6" s="21"/>
      <c r="T6"/>
      <c r="U6" s="6"/>
      <c r="W6" s="7"/>
      <c r="Z6" s="4"/>
    </row>
    <row r="7" spans="1:26" x14ac:dyDescent="0.3">
      <c r="A7" t="s">
        <v>377</v>
      </c>
      <c r="B7" s="22" t="s">
        <v>25</v>
      </c>
      <c r="C7" s="23" t="s">
        <v>11</v>
      </c>
      <c r="D7" s="24" t="s">
        <v>323</v>
      </c>
      <c r="E7" s="25">
        <v>64</v>
      </c>
      <c r="F7" t="s">
        <v>375</v>
      </c>
      <c r="G7" s="24" t="s">
        <v>26</v>
      </c>
      <c r="H7" s="24" t="s">
        <v>27</v>
      </c>
      <c r="I7" s="24">
        <v>24600</v>
      </c>
      <c r="J7" s="24">
        <v>2</v>
      </c>
      <c r="K7" s="25">
        <f t="shared" si="0"/>
        <v>49200</v>
      </c>
      <c r="L7" s="26">
        <v>44937</v>
      </c>
      <c r="M7" s="24" t="str">
        <f t="shared" si="1"/>
        <v>Wednesday</v>
      </c>
      <c r="N7" s="24" t="str">
        <f t="shared" si="2"/>
        <v>Weekday</v>
      </c>
      <c r="Q7" s="24"/>
      <c r="R7" s="24"/>
      <c r="S7" s="27"/>
      <c r="T7"/>
      <c r="U7" s="6"/>
      <c r="W7" s="7"/>
      <c r="Z7" s="4"/>
    </row>
    <row r="8" spans="1:26" x14ac:dyDescent="0.3">
      <c r="A8" t="s">
        <v>378</v>
      </c>
      <c r="B8" s="16" t="s">
        <v>28</v>
      </c>
      <c r="C8" s="17" t="s">
        <v>11</v>
      </c>
      <c r="D8" s="18" t="s">
        <v>328</v>
      </c>
      <c r="E8" s="19">
        <v>27</v>
      </c>
      <c r="F8" t="s">
        <v>375</v>
      </c>
      <c r="G8" s="18" t="s">
        <v>26</v>
      </c>
      <c r="H8" s="18" t="s">
        <v>27</v>
      </c>
      <c r="I8" s="18">
        <v>24600</v>
      </c>
      <c r="J8" s="18">
        <v>1</v>
      </c>
      <c r="K8" s="19">
        <f t="shared" si="0"/>
        <v>24600</v>
      </c>
      <c r="L8" s="20">
        <v>45222</v>
      </c>
      <c r="M8" s="18" t="str">
        <f t="shared" si="1"/>
        <v>Monday</v>
      </c>
      <c r="N8" s="18" t="str">
        <f t="shared" si="2"/>
        <v>Weekday</v>
      </c>
      <c r="Q8" s="18"/>
      <c r="R8" s="18"/>
      <c r="S8" s="21"/>
      <c r="T8"/>
      <c r="U8" s="6"/>
      <c r="W8" s="7"/>
      <c r="Z8" s="4"/>
    </row>
    <row r="9" spans="1:26" x14ac:dyDescent="0.3">
      <c r="A9" t="s">
        <v>379</v>
      </c>
      <c r="B9" s="22" t="s">
        <v>30</v>
      </c>
      <c r="C9" s="23" t="s">
        <v>11</v>
      </c>
      <c r="D9" s="24" t="s">
        <v>329</v>
      </c>
      <c r="E9" s="25">
        <v>18</v>
      </c>
      <c r="F9" t="s">
        <v>375</v>
      </c>
      <c r="G9" s="24" t="s">
        <v>31</v>
      </c>
      <c r="H9" s="24" t="s">
        <v>18</v>
      </c>
      <c r="I9" s="24">
        <v>6150</v>
      </c>
      <c r="J9" s="24">
        <v>2</v>
      </c>
      <c r="K9" s="25">
        <f t="shared" si="0"/>
        <v>12300</v>
      </c>
      <c r="L9" s="26">
        <v>45092</v>
      </c>
      <c r="M9" s="24" t="str">
        <f t="shared" si="1"/>
        <v>Thursday</v>
      </c>
      <c r="N9" s="24" t="str">
        <f t="shared" si="2"/>
        <v>Weekday</v>
      </c>
      <c r="Q9" s="24"/>
      <c r="R9" s="24"/>
      <c r="S9" s="27"/>
      <c r="T9"/>
      <c r="U9" s="6"/>
      <c r="W9" s="7"/>
      <c r="Z9" s="4"/>
    </row>
    <row r="10" spans="1:26" x14ac:dyDescent="0.3">
      <c r="A10" t="s">
        <v>380</v>
      </c>
      <c r="B10" s="16" t="s">
        <v>15</v>
      </c>
      <c r="C10" s="17" t="s">
        <v>20</v>
      </c>
      <c r="D10" s="18" t="s">
        <v>322</v>
      </c>
      <c r="E10" s="19">
        <v>22</v>
      </c>
      <c r="F10" t="s">
        <v>370</v>
      </c>
      <c r="G10" s="18" t="s">
        <v>32</v>
      </c>
      <c r="H10" s="18" t="s">
        <v>18</v>
      </c>
      <c r="I10" s="18">
        <v>3690</v>
      </c>
      <c r="J10" s="18">
        <v>1</v>
      </c>
      <c r="K10" s="19">
        <f t="shared" si="0"/>
        <v>3690</v>
      </c>
      <c r="L10" s="20">
        <v>44982</v>
      </c>
      <c r="M10" s="18" t="str">
        <f t="shared" si="1"/>
        <v>Saturday</v>
      </c>
      <c r="N10" s="18" t="str">
        <f t="shared" si="2"/>
        <v>Weekend</v>
      </c>
      <c r="Q10" s="18"/>
      <c r="R10" s="18"/>
      <c r="S10" s="21"/>
      <c r="T10"/>
      <c r="U10" s="6"/>
      <c r="W10" s="7"/>
      <c r="Z10" s="4"/>
    </row>
    <row r="11" spans="1:26" x14ac:dyDescent="0.3">
      <c r="A11" t="s">
        <v>382</v>
      </c>
      <c r="B11" s="22" t="s">
        <v>33</v>
      </c>
      <c r="C11" s="23" t="s">
        <v>11</v>
      </c>
      <c r="D11" s="24" t="s">
        <v>323</v>
      </c>
      <c r="E11" s="25">
        <v>29</v>
      </c>
      <c r="F11" t="s">
        <v>375</v>
      </c>
      <c r="G11" s="24" t="s">
        <v>17</v>
      </c>
      <c r="H11" s="24" t="s">
        <v>18</v>
      </c>
      <c r="I11" s="24">
        <v>12300</v>
      </c>
      <c r="J11" s="24">
        <v>3</v>
      </c>
      <c r="K11" s="25">
        <f t="shared" si="0"/>
        <v>36900</v>
      </c>
      <c r="L11" s="26">
        <v>45039</v>
      </c>
      <c r="M11" s="24" t="str">
        <f t="shared" si="1"/>
        <v>Sunday</v>
      </c>
      <c r="N11" s="24" t="str">
        <f t="shared" si="2"/>
        <v>Weekday</v>
      </c>
      <c r="Q11" s="24"/>
      <c r="R11" s="24"/>
      <c r="S11" s="27"/>
      <c r="T11"/>
      <c r="U11" s="6"/>
      <c r="W11" s="7"/>
      <c r="Z11" s="4"/>
    </row>
    <row r="12" spans="1:26" x14ac:dyDescent="0.3">
      <c r="A12" t="s">
        <v>383</v>
      </c>
      <c r="B12" s="16" t="s">
        <v>34</v>
      </c>
      <c r="C12" s="17" t="s">
        <v>20</v>
      </c>
      <c r="D12" s="18" t="s">
        <v>323</v>
      </c>
      <c r="E12" s="19">
        <v>49</v>
      </c>
      <c r="F12" t="s">
        <v>375</v>
      </c>
      <c r="G12" s="18" t="s">
        <v>17</v>
      </c>
      <c r="H12" s="18" t="s">
        <v>18</v>
      </c>
      <c r="I12" s="18">
        <v>12300</v>
      </c>
      <c r="J12" s="18">
        <v>2</v>
      </c>
      <c r="K12" s="19">
        <f t="shared" si="0"/>
        <v>24600</v>
      </c>
      <c r="L12" s="20">
        <v>45078</v>
      </c>
      <c r="M12" s="18" t="str">
        <f t="shared" si="1"/>
        <v>Thursday</v>
      </c>
      <c r="N12" s="18" t="str">
        <f t="shared" si="2"/>
        <v>Weekday</v>
      </c>
      <c r="Q12" s="18"/>
      <c r="R12" s="18"/>
      <c r="S12" s="21"/>
      <c r="T12"/>
      <c r="U12" s="6"/>
      <c r="W12" s="7"/>
      <c r="Z12" s="4"/>
    </row>
    <row r="13" spans="1:26" x14ac:dyDescent="0.3">
      <c r="A13" t="s">
        <v>384</v>
      </c>
      <c r="B13" s="22" t="s">
        <v>35</v>
      </c>
      <c r="C13" s="23" t="s">
        <v>20</v>
      </c>
      <c r="D13" s="24" t="s">
        <v>326</v>
      </c>
      <c r="E13" s="25">
        <v>67</v>
      </c>
      <c r="F13" t="s">
        <v>375</v>
      </c>
      <c r="G13" s="24" t="s">
        <v>32</v>
      </c>
      <c r="H13" s="24" t="s">
        <v>18</v>
      </c>
      <c r="I13" s="24">
        <v>3690</v>
      </c>
      <c r="J13" s="24">
        <v>3</v>
      </c>
      <c r="K13" s="25">
        <f t="shared" si="0"/>
        <v>11070</v>
      </c>
      <c r="L13" s="26">
        <v>45182</v>
      </c>
      <c r="M13" s="24" t="str">
        <f t="shared" si="1"/>
        <v>Wednesday</v>
      </c>
      <c r="N13" s="24" t="str">
        <f t="shared" si="2"/>
        <v>Weekday</v>
      </c>
      <c r="Q13" s="24"/>
      <c r="R13" s="24"/>
      <c r="S13" s="27"/>
      <c r="T13"/>
      <c r="U13" s="6"/>
      <c r="W13" s="7"/>
      <c r="Z13" s="4"/>
    </row>
    <row r="14" spans="1:26" x14ac:dyDescent="0.3">
      <c r="A14" t="s">
        <v>385</v>
      </c>
      <c r="B14" s="16" t="s">
        <v>36</v>
      </c>
      <c r="C14" s="17" t="s">
        <v>366</v>
      </c>
      <c r="D14" s="18" t="s">
        <v>324</v>
      </c>
      <c r="E14" s="19">
        <v>41</v>
      </c>
      <c r="F14" t="s">
        <v>373</v>
      </c>
      <c r="G14" s="18" t="s">
        <v>31</v>
      </c>
      <c r="H14" s="18" t="s">
        <v>18</v>
      </c>
      <c r="I14" s="18">
        <v>6150</v>
      </c>
      <c r="J14" s="18">
        <v>5</v>
      </c>
      <c r="K14" s="19">
        <f t="shared" si="0"/>
        <v>30750</v>
      </c>
      <c r="L14" s="20">
        <v>44974</v>
      </c>
      <c r="M14" s="18" t="str">
        <f t="shared" si="1"/>
        <v>Friday</v>
      </c>
      <c r="N14" s="18" t="str">
        <f t="shared" si="2"/>
        <v>Weekend</v>
      </c>
      <c r="Q14" s="18"/>
      <c r="R14" s="18"/>
      <c r="S14" s="21"/>
      <c r="T14"/>
      <c r="U14" s="6"/>
      <c r="W14" s="7"/>
      <c r="Z14" s="4"/>
    </row>
    <row r="15" spans="1:26" x14ac:dyDescent="0.3">
      <c r="A15" t="s">
        <v>386</v>
      </c>
      <c r="B15" s="22" t="s">
        <v>37</v>
      </c>
      <c r="C15" s="23" t="s">
        <v>11</v>
      </c>
      <c r="D15" s="24" t="s">
        <v>323</v>
      </c>
      <c r="E15" s="25">
        <v>60</v>
      </c>
      <c r="F15" t="s">
        <v>375</v>
      </c>
      <c r="G15" s="24" t="s">
        <v>31</v>
      </c>
      <c r="H15" s="24" t="s">
        <v>18</v>
      </c>
      <c r="I15" s="24">
        <v>6150</v>
      </c>
      <c r="J15" s="24">
        <v>4</v>
      </c>
      <c r="K15" s="25">
        <f t="shared" si="0"/>
        <v>24600</v>
      </c>
      <c r="L15" s="26">
        <v>45270</v>
      </c>
      <c r="M15" s="24" t="str">
        <f t="shared" si="1"/>
        <v>Sunday</v>
      </c>
      <c r="N15" s="24" t="str">
        <f t="shared" si="2"/>
        <v>Weekday</v>
      </c>
      <c r="Q15" s="24"/>
      <c r="R15" s="24"/>
      <c r="S15" s="27"/>
      <c r="T15"/>
      <c r="U15" s="6"/>
      <c r="W15" s="7"/>
      <c r="Z15" s="4"/>
    </row>
    <row r="16" spans="1:26" x14ac:dyDescent="0.3">
      <c r="A16" t="s">
        <v>387</v>
      </c>
      <c r="B16" s="16" t="s">
        <v>38</v>
      </c>
      <c r="C16" s="17" t="s">
        <v>11</v>
      </c>
      <c r="D16" s="18" t="s">
        <v>322</v>
      </c>
      <c r="E16" s="19">
        <v>66</v>
      </c>
      <c r="F16" t="s">
        <v>370</v>
      </c>
      <c r="G16" s="18" t="s">
        <v>32</v>
      </c>
      <c r="H16" s="18" t="s">
        <v>18</v>
      </c>
      <c r="I16" s="18">
        <v>3690</v>
      </c>
      <c r="J16" s="18">
        <v>1</v>
      </c>
      <c r="K16" s="19">
        <f t="shared" si="0"/>
        <v>3690</v>
      </c>
      <c r="L16" s="20">
        <v>45106</v>
      </c>
      <c r="M16" s="18" t="str">
        <f t="shared" si="1"/>
        <v>Thursday</v>
      </c>
      <c r="N16" s="18" t="str">
        <f t="shared" si="2"/>
        <v>Weekday</v>
      </c>
      <c r="Q16" s="18"/>
      <c r="R16" s="18"/>
      <c r="S16" s="21"/>
      <c r="T16"/>
      <c r="U16" s="6"/>
      <c r="W16" s="7"/>
      <c r="Z16" s="4"/>
    </row>
    <row r="17" spans="1:26" x14ac:dyDescent="0.3">
      <c r="A17" t="s">
        <v>388</v>
      </c>
      <c r="B17" s="22" t="s">
        <v>39</v>
      </c>
      <c r="C17" s="23" t="s">
        <v>20</v>
      </c>
      <c r="D17" s="24" t="s">
        <v>328</v>
      </c>
      <c r="E17" s="25">
        <v>36</v>
      </c>
      <c r="F17" t="s">
        <v>373</v>
      </c>
      <c r="G17" s="24" t="s">
        <v>26</v>
      </c>
      <c r="H17" s="24" t="s">
        <v>27</v>
      </c>
      <c r="I17" s="24">
        <v>24600</v>
      </c>
      <c r="J17" s="24">
        <v>3</v>
      </c>
      <c r="K17" s="25">
        <f t="shared" si="0"/>
        <v>73800</v>
      </c>
      <c r="L17" s="26">
        <v>45121</v>
      </c>
      <c r="M17" s="24" t="str">
        <f t="shared" si="1"/>
        <v>Friday</v>
      </c>
      <c r="N17" s="24" t="str">
        <f t="shared" si="2"/>
        <v>Weekend</v>
      </c>
      <c r="Q17" s="24"/>
      <c r="R17" s="24"/>
      <c r="S17" s="27"/>
      <c r="T17"/>
      <c r="U17" s="6"/>
      <c r="W17" s="7"/>
      <c r="Z17" s="4"/>
    </row>
    <row r="18" spans="1:26" x14ac:dyDescent="0.3">
      <c r="A18" t="s">
        <v>389</v>
      </c>
      <c r="B18" s="16" t="s">
        <v>40</v>
      </c>
      <c r="C18" s="17" t="s">
        <v>11</v>
      </c>
      <c r="D18" s="18" t="s">
        <v>323</v>
      </c>
      <c r="E18" s="19">
        <v>57</v>
      </c>
      <c r="F18" t="s">
        <v>375</v>
      </c>
      <c r="G18" s="18" t="s">
        <v>24</v>
      </c>
      <c r="H18" s="18" t="s">
        <v>14</v>
      </c>
      <c r="I18" s="18">
        <v>184500</v>
      </c>
      <c r="J18" s="18">
        <v>4</v>
      </c>
      <c r="K18" s="19">
        <f t="shared" si="0"/>
        <v>738000</v>
      </c>
      <c r="L18" s="20">
        <v>45059</v>
      </c>
      <c r="M18" s="18" t="str">
        <f t="shared" si="1"/>
        <v>Saturday</v>
      </c>
      <c r="N18" s="18" t="str">
        <f t="shared" si="2"/>
        <v>Weekend</v>
      </c>
      <c r="Q18" s="18"/>
      <c r="R18" s="18"/>
      <c r="S18" s="21"/>
      <c r="T18"/>
      <c r="U18" s="6"/>
      <c r="W18" s="7"/>
      <c r="Z18" s="4"/>
    </row>
    <row r="19" spans="1:26" x14ac:dyDescent="0.3">
      <c r="A19" t="s">
        <v>390</v>
      </c>
      <c r="B19" s="22" t="s">
        <v>41</v>
      </c>
      <c r="C19" s="23" t="s">
        <v>11</v>
      </c>
      <c r="D19" s="24" t="s">
        <v>326</v>
      </c>
      <c r="E19" s="25">
        <v>30</v>
      </c>
      <c r="F19" t="s">
        <v>375</v>
      </c>
      <c r="G19" s="24" t="s">
        <v>42</v>
      </c>
      <c r="H19" s="24" t="s">
        <v>14</v>
      </c>
      <c r="I19" s="24">
        <v>98400</v>
      </c>
      <c r="J19" s="24">
        <v>2</v>
      </c>
      <c r="K19" s="25">
        <f t="shared" si="0"/>
        <v>196800</v>
      </c>
      <c r="L19" s="26">
        <v>45086</v>
      </c>
      <c r="M19" s="24" t="str">
        <f t="shared" si="1"/>
        <v>Friday</v>
      </c>
      <c r="N19" s="24" t="str">
        <f t="shared" si="2"/>
        <v>Weekend</v>
      </c>
      <c r="Q19" s="24"/>
      <c r="R19" s="24"/>
      <c r="S19" s="27"/>
      <c r="T19"/>
      <c r="U19" s="6"/>
      <c r="W19" s="7"/>
      <c r="Z19" s="4"/>
    </row>
    <row r="20" spans="1:26" x14ac:dyDescent="0.3">
      <c r="A20" t="s">
        <v>391</v>
      </c>
      <c r="B20" s="16" t="s">
        <v>43</v>
      </c>
      <c r="C20" s="17" t="s">
        <v>11</v>
      </c>
      <c r="D20" s="18" t="s">
        <v>323</v>
      </c>
      <c r="E20" s="19">
        <v>32</v>
      </c>
      <c r="F20" t="s">
        <v>373</v>
      </c>
      <c r="G20" s="18" t="s">
        <v>26</v>
      </c>
      <c r="H20" s="18" t="s">
        <v>27</v>
      </c>
      <c r="I20" s="18">
        <v>24600</v>
      </c>
      <c r="J20" s="18">
        <v>5</v>
      </c>
      <c r="K20" s="19">
        <f t="shared" si="0"/>
        <v>123000</v>
      </c>
      <c r="L20" s="20">
        <v>45098</v>
      </c>
      <c r="M20" s="18" t="str">
        <f t="shared" si="1"/>
        <v>Wednesday</v>
      </c>
      <c r="N20" s="18" t="str">
        <f t="shared" si="2"/>
        <v>Weekday</v>
      </c>
      <c r="Q20" s="18"/>
      <c r="R20" s="18"/>
      <c r="S20" s="21"/>
      <c r="T20"/>
      <c r="U20" s="6"/>
      <c r="W20" s="7"/>
      <c r="Z20" s="4"/>
    </row>
    <row r="21" spans="1:26" x14ac:dyDescent="0.3">
      <c r="A21" t="s">
        <v>392</v>
      </c>
      <c r="B21" s="22" t="s">
        <v>44</v>
      </c>
      <c r="C21" s="23" t="s">
        <v>20</v>
      </c>
      <c r="D21" s="24" t="s">
        <v>322</v>
      </c>
      <c r="E21" s="25">
        <v>59</v>
      </c>
      <c r="F21" t="s">
        <v>375</v>
      </c>
      <c r="G21" s="24" t="s">
        <v>13</v>
      </c>
      <c r="H21" s="24" t="s">
        <v>14</v>
      </c>
      <c r="I21" s="24">
        <v>36900</v>
      </c>
      <c r="J21" s="24">
        <v>4</v>
      </c>
      <c r="K21" s="25">
        <f t="shared" si="0"/>
        <v>147600</v>
      </c>
      <c r="L21" s="26">
        <v>45256</v>
      </c>
      <c r="M21" s="24" t="str">
        <f t="shared" si="1"/>
        <v>Sunday</v>
      </c>
      <c r="N21" s="24" t="str">
        <f t="shared" si="2"/>
        <v>Weekday</v>
      </c>
      <c r="Q21" s="24"/>
      <c r="R21" s="24"/>
      <c r="S21" s="27"/>
      <c r="T21"/>
      <c r="U21" s="6"/>
      <c r="W21" s="7"/>
      <c r="Z21" s="4"/>
    </row>
    <row r="22" spans="1:26" x14ac:dyDescent="0.3">
      <c r="A22" t="s">
        <v>393</v>
      </c>
      <c r="B22" s="16" t="s">
        <v>35</v>
      </c>
      <c r="C22" s="17" t="s">
        <v>20</v>
      </c>
      <c r="D22" s="18" t="s">
        <v>326</v>
      </c>
      <c r="E22" s="19">
        <v>67</v>
      </c>
      <c r="F22" t="s">
        <v>370</v>
      </c>
      <c r="G22" s="18" t="s">
        <v>42</v>
      </c>
      <c r="H22" s="18" t="s">
        <v>14</v>
      </c>
      <c r="I22" s="18">
        <v>98400</v>
      </c>
      <c r="J22" s="18">
        <v>5</v>
      </c>
      <c r="K22" s="19">
        <f t="shared" si="0"/>
        <v>492000</v>
      </c>
      <c r="L22" s="20">
        <v>45238</v>
      </c>
      <c r="M22" s="18" t="str">
        <f t="shared" si="1"/>
        <v>Wednesday</v>
      </c>
      <c r="N22" s="18" t="str">
        <f t="shared" si="2"/>
        <v>Weekday</v>
      </c>
      <c r="Q22" s="18"/>
      <c r="R22" s="18"/>
      <c r="S22" s="21"/>
      <c r="T22"/>
      <c r="U22" s="6"/>
      <c r="W22" s="7"/>
      <c r="Z22" s="4"/>
    </row>
    <row r="23" spans="1:26" x14ac:dyDescent="0.3">
      <c r="A23" t="s">
        <v>394</v>
      </c>
      <c r="B23" s="22" t="s">
        <v>45</v>
      </c>
      <c r="C23" s="23" t="s">
        <v>20</v>
      </c>
      <c r="D23" s="24" t="s">
        <v>323</v>
      </c>
      <c r="E23" s="25">
        <v>37</v>
      </c>
      <c r="F23" t="s">
        <v>370</v>
      </c>
      <c r="G23" s="24" t="s">
        <v>32</v>
      </c>
      <c r="H23" s="24" t="s">
        <v>18</v>
      </c>
      <c r="I23" s="24">
        <v>3690</v>
      </c>
      <c r="J23" s="24">
        <v>3</v>
      </c>
      <c r="K23" s="25">
        <f t="shared" si="0"/>
        <v>11070</v>
      </c>
      <c r="L23" s="26">
        <v>45287</v>
      </c>
      <c r="M23" s="24" t="str">
        <f t="shared" si="1"/>
        <v>Wednesday</v>
      </c>
      <c r="N23" s="24" t="str">
        <f t="shared" si="2"/>
        <v>Weekday</v>
      </c>
      <c r="Q23" s="24"/>
      <c r="R23" s="24"/>
      <c r="S23" s="27"/>
      <c r="T23"/>
      <c r="U23" s="6"/>
      <c r="W23" s="7"/>
      <c r="Z23" s="4"/>
    </row>
    <row r="24" spans="1:26" x14ac:dyDescent="0.3">
      <c r="A24" t="s">
        <v>395</v>
      </c>
      <c r="B24" s="16" t="s">
        <v>46</v>
      </c>
      <c r="C24" s="17" t="s">
        <v>366</v>
      </c>
      <c r="D24" s="18" t="s">
        <v>323</v>
      </c>
      <c r="E24" s="19">
        <v>40</v>
      </c>
      <c r="F24" t="s">
        <v>375</v>
      </c>
      <c r="G24" s="18" t="s">
        <v>32</v>
      </c>
      <c r="H24" s="18" t="s">
        <v>18</v>
      </c>
      <c r="I24" s="18">
        <v>3690</v>
      </c>
      <c r="J24" s="18">
        <v>3</v>
      </c>
      <c r="K24" s="19">
        <f t="shared" si="0"/>
        <v>11070</v>
      </c>
      <c r="L24" s="20">
        <v>45083</v>
      </c>
      <c r="M24" s="18" t="str">
        <f t="shared" si="1"/>
        <v>Tuesday</v>
      </c>
      <c r="N24" s="18" t="str">
        <f t="shared" si="2"/>
        <v>Weekday</v>
      </c>
      <c r="Q24" s="18"/>
      <c r="R24" s="18"/>
      <c r="S24" s="21"/>
      <c r="T24"/>
      <c r="U24" s="6"/>
      <c r="W24" s="7"/>
      <c r="Z24" s="4"/>
    </row>
    <row r="25" spans="1:26" x14ac:dyDescent="0.3">
      <c r="A25" t="s">
        <v>396</v>
      </c>
      <c r="B25" s="22" t="s">
        <v>47</v>
      </c>
      <c r="C25" s="23" t="s">
        <v>20</v>
      </c>
      <c r="D25" s="24" t="s">
        <v>324</v>
      </c>
      <c r="E25" s="25">
        <v>52</v>
      </c>
      <c r="F25" t="s">
        <v>370</v>
      </c>
      <c r="G25" s="24" t="s">
        <v>17</v>
      </c>
      <c r="H25" s="24" t="s">
        <v>18</v>
      </c>
      <c r="I25" s="24">
        <v>12300</v>
      </c>
      <c r="J25" s="24">
        <v>2</v>
      </c>
      <c r="K25" s="25">
        <f t="shared" si="0"/>
        <v>24600</v>
      </c>
      <c r="L25" s="26">
        <v>45227</v>
      </c>
      <c r="M25" s="24" t="str">
        <f t="shared" si="1"/>
        <v>Saturday</v>
      </c>
      <c r="N25" s="24" t="str">
        <f t="shared" si="2"/>
        <v>Weekend</v>
      </c>
      <c r="Q25" s="24"/>
      <c r="R25" s="24"/>
      <c r="S25" s="27"/>
      <c r="T25"/>
      <c r="U25" s="6"/>
      <c r="W25" s="7"/>
      <c r="Z25" s="4"/>
    </row>
    <row r="26" spans="1:26" x14ac:dyDescent="0.3">
      <c r="A26" t="s">
        <v>397</v>
      </c>
      <c r="B26" s="16" t="s">
        <v>48</v>
      </c>
      <c r="C26" s="17" t="s">
        <v>11</v>
      </c>
      <c r="D26" s="18" t="s">
        <v>323</v>
      </c>
      <c r="E26" s="19">
        <v>58</v>
      </c>
      <c r="F26" t="s">
        <v>373</v>
      </c>
      <c r="G26" s="18" t="s">
        <v>42</v>
      </c>
      <c r="H26" s="18" t="s">
        <v>14</v>
      </c>
      <c r="I26" s="18">
        <v>98400</v>
      </c>
      <c r="J26" s="18">
        <v>4</v>
      </c>
      <c r="K26" s="19">
        <f t="shared" si="0"/>
        <v>393600</v>
      </c>
      <c r="L26" s="20">
        <v>45290</v>
      </c>
      <c r="M26" s="18" t="str">
        <f t="shared" si="1"/>
        <v>Saturday</v>
      </c>
      <c r="N26" s="18" t="str">
        <f t="shared" si="2"/>
        <v>Weekend</v>
      </c>
      <c r="Q26" s="18"/>
      <c r="R26" s="18"/>
      <c r="S26" s="21"/>
      <c r="T26"/>
      <c r="U26" s="6"/>
      <c r="W26" s="7"/>
      <c r="Z26" s="4"/>
    </row>
    <row r="27" spans="1:26" x14ac:dyDescent="0.3">
      <c r="A27" t="s">
        <v>398</v>
      </c>
      <c r="B27" s="22" t="s">
        <v>49</v>
      </c>
      <c r="C27" s="23" t="s">
        <v>20</v>
      </c>
      <c r="D27" s="24" t="s">
        <v>323</v>
      </c>
      <c r="E27" s="25">
        <v>57</v>
      </c>
      <c r="F27" t="s">
        <v>375</v>
      </c>
      <c r="G27" s="24" t="s">
        <v>31</v>
      </c>
      <c r="H27" s="24" t="s">
        <v>18</v>
      </c>
      <c r="I27" s="24">
        <v>6150</v>
      </c>
      <c r="J27" s="24">
        <v>1</v>
      </c>
      <c r="K27" s="25">
        <f t="shared" si="0"/>
        <v>6150</v>
      </c>
      <c r="L27" s="26">
        <v>45264</v>
      </c>
      <c r="M27" s="24" t="str">
        <f t="shared" si="1"/>
        <v>Monday</v>
      </c>
      <c r="N27" s="24" t="str">
        <f t="shared" si="2"/>
        <v>Weekday</v>
      </c>
      <c r="Q27" s="24"/>
      <c r="R27" s="24"/>
      <c r="S27" s="27"/>
      <c r="T27"/>
      <c r="U27" s="6"/>
      <c r="W27" s="7"/>
      <c r="Z27" s="4"/>
    </row>
    <row r="28" spans="1:26" x14ac:dyDescent="0.3">
      <c r="A28" t="s">
        <v>399</v>
      </c>
      <c r="B28" s="16" t="s">
        <v>50</v>
      </c>
      <c r="C28" s="17" t="s">
        <v>20</v>
      </c>
      <c r="D28" s="18" t="s">
        <v>326</v>
      </c>
      <c r="E28" s="19">
        <v>59</v>
      </c>
      <c r="F28" t="s">
        <v>373</v>
      </c>
      <c r="G28" s="18" t="s">
        <v>42</v>
      </c>
      <c r="H28" s="18" t="s">
        <v>14</v>
      </c>
      <c r="I28" s="18">
        <v>98400</v>
      </c>
      <c r="J28" s="18">
        <v>2</v>
      </c>
      <c r="K28" s="19">
        <f t="shared" si="0"/>
        <v>196800</v>
      </c>
      <c r="L28" s="20">
        <v>44958</v>
      </c>
      <c r="M28" s="18" t="str">
        <f t="shared" si="1"/>
        <v>Wednesday</v>
      </c>
      <c r="N28" s="18" t="str">
        <f t="shared" si="2"/>
        <v>Weekday</v>
      </c>
      <c r="Q28" s="18"/>
      <c r="R28" s="18"/>
      <c r="S28" s="21"/>
      <c r="T28"/>
      <c r="U28" s="6"/>
      <c r="W28" s="7"/>
      <c r="Z28" s="4"/>
    </row>
    <row r="29" spans="1:26" x14ac:dyDescent="0.3">
      <c r="A29" t="s">
        <v>400</v>
      </c>
      <c r="B29" s="22" t="s">
        <v>51</v>
      </c>
      <c r="C29" s="23" t="s">
        <v>20</v>
      </c>
      <c r="D29" s="24" t="s">
        <v>324</v>
      </c>
      <c r="E29" s="25">
        <v>25</v>
      </c>
      <c r="F29" t="s">
        <v>370</v>
      </c>
      <c r="G29" s="24" t="s">
        <v>26</v>
      </c>
      <c r="H29" s="24" t="s">
        <v>27</v>
      </c>
      <c r="I29" s="24">
        <v>24600</v>
      </c>
      <c r="J29" s="24">
        <v>1</v>
      </c>
      <c r="K29" s="25">
        <f t="shared" si="0"/>
        <v>24600</v>
      </c>
      <c r="L29" s="26">
        <v>45152</v>
      </c>
      <c r="M29" s="25" t="str">
        <f t="shared" si="1"/>
        <v>Monday</v>
      </c>
      <c r="N29" s="24" t="str">
        <f t="shared" si="2"/>
        <v>Weekday</v>
      </c>
      <c r="Q29" s="25"/>
      <c r="R29" s="24"/>
      <c r="S29" s="27"/>
      <c r="T29"/>
      <c r="U29" s="6"/>
      <c r="W29" s="7"/>
      <c r="Z29" s="4"/>
    </row>
    <row r="30" spans="1:26" x14ac:dyDescent="0.3">
      <c r="A30" t="s">
        <v>401</v>
      </c>
      <c r="B30" s="16" t="s">
        <v>52</v>
      </c>
      <c r="C30" s="17" t="s">
        <v>366</v>
      </c>
      <c r="D30" s="18" t="s">
        <v>327</v>
      </c>
      <c r="E30" s="19">
        <v>31</v>
      </c>
      <c r="F30" t="s">
        <v>375</v>
      </c>
      <c r="G30" s="18" t="s">
        <v>42</v>
      </c>
      <c r="H30" s="18" t="s">
        <v>14</v>
      </c>
      <c r="I30" s="18">
        <v>98400</v>
      </c>
      <c r="J30" s="18">
        <v>1</v>
      </c>
      <c r="K30" s="19">
        <f t="shared" si="0"/>
        <v>98400</v>
      </c>
      <c r="L30" s="20">
        <v>45267</v>
      </c>
      <c r="M30" s="19" t="str">
        <f t="shared" si="1"/>
        <v>Thursday</v>
      </c>
      <c r="N30" s="18" t="str">
        <f t="shared" si="2"/>
        <v>Weekday</v>
      </c>
      <c r="Q30" s="19"/>
      <c r="R30" s="18"/>
      <c r="S30" s="21"/>
      <c r="T30"/>
      <c r="U30" s="6"/>
      <c r="W30" s="7"/>
      <c r="Z30" s="4"/>
    </row>
    <row r="31" spans="1:26" x14ac:dyDescent="0.3">
      <c r="A31" t="s">
        <v>402</v>
      </c>
      <c r="B31" s="22" t="s">
        <v>53</v>
      </c>
      <c r="C31" s="23" t="s">
        <v>11</v>
      </c>
      <c r="D31" s="24" t="s">
        <v>322</v>
      </c>
      <c r="E31" s="25">
        <v>28</v>
      </c>
      <c r="F31" t="s">
        <v>373</v>
      </c>
      <c r="G31" s="24" t="s">
        <v>31</v>
      </c>
      <c r="H31" s="24" t="s">
        <v>18</v>
      </c>
      <c r="I31" s="24">
        <v>6150</v>
      </c>
      <c r="J31" s="24">
        <v>4</v>
      </c>
      <c r="K31" s="25">
        <f t="shared" si="0"/>
        <v>24600</v>
      </c>
      <c r="L31" s="26">
        <v>45105</v>
      </c>
      <c r="M31" s="25" t="str">
        <f t="shared" si="1"/>
        <v>Wednesday</v>
      </c>
      <c r="N31" s="24" t="str">
        <f t="shared" si="2"/>
        <v>Weekday</v>
      </c>
      <c r="Q31" s="25"/>
      <c r="R31" s="24"/>
      <c r="S31" s="27"/>
      <c r="T31"/>
      <c r="U31" s="6"/>
      <c r="W31" s="7"/>
      <c r="Z31" s="4"/>
    </row>
    <row r="32" spans="1:26" x14ac:dyDescent="0.3">
      <c r="A32" t="s">
        <v>403</v>
      </c>
      <c r="B32" s="16" t="s">
        <v>54</v>
      </c>
      <c r="C32" s="17" t="s">
        <v>11</v>
      </c>
      <c r="D32" s="18" t="s">
        <v>322</v>
      </c>
      <c r="E32" s="19">
        <v>57</v>
      </c>
      <c r="F32" t="s">
        <v>370</v>
      </c>
      <c r="G32" s="18" t="s">
        <v>13</v>
      </c>
      <c r="H32" s="18" t="s">
        <v>14</v>
      </c>
      <c r="I32" s="18">
        <v>36900</v>
      </c>
      <c r="J32" s="18">
        <v>2</v>
      </c>
      <c r="K32" s="19">
        <f t="shared" si="0"/>
        <v>73800</v>
      </c>
      <c r="L32" s="20">
        <v>45247</v>
      </c>
      <c r="M32" s="19" t="str">
        <f t="shared" si="1"/>
        <v>Friday</v>
      </c>
      <c r="N32" s="18" t="str">
        <f t="shared" si="2"/>
        <v>Weekend</v>
      </c>
      <c r="Q32" s="19"/>
      <c r="R32" s="18"/>
      <c r="S32" s="21"/>
      <c r="T32"/>
      <c r="U32" s="6"/>
      <c r="W32" s="7"/>
      <c r="Z32" s="4"/>
    </row>
    <row r="33" spans="1:26" x14ac:dyDescent="0.3">
      <c r="A33" t="s">
        <v>404</v>
      </c>
      <c r="B33" s="22" t="s">
        <v>55</v>
      </c>
      <c r="C33" s="23" t="s">
        <v>11</v>
      </c>
      <c r="D33" s="24" t="s">
        <v>324</v>
      </c>
      <c r="E33" s="25">
        <v>55</v>
      </c>
      <c r="F33" t="s">
        <v>375</v>
      </c>
      <c r="G33" s="24" t="s">
        <v>24</v>
      </c>
      <c r="H33" s="24" t="s">
        <v>14</v>
      </c>
      <c r="I33" s="24">
        <v>184500</v>
      </c>
      <c r="J33" s="24">
        <v>4</v>
      </c>
      <c r="K33" s="25">
        <f t="shared" si="0"/>
        <v>738000</v>
      </c>
      <c r="L33" s="26">
        <v>44951</v>
      </c>
      <c r="M33" s="25" t="str">
        <f t="shared" si="1"/>
        <v>Wednesday</v>
      </c>
      <c r="N33" s="24" t="str">
        <f t="shared" si="2"/>
        <v>Weekday</v>
      </c>
      <c r="Q33" s="25"/>
      <c r="R33" s="24"/>
      <c r="S33" s="27"/>
      <c r="T33"/>
      <c r="U33" s="6"/>
      <c r="W33" s="7"/>
      <c r="Z33" s="4"/>
    </row>
    <row r="34" spans="1:26" x14ac:dyDescent="0.3">
      <c r="A34" t="s">
        <v>405</v>
      </c>
      <c r="B34" s="16" t="s">
        <v>56</v>
      </c>
      <c r="C34" s="17" t="s">
        <v>20</v>
      </c>
      <c r="D34" s="18" t="s">
        <v>329</v>
      </c>
      <c r="E34" s="19">
        <v>53</v>
      </c>
      <c r="F34" t="s">
        <v>381</v>
      </c>
      <c r="G34" s="18" t="s">
        <v>13</v>
      </c>
      <c r="H34" s="18" t="s">
        <v>14</v>
      </c>
      <c r="I34" s="18">
        <v>36900</v>
      </c>
      <c r="J34" s="18">
        <v>2</v>
      </c>
      <c r="K34" s="19">
        <f t="shared" si="0"/>
        <v>73800</v>
      </c>
      <c r="L34" s="20">
        <v>45174</v>
      </c>
      <c r="M34" s="19" t="str">
        <f t="shared" si="1"/>
        <v>Tuesday</v>
      </c>
      <c r="N34" s="18" t="str">
        <f t="shared" si="2"/>
        <v>Weekday</v>
      </c>
      <c r="Q34" s="19"/>
      <c r="R34" s="18"/>
      <c r="S34" s="21"/>
      <c r="T34"/>
      <c r="U34" s="6"/>
      <c r="W34" s="7"/>
      <c r="Z34" s="4"/>
    </row>
    <row r="35" spans="1:26" x14ac:dyDescent="0.3">
      <c r="A35" t="s">
        <v>406</v>
      </c>
      <c r="B35" s="22" t="s">
        <v>57</v>
      </c>
      <c r="C35" s="23" t="s">
        <v>366</v>
      </c>
      <c r="D35" s="24" t="s">
        <v>322</v>
      </c>
      <c r="E35" s="25">
        <v>58</v>
      </c>
      <c r="F35" t="s">
        <v>370</v>
      </c>
      <c r="G35" s="24" t="s">
        <v>17</v>
      </c>
      <c r="H35" s="24" t="s">
        <v>18</v>
      </c>
      <c r="I35" s="24">
        <v>12300</v>
      </c>
      <c r="J35" s="24">
        <v>5</v>
      </c>
      <c r="K35" s="25">
        <f t="shared" si="0"/>
        <v>61500</v>
      </c>
      <c r="L35" s="26">
        <v>45186</v>
      </c>
      <c r="M35" s="25" t="str">
        <f t="shared" si="1"/>
        <v>Sunday</v>
      </c>
      <c r="N35" s="24" t="str">
        <f t="shared" si="2"/>
        <v>Weekday</v>
      </c>
      <c r="Q35" s="25"/>
      <c r="R35" s="24"/>
      <c r="S35" s="27"/>
      <c r="T35"/>
      <c r="U35" s="6"/>
      <c r="W35" s="7"/>
      <c r="Z35" s="4"/>
    </row>
    <row r="36" spans="1:26" x14ac:dyDescent="0.3">
      <c r="A36" t="s">
        <v>407</v>
      </c>
      <c r="B36" s="16" t="s">
        <v>58</v>
      </c>
      <c r="C36" s="17" t="s">
        <v>366</v>
      </c>
      <c r="D36" s="18" t="s">
        <v>322</v>
      </c>
      <c r="E36" s="19">
        <v>35</v>
      </c>
      <c r="F36" t="s">
        <v>370</v>
      </c>
      <c r="G36" s="18" t="s">
        <v>32</v>
      </c>
      <c r="H36" s="18" t="s">
        <v>18</v>
      </c>
      <c r="I36" s="18">
        <v>3690</v>
      </c>
      <c r="J36" s="18">
        <v>3</v>
      </c>
      <c r="K36" s="19">
        <f t="shared" si="0"/>
        <v>11070</v>
      </c>
      <c r="L36" s="20">
        <v>45285</v>
      </c>
      <c r="M36" s="19" t="str">
        <f t="shared" si="1"/>
        <v>Monday</v>
      </c>
      <c r="N36" s="18" t="str">
        <f t="shared" si="2"/>
        <v>Weekday</v>
      </c>
      <c r="Q36" s="19"/>
      <c r="R36" s="18"/>
      <c r="S36" s="21"/>
      <c r="T36"/>
      <c r="U36" s="6"/>
      <c r="W36" s="7"/>
      <c r="Z36" s="4"/>
    </row>
    <row r="37" spans="1:26" x14ac:dyDescent="0.3">
      <c r="A37" t="s">
        <v>408</v>
      </c>
      <c r="B37" s="22" t="s">
        <v>59</v>
      </c>
      <c r="C37" s="23" t="s">
        <v>11</v>
      </c>
      <c r="D37" s="24" t="s">
        <v>322</v>
      </c>
      <c r="E37" s="25">
        <v>41</v>
      </c>
      <c r="F37" t="s">
        <v>381</v>
      </c>
      <c r="G37" s="24" t="s">
        <v>24</v>
      </c>
      <c r="H37" s="24" t="s">
        <v>14</v>
      </c>
      <c r="I37" s="24">
        <v>184500</v>
      </c>
      <c r="J37" s="24">
        <v>4</v>
      </c>
      <c r="K37" s="25">
        <f t="shared" si="0"/>
        <v>738000</v>
      </c>
      <c r="L37" s="26">
        <v>44940</v>
      </c>
      <c r="M37" s="25" t="str">
        <f t="shared" si="1"/>
        <v>Saturday</v>
      </c>
      <c r="N37" s="24" t="str">
        <f t="shared" si="2"/>
        <v>Weekend</v>
      </c>
      <c r="Q37" s="25"/>
      <c r="R37" s="24"/>
      <c r="S37" s="27"/>
      <c r="T37"/>
      <c r="U37" s="6"/>
      <c r="W37" s="7"/>
      <c r="Z37" s="4"/>
    </row>
    <row r="38" spans="1:26" x14ac:dyDescent="0.3">
      <c r="A38" t="s">
        <v>409</v>
      </c>
      <c r="B38" s="16" t="s">
        <v>60</v>
      </c>
      <c r="C38" s="17" t="s">
        <v>20</v>
      </c>
      <c r="D38" s="18" t="s">
        <v>322</v>
      </c>
      <c r="E38" s="19">
        <v>64</v>
      </c>
      <c r="F38" t="s">
        <v>381</v>
      </c>
      <c r="G38" s="18" t="s">
        <v>13</v>
      </c>
      <c r="H38" s="18" t="s">
        <v>14</v>
      </c>
      <c r="I38" s="18">
        <v>36900</v>
      </c>
      <c r="J38" s="18">
        <v>1</v>
      </c>
      <c r="K38" s="19">
        <f t="shared" si="0"/>
        <v>36900</v>
      </c>
      <c r="L38" s="20">
        <v>45139</v>
      </c>
      <c r="M38" s="19" t="str">
        <f t="shared" si="1"/>
        <v>Tuesday</v>
      </c>
      <c r="N38" s="18" t="str">
        <f t="shared" si="2"/>
        <v>Weekday</v>
      </c>
      <c r="Q38" s="19"/>
      <c r="R38" s="18"/>
      <c r="S38" s="21"/>
      <c r="T38"/>
      <c r="U38" s="6"/>
      <c r="W38" s="7"/>
      <c r="Z38" s="4"/>
    </row>
    <row r="39" spans="1:26" x14ac:dyDescent="0.3">
      <c r="A39" t="s">
        <v>410</v>
      </c>
      <c r="B39" s="22" t="s">
        <v>61</v>
      </c>
      <c r="C39" s="23" t="s">
        <v>11</v>
      </c>
      <c r="D39" s="24" t="s">
        <v>322</v>
      </c>
      <c r="E39" s="25">
        <v>68</v>
      </c>
      <c r="F39" t="s">
        <v>373</v>
      </c>
      <c r="G39" s="24" t="s">
        <v>42</v>
      </c>
      <c r="H39" s="24" t="s">
        <v>14</v>
      </c>
      <c r="I39" s="24">
        <v>98400</v>
      </c>
      <c r="J39" s="24">
        <v>2</v>
      </c>
      <c r="K39" s="25">
        <f t="shared" si="0"/>
        <v>196800</v>
      </c>
      <c r="L39" s="26">
        <v>44969</v>
      </c>
      <c r="M39" s="25" t="str">
        <f t="shared" si="1"/>
        <v>Sunday</v>
      </c>
      <c r="N39" s="24" t="str">
        <f t="shared" si="2"/>
        <v>Weekday</v>
      </c>
      <c r="Q39" s="25"/>
      <c r="R39" s="24"/>
      <c r="S39" s="27"/>
      <c r="T39"/>
      <c r="U39" s="6"/>
      <c r="W39" s="7"/>
      <c r="Z39" s="4"/>
    </row>
    <row r="40" spans="1:26" x14ac:dyDescent="0.3">
      <c r="A40" t="s">
        <v>411</v>
      </c>
      <c r="B40" s="16" t="s">
        <v>62</v>
      </c>
      <c r="C40" s="17" t="s">
        <v>366</v>
      </c>
      <c r="D40" s="18" t="s">
        <v>329</v>
      </c>
      <c r="E40" s="19">
        <v>43</v>
      </c>
      <c r="F40" t="s">
        <v>370</v>
      </c>
      <c r="G40" s="18" t="s">
        <v>13</v>
      </c>
      <c r="H40" s="18" t="s">
        <v>14</v>
      </c>
      <c r="I40" s="18">
        <v>36900</v>
      </c>
      <c r="J40" s="18">
        <v>2</v>
      </c>
      <c r="K40" s="19">
        <f t="shared" si="0"/>
        <v>73800</v>
      </c>
      <c r="L40" s="20">
        <v>45064</v>
      </c>
      <c r="M40" s="19" t="str">
        <f t="shared" si="1"/>
        <v>Thursday</v>
      </c>
      <c r="N40" s="18" t="str">
        <f t="shared" si="2"/>
        <v>Weekday</v>
      </c>
      <c r="Q40" s="19"/>
      <c r="R40" s="18"/>
      <c r="S40" s="21"/>
      <c r="T40"/>
      <c r="U40" s="6"/>
      <c r="W40" s="7"/>
      <c r="Z40" s="4"/>
    </row>
    <row r="41" spans="1:26" x14ac:dyDescent="0.3">
      <c r="A41" t="s">
        <v>412</v>
      </c>
      <c r="B41" s="22" t="s">
        <v>63</v>
      </c>
      <c r="C41" s="23" t="s">
        <v>20</v>
      </c>
      <c r="D41" s="24" t="s">
        <v>322</v>
      </c>
      <c r="E41" s="25">
        <v>61</v>
      </c>
      <c r="F41" t="s">
        <v>381</v>
      </c>
      <c r="G41" s="24" t="s">
        <v>42</v>
      </c>
      <c r="H41" s="24" t="s">
        <v>14</v>
      </c>
      <c r="I41" s="24">
        <v>98400</v>
      </c>
      <c r="J41" s="24">
        <v>2</v>
      </c>
      <c r="K41" s="25">
        <f t="shared" si="0"/>
        <v>196800</v>
      </c>
      <c r="L41" s="26">
        <v>45202</v>
      </c>
      <c r="M41" s="25" t="str">
        <f t="shared" si="1"/>
        <v>Tuesday</v>
      </c>
      <c r="N41" s="24" t="str">
        <f t="shared" si="2"/>
        <v>Weekday</v>
      </c>
      <c r="Q41" s="25"/>
      <c r="R41" s="24"/>
      <c r="S41" s="27"/>
      <c r="T41"/>
      <c r="U41" s="6"/>
      <c r="W41" s="7"/>
      <c r="Z41" s="4"/>
    </row>
    <row r="42" spans="1:26" x14ac:dyDescent="0.3">
      <c r="A42" t="s">
        <v>413</v>
      </c>
      <c r="B42" s="16" t="s">
        <v>64</v>
      </c>
      <c r="C42" s="17" t="s">
        <v>20</v>
      </c>
      <c r="D42" s="18" t="s">
        <v>324</v>
      </c>
      <c r="E42" s="19">
        <v>58</v>
      </c>
      <c r="F42" t="s">
        <v>375</v>
      </c>
      <c r="G42" s="18" t="s">
        <v>31</v>
      </c>
      <c r="H42" s="18" t="s">
        <v>18</v>
      </c>
      <c r="I42" s="18">
        <v>6150</v>
      </c>
      <c r="J42" s="18">
        <v>2</v>
      </c>
      <c r="K42" s="19">
        <f t="shared" si="0"/>
        <v>12300</v>
      </c>
      <c r="L42" s="20">
        <v>45168</v>
      </c>
      <c r="M42" s="19" t="str">
        <f t="shared" si="1"/>
        <v>Wednesday</v>
      </c>
      <c r="N42" s="18" t="str">
        <f t="shared" si="2"/>
        <v>Weekday</v>
      </c>
      <c r="Q42" s="19"/>
      <c r="R42" s="18"/>
      <c r="S42" s="21"/>
      <c r="T42"/>
      <c r="U42" s="6"/>
      <c r="W42" s="7"/>
      <c r="Z42" s="4"/>
    </row>
    <row r="43" spans="1:26" x14ac:dyDescent="0.3">
      <c r="A43" t="s">
        <v>414</v>
      </c>
      <c r="B43" s="22" t="s">
        <v>65</v>
      </c>
      <c r="C43" s="23" t="s">
        <v>11</v>
      </c>
      <c r="D43" s="24" t="s">
        <v>326</v>
      </c>
      <c r="E43" s="25">
        <v>61</v>
      </c>
      <c r="F43" t="s">
        <v>370</v>
      </c>
      <c r="G43" s="24" t="s">
        <v>13</v>
      </c>
      <c r="H43" s="24" t="s">
        <v>14</v>
      </c>
      <c r="I43" s="24">
        <v>36900</v>
      </c>
      <c r="J43" s="24">
        <v>1</v>
      </c>
      <c r="K43" s="25">
        <f t="shared" si="0"/>
        <v>36900</v>
      </c>
      <c r="L43" s="26">
        <v>45184</v>
      </c>
      <c r="M43" s="25" t="str">
        <f t="shared" si="1"/>
        <v>Friday</v>
      </c>
      <c r="N43" s="24" t="str">
        <f t="shared" si="2"/>
        <v>Weekend</v>
      </c>
      <c r="Q43" s="25"/>
      <c r="R43" s="24"/>
      <c r="S43" s="27"/>
      <c r="T43"/>
      <c r="U43" s="6"/>
      <c r="W43" s="7"/>
      <c r="Z43" s="4"/>
    </row>
    <row r="44" spans="1:26" x14ac:dyDescent="0.3">
      <c r="A44" t="s">
        <v>415</v>
      </c>
      <c r="B44" s="16" t="s">
        <v>66</v>
      </c>
      <c r="C44" s="17" t="s">
        <v>11</v>
      </c>
      <c r="D44" s="18" t="s">
        <v>322</v>
      </c>
      <c r="E44" s="19">
        <v>19</v>
      </c>
      <c r="F44" t="s">
        <v>373</v>
      </c>
      <c r="G44" s="18" t="s">
        <v>31</v>
      </c>
      <c r="H44" s="18" t="s">
        <v>18</v>
      </c>
      <c r="I44" s="18">
        <v>6150</v>
      </c>
      <c r="J44" s="18">
        <v>4</v>
      </c>
      <c r="K44" s="19">
        <f t="shared" si="0"/>
        <v>24600</v>
      </c>
      <c r="L44" s="20">
        <v>44971</v>
      </c>
      <c r="M44" s="19" t="str">
        <f t="shared" si="1"/>
        <v>Tuesday</v>
      </c>
      <c r="N44" s="18" t="str">
        <f t="shared" si="2"/>
        <v>Weekday</v>
      </c>
      <c r="Q44" s="19"/>
      <c r="R44" s="18"/>
      <c r="S44" s="21"/>
      <c r="T44"/>
      <c r="U44" s="6"/>
      <c r="W44" s="7"/>
      <c r="Z44" s="4"/>
    </row>
    <row r="45" spans="1:26" x14ac:dyDescent="0.3">
      <c r="A45" t="s">
        <v>416</v>
      </c>
      <c r="B45" s="22" t="s">
        <v>52</v>
      </c>
      <c r="C45" s="23" t="s">
        <v>366</v>
      </c>
      <c r="D45" s="24" t="s">
        <v>327</v>
      </c>
      <c r="E45" s="25">
        <v>31</v>
      </c>
      <c r="F45" t="s">
        <v>381</v>
      </c>
      <c r="G45" s="24" t="s">
        <v>31</v>
      </c>
      <c r="H45" s="24" t="s">
        <v>18</v>
      </c>
      <c r="I45" s="24">
        <v>6150</v>
      </c>
      <c r="J45" s="24">
        <v>3</v>
      </c>
      <c r="K45" s="25">
        <f t="shared" si="0"/>
        <v>18450</v>
      </c>
      <c r="L45" s="26">
        <v>44984</v>
      </c>
      <c r="M45" s="25" t="str">
        <f t="shared" si="1"/>
        <v>Monday</v>
      </c>
      <c r="N45" s="24" t="str">
        <f t="shared" si="2"/>
        <v>Weekday</v>
      </c>
      <c r="Q45" s="25"/>
      <c r="R45" s="24"/>
      <c r="S45" s="27"/>
      <c r="T45"/>
      <c r="U45" s="6"/>
      <c r="W45" s="7"/>
      <c r="Z45" s="4"/>
    </row>
    <row r="46" spans="1:26" x14ac:dyDescent="0.3">
      <c r="A46" t="s">
        <v>417</v>
      </c>
      <c r="B46" s="16" t="s">
        <v>67</v>
      </c>
      <c r="C46" s="17" t="s">
        <v>11</v>
      </c>
      <c r="D46" s="18" t="s">
        <v>327</v>
      </c>
      <c r="E46" s="19">
        <v>38</v>
      </c>
      <c r="F46" t="s">
        <v>370</v>
      </c>
      <c r="G46" s="18" t="s">
        <v>13</v>
      </c>
      <c r="H46" s="18" t="s">
        <v>14</v>
      </c>
      <c r="I46" s="18">
        <v>36900</v>
      </c>
      <c r="J46" s="18">
        <v>1</v>
      </c>
      <c r="K46" s="19">
        <f t="shared" si="0"/>
        <v>36900</v>
      </c>
      <c r="L46" s="20">
        <v>45151</v>
      </c>
      <c r="M46" s="19" t="str">
        <f t="shared" si="1"/>
        <v>Sunday</v>
      </c>
      <c r="N46" s="18" t="str">
        <f t="shared" si="2"/>
        <v>Weekday</v>
      </c>
      <c r="Q46" s="19"/>
      <c r="R46" s="18"/>
      <c r="S46" s="21"/>
      <c r="T46"/>
      <c r="U46" s="6"/>
      <c r="W46" s="7"/>
      <c r="Z46" s="4"/>
    </row>
    <row r="47" spans="1:26" x14ac:dyDescent="0.3">
      <c r="A47" t="s">
        <v>418</v>
      </c>
      <c r="B47" s="22" t="s">
        <v>68</v>
      </c>
      <c r="C47" s="23" t="s">
        <v>11</v>
      </c>
      <c r="D47" s="24" t="s">
        <v>323</v>
      </c>
      <c r="E47" s="25">
        <v>44</v>
      </c>
      <c r="F47" t="s">
        <v>370</v>
      </c>
      <c r="G47" s="24" t="s">
        <v>17</v>
      </c>
      <c r="H47" s="24" t="s">
        <v>18</v>
      </c>
      <c r="I47" s="24">
        <v>12300</v>
      </c>
      <c r="J47" s="24">
        <v>2</v>
      </c>
      <c r="K47" s="25">
        <f t="shared" si="0"/>
        <v>24600</v>
      </c>
      <c r="L47" s="26">
        <v>45055</v>
      </c>
      <c r="M47" s="25" t="str">
        <f t="shared" si="1"/>
        <v>Tuesday</v>
      </c>
      <c r="N47" s="24" t="str">
        <f t="shared" si="2"/>
        <v>Weekday</v>
      </c>
      <c r="Q47" s="25"/>
      <c r="R47" s="24"/>
      <c r="S47" s="27"/>
      <c r="T47"/>
      <c r="U47" s="6"/>
      <c r="W47" s="7"/>
      <c r="Z47" s="4"/>
    </row>
    <row r="48" spans="1:26" x14ac:dyDescent="0.3">
      <c r="A48" t="s">
        <v>419</v>
      </c>
      <c r="B48" s="16" t="s">
        <v>69</v>
      </c>
      <c r="C48" s="17" t="s">
        <v>11</v>
      </c>
      <c r="D48" s="18" t="s">
        <v>322</v>
      </c>
      <c r="E48" s="19">
        <v>68</v>
      </c>
      <c r="F48" t="s">
        <v>381</v>
      </c>
      <c r="G48" s="18" t="s">
        <v>13</v>
      </c>
      <c r="H48" s="18" t="s">
        <v>14</v>
      </c>
      <c r="I48" s="18">
        <v>36900</v>
      </c>
      <c r="J48" s="18">
        <v>2</v>
      </c>
      <c r="K48" s="19">
        <f t="shared" si="0"/>
        <v>73800</v>
      </c>
      <c r="L48" s="20">
        <v>45283</v>
      </c>
      <c r="M48" s="19" t="str">
        <f t="shared" si="1"/>
        <v>Saturday</v>
      </c>
      <c r="N48" s="18" t="str">
        <f t="shared" si="2"/>
        <v>Weekend</v>
      </c>
      <c r="Q48" s="19"/>
      <c r="R48" s="18"/>
      <c r="S48" s="21"/>
      <c r="T48"/>
      <c r="U48" s="6"/>
      <c r="W48" s="7"/>
      <c r="Z48" s="4"/>
    </row>
    <row r="49" spans="1:26" x14ac:dyDescent="0.3">
      <c r="A49" t="s">
        <v>420</v>
      </c>
      <c r="B49" s="22" t="s">
        <v>70</v>
      </c>
      <c r="C49" s="23" t="s">
        <v>11</v>
      </c>
      <c r="D49" s="24" t="s">
        <v>329</v>
      </c>
      <c r="E49" s="25">
        <v>44</v>
      </c>
      <c r="F49" t="s">
        <v>381</v>
      </c>
      <c r="G49" s="24" t="s">
        <v>26</v>
      </c>
      <c r="H49" s="24" t="s">
        <v>27</v>
      </c>
      <c r="I49" s="24">
        <v>24600</v>
      </c>
      <c r="J49" s="24">
        <v>3</v>
      </c>
      <c r="K49" s="25">
        <f t="shared" si="0"/>
        <v>73800</v>
      </c>
      <c r="L49" s="26">
        <v>45227</v>
      </c>
      <c r="M49" s="25" t="str">
        <f t="shared" si="1"/>
        <v>Saturday</v>
      </c>
      <c r="N49" s="24" t="str">
        <f t="shared" si="2"/>
        <v>Weekend</v>
      </c>
      <c r="Q49" s="25"/>
      <c r="R49" s="24"/>
      <c r="S49" s="27"/>
      <c r="T49"/>
      <c r="U49" s="6"/>
      <c r="W49" s="7"/>
      <c r="Z49" s="4"/>
    </row>
    <row r="50" spans="1:26" x14ac:dyDescent="0.3">
      <c r="A50" t="s">
        <v>421</v>
      </c>
      <c r="B50" s="16" t="s">
        <v>71</v>
      </c>
      <c r="C50" s="17" t="s">
        <v>20</v>
      </c>
      <c r="D50" s="18" t="s">
        <v>323</v>
      </c>
      <c r="E50" s="19">
        <v>67</v>
      </c>
      <c r="F50" t="s">
        <v>381</v>
      </c>
      <c r="G50" s="18" t="s">
        <v>24</v>
      </c>
      <c r="H50" s="18" t="s">
        <v>14</v>
      </c>
      <c r="I50" s="18">
        <v>184500</v>
      </c>
      <c r="J50" s="18">
        <v>4</v>
      </c>
      <c r="K50" s="19">
        <f t="shared" si="0"/>
        <v>738000</v>
      </c>
      <c r="L50" s="20">
        <v>45170</v>
      </c>
      <c r="M50" s="19" t="str">
        <f t="shared" si="1"/>
        <v>Friday</v>
      </c>
      <c r="N50" s="18" t="str">
        <f t="shared" si="2"/>
        <v>Weekend</v>
      </c>
      <c r="Q50" s="19"/>
      <c r="R50" s="18"/>
      <c r="S50" s="21"/>
      <c r="T50"/>
      <c r="U50" s="6"/>
      <c r="W50" s="7"/>
      <c r="Z50" s="4"/>
    </row>
    <row r="51" spans="1:26" x14ac:dyDescent="0.3">
      <c r="A51" t="s">
        <v>422</v>
      </c>
      <c r="B51" s="22" t="s">
        <v>72</v>
      </c>
      <c r="C51" s="23" t="s">
        <v>11</v>
      </c>
      <c r="D51" s="24" t="s">
        <v>328</v>
      </c>
      <c r="E51" s="25">
        <v>23</v>
      </c>
      <c r="F51" t="s">
        <v>370</v>
      </c>
      <c r="G51" s="24" t="s">
        <v>13</v>
      </c>
      <c r="H51" s="24" t="s">
        <v>14</v>
      </c>
      <c r="I51" s="24">
        <v>36900</v>
      </c>
      <c r="J51" s="24">
        <v>3</v>
      </c>
      <c r="K51" s="25">
        <f t="shared" si="0"/>
        <v>110700</v>
      </c>
      <c r="L51" s="26">
        <v>45032</v>
      </c>
      <c r="M51" s="25" t="str">
        <f t="shared" si="1"/>
        <v>Sunday</v>
      </c>
      <c r="N51" s="24" t="str">
        <f t="shared" si="2"/>
        <v>Weekday</v>
      </c>
      <c r="Q51" s="25"/>
      <c r="R51" s="24"/>
      <c r="S51" s="27"/>
      <c r="T51"/>
      <c r="U51" s="6"/>
      <c r="W51" s="7"/>
      <c r="Z51" s="4"/>
    </row>
    <row r="52" spans="1:26" x14ac:dyDescent="0.3">
      <c r="A52" t="s">
        <v>423</v>
      </c>
      <c r="B52" s="16" t="s">
        <v>73</v>
      </c>
      <c r="C52" s="17" t="s">
        <v>11</v>
      </c>
      <c r="D52" s="18" t="s">
        <v>322</v>
      </c>
      <c r="E52" s="19">
        <v>68</v>
      </c>
      <c r="F52" t="s">
        <v>381</v>
      </c>
      <c r="G52" s="18" t="s">
        <v>17</v>
      </c>
      <c r="H52" s="18" t="s">
        <v>18</v>
      </c>
      <c r="I52" s="18">
        <v>12300</v>
      </c>
      <c r="J52" s="18">
        <v>2</v>
      </c>
      <c r="K52" s="19">
        <f t="shared" si="0"/>
        <v>24600</v>
      </c>
      <c r="L52" s="20">
        <v>45273</v>
      </c>
      <c r="M52" s="19" t="str">
        <f t="shared" si="1"/>
        <v>Wednesday</v>
      </c>
      <c r="N52" s="18" t="str">
        <f t="shared" si="2"/>
        <v>Weekday</v>
      </c>
      <c r="Q52" s="19"/>
      <c r="R52" s="18"/>
      <c r="S52" s="21"/>
      <c r="T52"/>
      <c r="U52" s="6"/>
      <c r="W52" s="7"/>
      <c r="Z52" s="4"/>
    </row>
    <row r="53" spans="1:26" x14ac:dyDescent="0.3">
      <c r="A53" t="s">
        <v>424</v>
      </c>
      <c r="B53" s="22" t="s">
        <v>74</v>
      </c>
      <c r="C53" s="23" t="s">
        <v>20</v>
      </c>
      <c r="D53" s="24" t="s">
        <v>322</v>
      </c>
      <c r="E53" s="25">
        <v>42</v>
      </c>
      <c r="F53" t="s">
        <v>381</v>
      </c>
      <c r="G53" s="24" t="s">
        <v>13</v>
      </c>
      <c r="H53" s="24" t="s">
        <v>14</v>
      </c>
      <c r="I53" s="24">
        <v>36900</v>
      </c>
      <c r="J53" s="24">
        <v>4</v>
      </c>
      <c r="K53" s="25">
        <f t="shared" si="0"/>
        <v>147600</v>
      </c>
      <c r="L53" s="26">
        <v>45012</v>
      </c>
      <c r="M53" s="25" t="str">
        <f t="shared" si="1"/>
        <v>Monday</v>
      </c>
      <c r="N53" s="24" t="str">
        <f t="shared" si="2"/>
        <v>Weekday</v>
      </c>
      <c r="Q53" s="25"/>
      <c r="R53" s="24"/>
      <c r="S53" s="27"/>
      <c r="T53"/>
      <c r="U53" s="6"/>
      <c r="W53" s="7"/>
      <c r="Z53" s="4"/>
    </row>
    <row r="54" spans="1:26" x14ac:dyDescent="0.3">
      <c r="A54" t="s">
        <v>425</v>
      </c>
      <c r="B54" s="16" t="s">
        <v>75</v>
      </c>
      <c r="C54" s="17" t="s">
        <v>11</v>
      </c>
      <c r="D54" s="18" t="s">
        <v>322</v>
      </c>
      <c r="E54" s="19">
        <v>51</v>
      </c>
      <c r="F54" t="s">
        <v>370</v>
      </c>
      <c r="G54" s="18" t="s">
        <v>24</v>
      </c>
      <c r="H54" s="18" t="s">
        <v>14</v>
      </c>
      <c r="I54" s="18">
        <v>184500</v>
      </c>
      <c r="J54" s="18">
        <v>2</v>
      </c>
      <c r="K54" s="19">
        <f t="shared" si="0"/>
        <v>369000</v>
      </c>
      <c r="L54" s="20">
        <v>45246</v>
      </c>
      <c r="M54" s="19" t="str">
        <f t="shared" si="1"/>
        <v>Thursday</v>
      </c>
      <c r="N54" s="18" t="str">
        <f t="shared" si="2"/>
        <v>Weekday</v>
      </c>
      <c r="Q54" s="19"/>
      <c r="R54" s="18"/>
      <c r="S54" s="21"/>
      <c r="T54"/>
      <c r="U54" s="6"/>
      <c r="W54" s="7"/>
      <c r="Z54" s="4"/>
    </row>
    <row r="55" spans="1:26" x14ac:dyDescent="0.3">
      <c r="A55" t="s">
        <v>426</v>
      </c>
      <c r="B55" s="22" t="s">
        <v>65</v>
      </c>
      <c r="C55" s="23" t="s">
        <v>11</v>
      </c>
      <c r="D55" s="24" t="s">
        <v>326</v>
      </c>
      <c r="E55" s="25">
        <v>61</v>
      </c>
      <c r="F55" t="s">
        <v>370</v>
      </c>
      <c r="G55" s="24" t="s">
        <v>24</v>
      </c>
      <c r="H55" s="24" t="s">
        <v>14</v>
      </c>
      <c r="I55" s="24">
        <v>184500</v>
      </c>
      <c r="J55" s="24">
        <v>2</v>
      </c>
      <c r="K55" s="25">
        <f t="shared" si="0"/>
        <v>369000</v>
      </c>
      <c r="L55" s="26">
        <v>45091</v>
      </c>
      <c r="M55" s="25" t="str">
        <f t="shared" si="1"/>
        <v>Wednesday</v>
      </c>
      <c r="N55" s="24" t="str">
        <f t="shared" si="2"/>
        <v>Weekday</v>
      </c>
      <c r="Q55" s="25"/>
      <c r="R55" s="24"/>
      <c r="S55" s="27"/>
      <c r="T55"/>
      <c r="U55" s="6"/>
      <c r="W55" s="7"/>
      <c r="Z55" s="4"/>
    </row>
    <row r="56" spans="1:26" x14ac:dyDescent="0.3">
      <c r="A56" t="s">
        <v>427</v>
      </c>
      <c r="B56" s="16" t="s">
        <v>76</v>
      </c>
      <c r="C56" s="17" t="s">
        <v>366</v>
      </c>
      <c r="D56" s="18" t="s">
        <v>322</v>
      </c>
      <c r="E56" s="19">
        <v>46</v>
      </c>
      <c r="F56" t="s">
        <v>373</v>
      </c>
      <c r="G56" s="18" t="s">
        <v>42</v>
      </c>
      <c r="H56" s="18" t="s">
        <v>14</v>
      </c>
      <c r="I56" s="18">
        <v>98400</v>
      </c>
      <c r="J56" s="18">
        <v>5</v>
      </c>
      <c r="K56" s="19">
        <f t="shared" si="0"/>
        <v>492000</v>
      </c>
      <c r="L56" s="20">
        <v>44952</v>
      </c>
      <c r="M56" s="19" t="str">
        <f t="shared" si="1"/>
        <v>Thursday</v>
      </c>
      <c r="N56" s="18" t="str">
        <f t="shared" si="2"/>
        <v>Weekday</v>
      </c>
      <c r="Q56" s="19"/>
      <c r="R56" s="18"/>
      <c r="S56" s="21"/>
      <c r="T56"/>
      <c r="U56" s="6"/>
      <c r="W56" s="7"/>
      <c r="Z56" s="4"/>
    </row>
    <row r="57" spans="1:26" x14ac:dyDescent="0.3">
      <c r="A57" t="s">
        <v>428</v>
      </c>
      <c r="B57" s="22" t="s">
        <v>77</v>
      </c>
      <c r="C57" s="23" t="s">
        <v>366</v>
      </c>
      <c r="D57" s="24" t="s">
        <v>322</v>
      </c>
      <c r="E57" s="25">
        <v>49</v>
      </c>
      <c r="F57" t="s">
        <v>375</v>
      </c>
      <c r="G57" s="24" t="s">
        <v>31</v>
      </c>
      <c r="H57" s="24" t="s">
        <v>18</v>
      </c>
      <c r="I57" s="24">
        <v>6150</v>
      </c>
      <c r="J57" s="24">
        <v>4</v>
      </c>
      <c r="K57" s="25">
        <f t="shared" si="0"/>
        <v>24600</v>
      </c>
      <c r="L57" s="26">
        <v>45285</v>
      </c>
      <c r="M57" s="25" t="str">
        <f t="shared" si="1"/>
        <v>Monday</v>
      </c>
      <c r="N57" s="24" t="str">
        <f t="shared" si="2"/>
        <v>Weekday</v>
      </c>
      <c r="Q57" s="25"/>
      <c r="R57" s="24"/>
      <c r="S57" s="27"/>
      <c r="T57"/>
      <c r="U57" s="6"/>
      <c r="W57" s="7"/>
      <c r="Z57" s="4"/>
    </row>
    <row r="58" spans="1:26" x14ac:dyDescent="0.3">
      <c r="A58" t="s">
        <v>429</v>
      </c>
      <c r="B58" s="16" t="s">
        <v>78</v>
      </c>
      <c r="C58" s="17" t="s">
        <v>366</v>
      </c>
      <c r="D58" s="18" t="s">
        <v>322</v>
      </c>
      <c r="E58" s="19">
        <v>62</v>
      </c>
      <c r="F58" t="s">
        <v>370</v>
      </c>
      <c r="G58" s="18" t="s">
        <v>31</v>
      </c>
      <c r="H58" s="18" t="s">
        <v>18</v>
      </c>
      <c r="I58" s="18">
        <v>6150</v>
      </c>
      <c r="J58" s="18">
        <v>4</v>
      </c>
      <c r="K58" s="19">
        <f t="shared" si="0"/>
        <v>24600</v>
      </c>
      <c r="L58" s="20">
        <v>45198</v>
      </c>
      <c r="M58" s="19" t="str">
        <f t="shared" si="1"/>
        <v>Friday</v>
      </c>
      <c r="N58" s="18" t="str">
        <f t="shared" si="2"/>
        <v>Weekend</v>
      </c>
      <c r="Q58" s="19"/>
      <c r="R58" s="18"/>
      <c r="S58" s="21"/>
      <c r="T58"/>
      <c r="U58" s="6"/>
      <c r="W58" s="7"/>
      <c r="Z58" s="4"/>
    </row>
    <row r="59" spans="1:26" x14ac:dyDescent="0.3">
      <c r="A59" t="s">
        <v>430</v>
      </c>
      <c r="B59" s="22" t="s">
        <v>79</v>
      </c>
      <c r="C59" s="23" t="s">
        <v>11</v>
      </c>
      <c r="D59" s="24" t="s">
        <v>324</v>
      </c>
      <c r="E59" s="25">
        <v>54</v>
      </c>
      <c r="F59" t="s">
        <v>375</v>
      </c>
      <c r="G59" s="24" t="s">
        <v>24</v>
      </c>
      <c r="H59" s="24" t="s">
        <v>14</v>
      </c>
      <c r="I59" s="24">
        <v>184500</v>
      </c>
      <c r="J59" s="24">
        <v>1</v>
      </c>
      <c r="K59" s="25">
        <f t="shared" si="0"/>
        <v>184500</v>
      </c>
      <c r="L59" s="26">
        <v>44999</v>
      </c>
      <c r="M59" s="25" t="str">
        <f t="shared" si="1"/>
        <v>Tuesday</v>
      </c>
      <c r="N59" s="24" t="str">
        <f t="shared" si="2"/>
        <v>Weekday</v>
      </c>
      <c r="Q59" s="25"/>
      <c r="R59" s="24"/>
      <c r="S59" s="27"/>
      <c r="T59"/>
      <c r="U59" s="6"/>
      <c r="W59" s="7"/>
      <c r="Z59" s="4"/>
    </row>
    <row r="60" spans="1:26" x14ac:dyDescent="0.3">
      <c r="A60" t="s">
        <v>431</v>
      </c>
      <c r="B60" s="16" t="s">
        <v>80</v>
      </c>
      <c r="C60" s="17" t="s">
        <v>366</v>
      </c>
      <c r="D60" s="18" t="s">
        <v>325</v>
      </c>
      <c r="E60" s="19">
        <v>67</v>
      </c>
      <c r="F60" t="s">
        <v>373</v>
      </c>
      <c r="G60" s="18" t="s">
        <v>17</v>
      </c>
      <c r="H60" s="18" t="s">
        <v>18</v>
      </c>
      <c r="I60" s="18">
        <v>12300</v>
      </c>
      <c r="J60" s="18">
        <v>2</v>
      </c>
      <c r="K60" s="19">
        <f t="shared" si="0"/>
        <v>24600</v>
      </c>
      <c r="L60" s="20">
        <v>45274</v>
      </c>
      <c r="M60" s="19" t="str">
        <f t="shared" si="1"/>
        <v>Thursday</v>
      </c>
      <c r="N60" s="18" t="str">
        <f t="shared" si="2"/>
        <v>Weekday</v>
      </c>
      <c r="Q60" s="19"/>
      <c r="R60" s="18"/>
      <c r="S60" s="21"/>
      <c r="T60"/>
      <c r="U60" s="6"/>
      <c r="W60" s="7"/>
      <c r="Z60" s="4"/>
    </row>
    <row r="61" spans="1:26" x14ac:dyDescent="0.3">
      <c r="A61" t="s">
        <v>432</v>
      </c>
      <c r="B61" s="22" t="s">
        <v>81</v>
      </c>
      <c r="C61" s="23" t="s">
        <v>366</v>
      </c>
      <c r="D61" s="24" t="s">
        <v>322</v>
      </c>
      <c r="E61" s="25">
        <v>52</v>
      </c>
      <c r="F61" t="s">
        <v>373</v>
      </c>
      <c r="G61" s="24" t="s">
        <v>24</v>
      </c>
      <c r="H61" s="24" t="s">
        <v>14</v>
      </c>
      <c r="I61" s="24">
        <v>184500</v>
      </c>
      <c r="J61" s="24">
        <v>5</v>
      </c>
      <c r="K61" s="25">
        <f t="shared" si="0"/>
        <v>922500</v>
      </c>
      <c r="L61" s="26">
        <v>45186</v>
      </c>
      <c r="M61" s="25" t="str">
        <f t="shared" si="1"/>
        <v>Sunday</v>
      </c>
      <c r="N61" s="24" t="str">
        <f t="shared" si="2"/>
        <v>Weekday</v>
      </c>
      <c r="Q61" s="25"/>
      <c r="R61" s="24"/>
      <c r="S61" s="27"/>
      <c r="T61"/>
      <c r="U61" s="6"/>
      <c r="W61" s="7"/>
      <c r="Z61" s="4"/>
    </row>
    <row r="62" spans="1:26" x14ac:dyDescent="0.3">
      <c r="A62" t="s">
        <v>433</v>
      </c>
      <c r="B62" s="16" t="s">
        <v>82</v>
      </c>
      <c r="C62" s="17" t="s">
        <v>11</v>
      </c>
      <c r="D62" s="18" t="s">
        <v>322</v>
      </c>
      <c r="E62" s="19">
        <v>64</v>
      </c>
      <c r="F62" t="s">
        <v>381</v>
      </c>
      <c r="G62" s="18" t="s">
        <v>42</v>
      </c>
      <c r="H62" s="18" t="s">
        <v>14</v>
      </c>
      <c r="I62" s="18">
        <v>98400</v>
      </c>
      <c r="J62" s="18">
        <v>4</v>
      </c>
      <c r="K62" s="19">
        <f t="shared" si="0"/>
        <v>393600</v>
      </c>
      <c r="L62" s="20">
        <v>45146</v>
      </c>
      <c r="M62" s="19" t="str">
        <f t="shared" si="1"/>
        <v>Tuesday</v>
      </c>
      <c r="N62" s="18" t="str">
        <f t="shared" si="2"/>
        <v>Weekday</v>
      </c>
      <c r="Q62" s="19"/>
      <c r="R62" s="18"/>
      <c r="S62" s="21"/>
      <c r="T62"/>
      <c r="U62" s="6"/>
      <c r="W62" s="7"/>
      <c r="Z62" s="4"/>
    </row>
    <row r="63" spans="1:26" x14ac:dyDescent="0.3">
      <c r="A63" t="s">
        <v>434</v>
      </c>
      <c r="B63" s="22" t="s">
        <v>83</v>
      </c>
      <c r="C63" s="23" t="s">
        <v>11</v>
      </c>
      <c r="D63" s="24" t="s">
        <v>323</v>
      </c>
      <c r="E63" s="25">
        <v>33</v>
      </c>
      <c r="F63" t="s">
        <v>373</v>
      </c>
      <c r="G63" s="24" t="s">
        <v>13</v>
      </c>
      <c r="H63" s="24" t="s">
        <v>14</v>
      </c>
      <c r="I63" s="24">
        <v>36900</v>
      </c>
      <c r="J63" s="24">
        <v>4</v>
      </c>
      <c r="K63" s="25">
        <f t="shared" si="0"/>
        <v>147600</v>
      </c>
      <c r="L63" s="26">
        <v>45028</v>
      </c>
      <c r="M63" s="25" t="str">
        <f t="shared" si="1"/>
        <v>Wednesday</v>
      </c>
      <c r="N63" s="24" t="str">
        <f t="shared" si="2"/>
        <v>Weekday</v>
      </c>
      <c r="Q63" s="25"/>
      <c r="R63" s="24"/>
      <c r="S63" s="27"/>
      <c r="T63"/>
      <c r="U63" s="6"/>
      <c r="W63" s="7"/>
      <c r="Z63" s="4"/>
    </row>
    <row r="64" spans="1:26" x14ac:dyDescent="0.3">
      <c r="A64" t="s">
        <v>435</v>
      </c>
      <c r="B64" s="16" t="s">
        <v>84</v>
      </c>
      <c r="C64" s="17" t="s">
        <v>20</v>
      </c>
      <c r="D64" s="18" t="s">
        <v>322</v>
      </c>
      <c r="E64" s="19">
        <v>24</v>
      </c>
      <c r="F64" t="s">
        <v>381</v>
      </c>
      <c r="G64" s="18" t="s">
        <v>17</v>
      </c>
      <c r="H64" s="18" t="s">
        <v>18</v>
      </c>
      <c r="I64" s="18">
        <v>12300</v>
      </c>
      <c r="J64" s="18">
        <v>3</v>
      </c>
      <c r="K64" s="19">
        <f t="shared" si="0"/>
        <v>36900</v>
      </c>
      <c r="L64" s="20">
        <v>44978</v>
      </c>
      <c r="M64" s="19" t="str">
        <f t="shared" si="1"/>
        <v>Tuesday</v>
      </c>
      <c r="N64" s="18" t="str">
        <f t="shared" si="2"/>
        <v>Weekday</v>
      </c>
      <c r="Q64" s="19"/>
      <c r="R64" s="18"/>
      <c r="S64" s="21"/>
      <c r="T64"/>
      <c r="U64" s="6"/>
      <c r="W64" s="7"/>
      <c r="Z64" s="4"/>
    </row>
    <row r="65" spans="1:26" x14ac:dyDescent="0.3">
      <c r="A65" t="s">
        <v>436</v>
      </c>
      <c r="B65" s="22" t="s">
        <v>85</v>
      </c>
      <c r="C65" s="23" t="s">
        <v>11</v>
      </c>
      <c r="D65" s="24" t="s">
        <v>326</v>
      </c>
      <c r="E65" s="25">
        <v>36</v>
      </c>
      <c r="F65" t="s">
        <v>381</v>
      </c>
      <c r="G65" s="24" t="s">
        <v>17</v>
      </c>
      <c r="H65" s="24" t="s">
        <v>18</v>
      </c>
      <c r="I65" s="24">
        <v>12300</v>
      </c>
      <c r="J65" s="24">
        <v>2</v>
      </c>
      <c r="K65" s="25">
        <f t="shared" si="0"/>
        <v>24600</v>
      </c>
      <c r="L65" s="26">
        <v>45233</v>
      </c>
      <c r="M65" s="25" t="str">
        <f t="shared" si="1"/>
        <v>Friday</v>
      </c>
      <c r="N65" s="24" t="str">
        <f t="shared" si="2"/>
        <v>Weekend</v>
      </c>
      <c r="Q65" s="25"/>
      <c r="R65" s="24"/>
      <c r="S65" s="27"/>
      <c r="T65"/>
      <c r="U65" s="6"/>
      <c r="W65" s="7"/>
      <c r="Z65" s="4"/>
    </row>
    <row r="66" spans="1:26" x14ac:dyDescent="0.3">
      <c r="A66" t="s">
        <v>437</v>
      </c>
      <c r="B66" s="16" t="s">
        <v>66</v>
      </c>
      <c r="C66" s="17" t="s">
        <v>11</v>
      </c>
      <c r="D66" s="18" t="s">
        <v>322</v>
      </c>
      <c r="E66" s="19">
        <v>19</v>
      </c>
      <c r="F66" t="s">
        <v>370</v>
      </c>
      <c r="G66" s="18" t="s">
        <v>13</v>
      </c>
      <c r="H66" s="18" t="s">
        <v>14</v>
      </c>
      <c r="I66" s="18">
        <v>36900</v>
      </c>
      <c r="J66" s="18">
        <v>5</v>
      </c>
      <c r="K66" s="19">
        <f t="shared" ref="K66:K129" si="3">I66*J66</f>
        <v>184500</v>
      </c>
      <c r="L66" s="20">
        <v>44942</v>
      </c>
      <c r="M66" s="19" t="str">
        <f t="shared" ref="M66:M129" si="4">TEXT(L66, "dddd")</f>
        <v>Monday</v>
      </c>
      <c r="N66" s="18" t="str">
        <f t="shared" ref="N66:N129" si="5">IF(OR(WEEKDAY(L66, 2)=5, WEEKDAY(L66, 2)=6), "Weekend", "Weekday")</f>
        <v>Weekday</v>
      </c>
      <c r="Q66" s="19"/>
      <c r="R66" s="18"/>
      <c r="S66" s="21"/>
      <c r="T66"/>
      <c r="U66" s="6"/>
      <c r="W66" s="7"/>
      <c r="Z66" s="4"/>
    </row>
    <row r="67" spans="1:26" x14ac:dyDescent="0.3">
      <c r="A67" t="s">
        <v>438</v>
      </c>
      <c r="B67" s="22" t="s">
        <v>249</v>
      </c>
      <c r="C67" s="23" t="s">
        <v>20</v>
      </c>
      <c r="D67" s="24" t="s">
        <v>322</v>
      </c>
      <c r="E67" s="25">
        <v>37</v>
      </c>
      <c r="F67" t="s">
        <v>370</v>
      </c>
      <c r="G67" s="24" t="s">
        <v>32</v>
      </c>
      <c r="H67" s="24" t="s">
        <v>18</v>
      </c>
      <c r="I67" s="24">
        <v>3690</v>
      </c>
      <c r="J67" s="24">
        <v>4</v>
      </c>
      <c r="K67" s="25">
        <f t="shared" si="3"/>
        <v>14760</v>
      </c>
      <c r="L67" s="26">
        <v>45363</v>
      </c>
      <c r="M67" s="25" t="str">
        <f t="shared" si="4"/>
        <v>Tuesday</v>
      </c>
      <c r="N67" s="24" t="str">
        <f t="shared" si="5"/>
        <v>Weekday</v>
      </c>
      <c r="Q67" s="25"/>
      <c r="R67" s="24"/>
      <c r="S67" s="27"/>
      <c r="T67"/>
      <c r="U67" s="6"/>
      <c r="W67" s="7"/>
      <c r="Z67" s="4"/>
    </row>
    <row r="68" spans="1:26" x14ac:dyDescent="0.3">
      <c r="A68" t="s">
        <v>439</v>
      </c>
      <c r="B68" s="16" t="s">
        <v>87</v>
      </c>
      <c r="C68" s="17" t="s">
        <v>20</v>
      </c>
      <c r="D68" s="18" t="s">
        <v>322</v>
      </c>
      <c r="E68" s="19">
        <v>41</v>
      </c>
      <c r="F68" t="s">
        <v>375</v>
      </c>
      <c r="G68" s="18" t="s">
        <v>17</v>
      </c>
      <c r="H68" s="18" t="s">
        <v>18</v>
      </c>
      <c r="I68" s="18">
        <v>12300</v>
      </c>
      <c r="J68" s="18">
        <v>2</v>
      </c>
      <c r="K68" s="19">
        <f t="shared" si="3"/>
        <v>24600</v>
      </c>
      <c r="L68" s="20">
        <v>44962</v>
      </c>
      <c r="M68" s="19" t="str">
        <f t="shared" si="4"/>
        <v>Sunday</v>
      </c>
      <c r="N68" s="18" t="str">
        <f t="shared" si="5"/>
        <v>Weekday</v>
      </c>
      <c r="Q68" s="19"/>
      <c r="R68" s="18"/>
      <c r="S68" s="21"/>
      <c r="T68"/>
      <c r="U68" s="6"/>
      <c r="W68" s="7"/>
      <c r="Z68" s="4"/>
    </row>
    <row r="69" spans="1:26" x14ac:dyDescent="0.3">
      <c r="A69" t="s">
        <v>440</v>
      </c>
      <c r="B69" s="22" t="s">
        <v>88</v>
      </c>
      <c r="C69" s="23" t="s">
        <v>20</v>
      </c>
      <c r="D69" s="24" t="s">
        <v>323</v>
      </c>
      <c r="E69" s="25">
        <v>61</v>
      </c>
      <c r="F69" t="s">
        <v>381</v>
      </c>
      <c r="G69" s="24" t="s">
        <v>42</v>
      </c>
      <c r="H69" s="24" t="s">
        <v>14</v>
      </c>
      <c r="I69" s="24">
        <v>98400</v>
      </c>
      <c r="J69" s="24">
        <v>4</v>
      </c>
      <c r="K69" s="25">
        <f t="shared" si="3"/>
        <v>393600</v>
      </c>
      <c r="L69" s="26">
        <v>44964</v>
      </c>
      <c r="M69" s="25" t="str">
        <f t="shared" si="4"/>
        <v>Tuesday</v>
      </c>
      <c r="N69" s="24" t="str">
        <f t="shared" si="5"/>
        <v>Weekday</v>
      </c>
      <c r="Q69" s="25"/>
      <c r="R69" s="24"/>
      <c r="S69" s="27"/>
      <c r="T69"/>
      <c r="U69" s="6"/>
      <c r="W69" s="7"/>
      <c r="Z69" s="4"/>
    </row>
    <row r="70" spans="1:26" x14ac:dyDescent="0.3">
      <c r="A70" t="s">
        <v>441</v>
      </c>
      <c r="B70" s="16" t="s">
        <v>59</v>
      </c>
      <c r="C70" s="17" t="s">
        <v>11</v>
      </c>
      <c r="D70" s="18" t="s">
        <v>322</v>
      </c>
      <c r="E70" s="19">
        <v>41</v>
      </c>
      <c r="F70" t="s">
        <v>381</v>
      </c>
      <c r="G70" s="18" t="s">
        <v>31</v>
      </c>
      <c r="H70" s="18" t="s">
        <v>18</v>
      </c>
      <c r="I70" s="18">
        <v>6150</v>
      </c>
      <c r="J70" s="18">
        <v>4</v>
      </c>
      <c r="K70" s="19">
        <f t="shared" si="3"/>
        <v>24600</v>
      </c>
      <c r="L70" s="20">
        <v>45019</v>
      </c>
      <c r="M70" s="19" t="str">
        <f t="shared" si="4"/>
        <v>Monday</v>
      </c>
      <c r="N70" s="18" t="str">
        <f t="shared" si="5"/>
        <v>Weekday</v>
      </c>
      <c r="Q70" s="19"/>
      <c r="R70" s="18"/>
      <c r="S70" s="21"/>
      <c r="T70"/>
      <c r="U70" s="6"/>
      <c r="W70" s="7"/>
      <c r="Z70" s="4"/>
    </row>
    <row r="71" spans="1:26" x14ac:dyDescent="0.3">
      <c r="A71" t="s">
        <v>442</v>
      </c>
      <c r="B71" s="22" t="s">
        <v>89</v>
      </c>
      <c r="C71" s="23" t="s">
        <v>366</v>
      </c>
      <c r="D71" s="24" t="s">
        <v>326</v>
      </c>
      <c r="E71" s="25">
        <v>21</v>
      </c>
      <c r="F71" t="s">
        <v>375</v>
      </c>
      <c r="G71" s="24" t="s">
        <v>32</v>
      </c>
      <c r="H71" s="24" t="s">
        <v>18</v>
      </c>
      <c r="I71" s="24">
        <v>3690</v>
      </c>
      <c r="J71" s="24">
        <v>1</v>
      </c>
      <c r="K71" s="25">
        <f t="shared" si="3"/>
        <v>3690</v>
      </c>
      <c r="L71" s="26">
        <v>45222</v>
      </c>
      <c r="M71" s="25" t="str">
        <f t="shared" si="4"/>
        <v>Monday</v>
      </c>
      <c r="N71" s="24" t="str">
        <f t="shared" si="5"/>
        <v>Weekday</v>
      </c>
      <c r="Q71" s="25"/>
      <c r="R71" s="24"/>
      <c r="S71" s="27"/>
      <c r="T71"/>
      <c r="U71" s="6"/>
      <c r="W71" s="7"/>
      <c r="Z71" s="4"/>
    </row>
    <row r="72" spans="1:26" x14ac:dyDescent="0.3">
      <c r="A72" t="s">
        <v>443</v>
      </c>
      <c r="B72" s="16" t="s">
        <v>90</v>
      </c>
      <c r="C72" s="17" t="s">
        <v>20</v>
      </c>
      <c r="D72" s="18" t="s">
        <v>323</v>
      </c>
      <c r="E72" s="19">
        <v>50</v>
      </c>
      <c r="F72" t="s">
        <v>381</v>
      </c>
      <c r="G72" s="18" t="s">
        <v>31</v>
      </c>
      <c r="H72" s="18" t="s">
        <v>18</v>
      </c>
      <c r="I72" s="18">
        <v>6150</v>
      </c>
      <c r="J72" s="18">
        <v>2</v>
      </c>
      <c r="K72" s="19">
        <f t="shared" si="3"/>
        <v>12300</v>
      </c>
      <c r="L72" s="20">
        <v>45132</v>
      </c>
      <c r="M72" s="19" t="str">
        <f t="shared" si="4"/>
        <v>Tuesday</v>
      </c>
      <c r="N72" s="18" t="str">
        <f t="shared" si="5"/>
        <v>Weekday</v>
      </c>
      <c r="Q72" s="19"/>
      <c r="R72" s="18"/>
      <c r="S72" s="21"/>
      <c r="T72"/>
      <c r="U72" s="6"/>
      <c r="W72" s="7"/>
      <c r="Z72" s="4"/>
    </row>
    <row r="73" spans="1:26" x14ac:dyDescent="0.3">
      <c r="A73" t="s">
        <v>444</v>
      </c>
      <c r="B73" s="22" t="s">
        <v>91</v>
      </c>
      <c r="C73" s="23" t="s">
        <v>11</v>
      </c>
      <c r="D73" s="24" t="s">
        <v>324</v>
      </c>
      <c r="E73" s="25">
        <v>48</v>
      </c>
      <c r="F73" t="s">
        <v>373</v>
      </c>
      <c r="G73" s="24" t="s">
        <v>24</v>
      </c>
      <c r="H73" s="24" t="s">
        <v>14</v>
      </c>
      <c r="I73" s="24">
        <v>184500</v>
      </c>
      <c r="J73" s="24">
        <v>5</v>
      </c>
      <c r="K73" s="25">
        <f t="shared" si="3"/>
        <v>922500</v>
      </c>
      <c r="L73" s="26">
        <v>45200</v>
      </c>
      <c r="M73" s="25" t="str">
        <f t="shared" si="4"/>
        <v>Sunday</v>
      </c>
      <c r="N73" s="24" t="str">
        <f t="shared" si="5"/>
        <v>Weekday</v>
      </c>
      <c r="Q73" s="25"/>
      <c r="R73" s="24"/>
      <c r="S73" s="27"/>
      <c r="T73"/>
      <c r="U73" s="6"/>
      <c r="W73" s="7"/>
      <c r="Z73" s="4"/>
    </row>
    <row r="74" spans="1:26" x14ac:dyDescent="0.3">
      <c r="A74" t="s">
        <v>445</v>
      </c>
      <c r="B74" s="16" t="s">
        <v>92</v>
      </c>
      <c r="C74" s="17" t="s">
        <v>11</v>
      </c>
      <c r="D74" s="18" t="s">
        <v>323</v>
      </c>
      <c r="E74" s="19">
        <v>50</v>
      </c>
      <c r="F74" t="s">
        <v>381</v>
      </c>
      <c r="G74" s="18" t="s">
        <v>31</v>
      </c>
      <c r="H74" s="18" t="s">
        <v>18</v>
      </c>
      <c r="I74" s="18">
        <v>6150</v>
      </c>
      <c r="J74" s="18">
        <v>5</v>
      </c>
      <c r="K74" s="19">
        <f t="shared" si="3"/>
        <v>30750</v>
      </c>
      <c r="L74" s="20">
        <v>45004</v>
      </c>
      <c r="M74" s="19" t="str">
        <f t="shared" si="4"/>
        <v>Sunday</v>
      </c>
      <c r="N74" s="18" t="str">
        <f t="shared" si="5"/>
        <v>Weekday</v>
      </c>
      <c r="Q74" s="19"/>
      <c r="R74" s="18"/>
      <c r="S74" s="21"/>
      <c r="T74"/>
      <c r="U74" s="6"/>
      <c r="W74" s="7"/>
      <c r="Z74" s="4"/>
    </row>
    <row r="75" spans="1:26" x14ac:dyDescent="0.3">
      <c r="A75" t="s">
        <v>446</v>
      </c>
      <c r="B75" s="22" t="s">
        <v>93</v>
      </c>
      <c r="C75" s="23" t="s">
        <v>366</v>
      </c>
      <c r="D75" s="24" t="s">
        <v>327</v>
      </c>
      <c r="E75" s="25">
        <v>54</v>
      </c>
      <c r="F75" t="s">
        <v>381</v>
      </c>
      <c r="G75" s="24" t="s">
        <v>31</v>
      </c>
      <c r="H75" s="24" t="s">
        <v>18</v>
      </c>
      <c r="I75" s="24">
        <v>6150</v>
      </c>
      <c r="J75" s="24">
        <v>4</v>
      </c>
      <c r="K75" s="25">
        <f t="shared" si="3"/>
        <v>24600</v>
      </c>
      <c r="L75" s="26">
        <v>45204</v>
      </c>
      <c r="M75" s="25" t="str">
        <f t="shared" si="4"/>
        <v>Thursday</v>
      </c>
      <c r="N75" s="24" t="str">
        <f t="shared" si="5"/>
        <v>Weekday</v>
      </c>
      <c r="Q75" s="25"/>
      <c r="R75" s="24"/>
      <c r="S75" s="27"/>
      <c r="T75"/>
      <c r="U75" s="6"/>
      <c r="W75" s="7"/>
      <c r="Z75" s="4"/>
    </row>
    <row r="76" spans="1:26" x14ac:dyDescent="0.3">
      <c r="A76" t="s">
        <v>447</v>
      </c>
      <c r="B76" s="16" t="s">
        <v>60</v>
      </c>
      <c r="C76" s="17" t="s">
        <v>20</v>
      </c>
      <c r="D76" s="18" t="s">
        <v>322</v>
      </c>
      <c r="E76" s="19">
        <v>64</v>
      </c>
      <c r="F76" t="s">
        <v>381</v>
      </c>
      <c r="G76" s="18" t="s">
        <v>31</v>
      </c>
      <c r="H76" s="18" t="s">
        <v>18</v>
      </c>
      <c r="I76" s="18">
        <v>6150</v>
      </c>
      <c r="J76" s="18">
        <v>3</v>
      </c>
      <c r="K76" s="19">
        <f t="shared" si="3"/>
        <v>18450</v>
      </c>
      <c r="L76" s="20">
        <v>45027</v>
      </c>
      <c r="M76" s="19" t="str">
        <f t="shared" si="4"/>
        <v>Tuesday</v>
      </c>
      <c r="N76" s="18" t="str">
        <f t="shared" si="5"/>
        <v>Weekday</v>
      </c>
      <c r="Q76" s="19"/>
      <c r="R76" s="18"/>
      <c r="S76" s="21"/>
      <c r="T76"/>
      <c r="U76" s="6"/>
      <c r="W76" s="7"/>
      <c r="Z76" s="4"/>
    </row>
    <row r="77" spans="1:26" x14ac:dyDescent="0.3">
      <c r="A77" t="s">
        <v>448</v>
      </c>
      <c r="B77" s="22" t="s">
        <v>94</v>
      </c>
      <c r="C77" s="23" t="s">
        <v>11</v>
      </c>
      <c r="D77" s="24" t="s">
        <v>326</v>
      </c>
      <c r="E77" s="25">
        <v>63</v>
      </c>
      <c r="F77" t="s">
        <v>370</v>
      </c>
      <c r="G77" s="24" t="s">
        <v>32</v>
      </c>
      <c r="H77" s="24" t="s">
        <v>18</v>
      </c>
      <c r="I77" s="24">
        <v>3690</v>
      </c>
      <c r="J77" s="24">
        <v>1</v>
      </c>
      <c r="K77" s="25">
        <f t="shared" si="3"/>
        <v>3690</v>
      </c>
      <c r="L77" s="26">
        <v>45180</v>
      </c>
      <c r="M77" s="25" t="str">
        <f t="shared" si="4"/>
        <v>Monday</v>
      </c>
      <c r="N77" s="24" t="str">
        <f t="shared" si="5"/>
        <v>Weekday</v>
      </c>
      <c r="Q77" s="25"/>
      <c r="R77" s="24"/>
      <c r="S77" s="27"/>
      <c r="T77"/>
      <c r="U77" s="6"/>
      <c r="W77" s="7"/>
      <c r="Z77" s="4"/>
    </row>
    <row r="78" spans="1:26" x14ac:dyDescent="0.3">
      <c r="A78" t="s">
        <v>449</v>
      </c>
      <c r="B78" s="16" t="s">
        <v>95</v>
      </c>
      <c r="C78" s="17" t="s">
        <v>11</v>
      </c>
      <c r="D78" s="18" t="s">
        <v>322</v>
      </c>
      <c r="E78" s="19">
        <v>47</v>
      </c>
      <c r="F78" t="s">
        <v>373</v>
      </c>
      <c r="G78" s="18" t="s">
        <v>42</v>
      </c>
      <c r="H78" s="18" t="s">
        <v>14</v>
      </c>
      <c r="I78" s="18">
        <v>98400</v>
      </c>
      <c r="J78" s="18">
        <v>1</v>
      </c>
      <c r="K78" s="19">
        <f t="shared" si="3"/>
        <v>98400</v>
      </c>
      <c r="L78" s="20">
        <v>45227</v>
      </c>
      <c r="M78" s="19" t="str">
        <f t="shared" si="4"/>
        <v>Saturday</v>
      </c>
      <c r="N78" s="18" t="str">
        <f t="shared" si="5"/>
        <v>Weekend</v>
      </c>
      <c r="Q78" s="19"/>
      <c r="R78" s="18"/>
      <c r="S78" s="21"/>
      <c r="T78"/>
      <c r="U78" s="6"/>
      <c r="W78" s="7"/>
      <c r="Z78" s="4"/>
    </row>
    <row r="79" spans="1:26" x14ac:dyDescent="0.3">
      <c r="A79" t="s">
        <v>450</v>
      </c>
      <c r="B79" s="22" t="s">
        <v>96</v>
      </c>
      <c r="C79" s="23" t="s">
        <v>11</v>
      </c>
      <c r="D79" s="24" t="s">
        <v>322</v>
      </c>
      <c r="E79" s="25">
        <v>45</v>
      </c>
      <c r="F79" t="s">
        <v>381</v>
      </c>
      <c r="G79" s="24" t="s">
        <v>31</v>
      </c>
      <c r="H79" s="24" t="s">
        <v>18</v>
      </c>
      <c r="I79" s="24">
        <v>6150</v>
      </c>
      <c r="J79" s="24">
        <v>2</v>
      </c>
      <c r="K79" s="25">
        <f t="shared" si="3"/>
        <v>12300</v>
      </c>
      <c r="L79" s="26">
        <v>45001</v>
      </c>
      <c r="M79" s="25" t="str">
        <f t="shared" si="4"/>
        <v>Thursday</v>
      </c>
      <c r="N79" s="24" t="str">
        <f t="shared" si="5"/>
        <v>Weekday</v>
      </c>
      <c r="Q79" s="25"/>
      <c r="R79" s="24"/>
      <c r="S79" s="27"/>
      <c r="T79"/>
      <c r="U79" s="6"/>
      <c r="W79" s="7"/>
      <c r="Z79" s="4"/>
    </row>
    <row r="80" spans="1:26" x14ac:dyDescent="0.3">
      <c r="A80" t="s">
        <v>451</v>
      </c>
      <c r="B80" s="16" t="s">
        <v>97</v>
      </c>
      <c r="C80" s="17" t="s">
        <v>20</v>
      </c>
      <c r="D80" s="18" t="s">
        <v>322</v>
      </c>
      <c r="E80" s="19">
        <v>33</v>
      </c>
      <c r="F80" t="s">
        <v>373</v>
      </c>
      <c r="G80" s="18" t="s">
        <v>26</v>
      </c>
      <c r="H80" s="18" t="s">
        <v>27</v>
      </c>
      <c r="I80" s="18">
        <v>24600</v>
      </c>
      <c r="J80" s="18">
        <v>2</v>
      </c>
      <c r="K80" s="19">
        <f t="shared" si="3"/>
        <v>49200</v>
      </c>
      <c r="L80" s="20">
        <v>45251</v>
      </c>
      <c r="M80" s="19" t="str">
        <f t="shared" si="4"/>
        <v>Tuesday</v>
      </c>
      <c r="N80" s="18" t="str">
        <f t="shared" si="5"/>
        <v>Weekday</v>
      </c>
      <c r="Q80" s="19"/>
      <c r="R80" s="18"/>
      <c r="S80" s="21"/>
      <c r="T80"/>
      <c r="U80" s="6"/>
      <c r="W80" s="7"/>
      <c r="Z80" s="4"/>
    </row>
    <row r="81" spans="1:26" x14ac:dyDescent="0.3">
      <c r="A81" t="s">
        <v>452</v>
      </c>
      <c r="B81" s="22" t="s">
        <v>98</v>
      </c>
      <c r="C81" s="23" t="s">
        <v>11</v>
      </c>
      <c r="D81" s="24" t="s">
        <v>323</v>
      </c>
      <c r="E81" s="25">
        <v>64</v>
      </c>
      <c r="F81" t="s">
        <v>373</v>
      </c>
      <c r="G81" s="24" t="s">
        <v>24</v>
      </c>
      <c r="H81" s="24" t="s">
        <v>14</v>
      </c>
      <c r="I81" s="24">
        <v>184500</v>
      </c>
      <c r="J81" s="24">
        <v>5</v>
      </c>
      <c r="K81" s="25">
        <f t="shared" si="3"/>
        <v>922500</v>
      </c>
      <c r="L81" s="26">
        <v>45263</v>
      </c>
      <c r="M81" s="25" t="str">
        <f t="shared" si="4"/>
        <v>Sunday</v>
      </c>
      <c r="N81" s="24" t="str">
        <f t="shared" si="5"/>
        <v>Weekday</v>
      </c>
      <c r="Q81" s="25"/>
      <c r="R81" s="24"/>
      <c r="S81" s="27"/>
      <c r="T81"/>
      <c r="U81" s="6"/>
      <c r="W81" s="7"/>
      <c r="Z81" s="4"/>
    </row>
    <row r="82" spans="1:26" x14ac:dyDescent="0.3">
      <c r="A82" t="s">
        <v>453</v>
      </c>
      <c r="B82" s="16" t="s">
        <v>99</v>
      </c>
      <c r="C82" s="17" t="s">
        <v>11</v>
      </c>
      <c r="D82" s="18" t="s">
        <v>327</v>
      </c>
      <c r="E82" s="19">
        <v>59</v>
      </c>
      <c r="F82" t="s">
        <v>373</v>
      </c>
      <c r="G82" s="18" t="s">
        <v>26</v>
      </c>
      <c r="H82" s="18" t="s">
        <v>27</v>
      </c>
      <c r="I82" s="18">
        <v>24600</v>
      </c>
      <c r="J82" s="18">
        <v>3</v>
      </c>
      <c r="K82" s="19">
        <f t="shared" si="3"/>
        <v>73800</v>
      </c>
      <c r="L82" s="20">
        <v>44965</v>
      </c>
      <c r="M82" s="19" t="str">
        <f t="shared" si="4"/>
        <v>Wednesday</v>
      </c>
      <c r="N82" s="18" t="str">
        <f t="shared" si="5"/>
        <v>Weekday</v>
      </c>
      <c r="Q82" s="19"/>
      <c r="R82" s="18"/>
      <c r="S82" s="21"/>
      <c r="T82"/>
      <c r="U82" s="6"/>
      <c r="W82" s="7"/>
      <c r="Z82" s="4"/>
    </row>
    <row r="83" spans="1:26" x14ac:dyDescent="0.3">
      <c r="A83" t="s">
        <v>454</v>
      </c>
      <c r="B83" s="22" t="s">
        <v>100</v>
      </c>
      <c r="C83" s="23" t="s">
        <v>366</v>
      </c>
      <c r="D83" s="24" t="s">
        <v>328</v>
      </c>
      <c r="E83" s="25">
        <v>40</v>
      </c>
      <c r="F83" t="s">
        <v>375</v>
      </c>
      <c r="G83" s="24" t="s">
        <v>32</v>
      </c>
      <c r="H83" s="24" t="s">
        <v>18</v>
      </c>
      <c r="I83" s="24">
        <v>3690</v>
      </c>
      <c r="J83" s="24">
        <v>5</v>
      </c>
      <c r="K83" s="25">
        <f t="shared" si="3"/>
        <v>18450</v>
      </c>
      <c r="L83" s="26">
        <v>45282</v>
      </c>
      <c r="M83" s="25" t="str">
        <f t="shared" si="4"/>
        <v>Friday</v>
      </c>
      <c r="N83" s="24" t="str">
        <f t="shared" si="5"/>
        <v>Weekend</v>
      </c>
      <c r="Q83" s="25"/>
      <c r="R83" s="24"/>
      <c r="S83" s="27"/>
      <c r="T83"/>
      <c r="U83" s="6"/>
      <c r="W83" s="7"/>
      <c r="Z83" s="4"/>
    </row>
    <row r="84" spans="1:26" x14ac:dyDescent="0.3">
      <c r="A84" t="s">
        <v>455</v>
      </c>
      <c r="B84" s="16" t="s">
        <v>101</v>
      </c>
      <c r="C84" s="17" t="s">
        <v>11</v>
      </c>
      <c r="D84" s="18" t="s">
        <v>322</v>
      </c>
      <c r="E84" s="19">
        <v>19</v>
      </c>
      <c r="F84" t="s">
        <v>381</v>
      </c>
      <c r="G84" s="18" t="s">
        <v>13</v>
      </c>
      <c r="H84" s="18" t="s">
        <v>14</v>
      </c>
      <c r="I84" s="18">
        <v>36900</v>
      </c>
      <c r="J84" s="18">
        <v>5</v>
      </c>
      <c r="K84" s="19">
        <f t="shared" si="3"/>
        <v>184500</v>
      </c>
      <c r="L84" s="20">
        <v>45223</v>
      </c>
      <c r="M84" s="19" t="str">
        <f t="shared" si="4"/>
        <v>Tuesday</v>
      </c>
      <c r="N84" s="18" t="str">
        <f t="shared" si="5"/>
        <v>Weekday</v>
      </c>
      <c r="Q84" s="19"/>
      <c r="R84" s="18"/>
      <c r="S84" s="21"/>
      <c r="T84"/>
      <c r="U84" s="6"/>
      <c r="W84" s="7"/>
      <c r="Z84" s="4"/>
    </row>
    <row r="85" spans="1:26" x14ac:dyDescent="0.3">
      <c r="A85" t="s">
        <v>456</v>
      </c>
      <c r="B85" s="22" t="s">
        <v>102</v>
      </c>
      <c r="C85" s="23" t="s">
        <v>20</v>
      </c>
      <c r="D85" s="24" t="s">
        <v>322</v>
      </c>
      <c r="E85" s="25">
        <v>48</v>
      </c>
      <c r="F85" t="s">
        <v>370</v>
      </c>
      <c r="G85" s="24" t="s">
        <v>32</v>
      </c>
      <c r="H85" s="24" t="s">
        <v>18</v>
      </c>
      <c r="I85" s="24">
        <v>3690</v>
      </c>
      <c r="J85" s="24">
        <v>2</v>
      </c>
      <c r="K85" s="25">
        <f t="shared" si="3"/>
        <v>7380</v>
      </c>
      <c r="L85" s="26">
        <v>45158</v>
      </c>
      <c r="M85" s="25" t="str">
        <f t="shared" si="4"/>
        <v>Sunday</v>
      </c>
      <c r="N85" s="24" t="str">
        <f t="shared" si="5"/>
        <v>Weekday</v>
      </c>
      <c r="Q85" s="25"/>
      <c r="R85" s="24"/>
      <c r="S85" s="27"/>
      <c r="T85"/>
      <c r="U85" s="6"/>
      <c r="W85" s="7"/>
      <c r="Z85" s="4"/>
    </row>
    <row r="86" spans="1:26" x14ac:dyDescent="0.3">
      <c r="A86" t="s">
        <v>457</v>
      </c>
      <c r="B86" s="16" t="s">
        <v>103</v>
      </c>
      <c r="C86" s="17" t="s">
        <v>366</v>
      </c>
      <c r="D86" s="18" t="s">
        <v>326</v>
      </c>
      <c r="E86" s="19">
        <v>51</v>
      </c>
      <c r="F86" t="s">
        <v>370</v>
      </c>
      <c r="G86" s="18" t="s">
        <v>31</v>
      </c>
      <c r="H86" s="18" t="s">
        <v>18</v>
      </c>
      <c r="I86" s="18">
        <v>6150</v>
      </c>
      <c r="J86" s="18">
        <v>4</v>
      </c>
      <c r="K86" s="19">
        <f t="shared" si="3"/>
        <v>24600</v>
      </c>
      <c r="L86" s="20">
        <v>45066</v>
      </c>
      <c r="M86" s="19" t="str">
        <f t="shared" si="4"/>
        <v>Saturday</v>
      </c>
      <c r="N86" s="18" t="str">
        <f t="shared" si="5"/>
        <v>Weekend</v>
      </c>
      <c r="Q86" s="19"/>
      <c r="R86" s="18"/>
      <c r="S86" s="21"/>
      <c r="T86"/>
      <c r="U86" s="6"/>
      <c r="W86" s="7"/>
      <c r="Z86" s="4"/>
    </row>
    <row r="87" spans="1:26" x14ac:dyDescent="0.3">
      <c r="A87" t="s">
        <v>458</v>
      </c>
      <c r="B87" s="22" t="s">
        <v>81</v>
      </c>
      <c r="C87" s="23" t="s">
        <v>366</v>
      </c>
      <c r="D87" s="24" t="s">
        <v>322</v>
      </c>
      <c r="E87" s="25">
        <v>52</v>
      </c>
      <c r="F87" t="s">
        <v>370</v>
      </c>
      <c r="G87" s="24" t="s">
        <v>13</v>
      </c>
      <c r="H87" s="24" t="s">
        <v>14</v>
      </c>
      <c r="I87" s="24">
        <v>36900</v>
      </c>
      <c r="J87" s="24">
        <v>3</v>
      </c>
      <c r="K87" s="25">
        <f t="shared" si="3"/>
        <v>110700</v>
      </c>
      <c r="L87" s="26">
        <v>44975</v>
      </c>
      <c r="M87" s="25" t="str">
        <f t="shared" si="4"/>
        <v>Saturday</v>
      </c>
      <c r="N87" s="24" t="str">
        <f t="shared" si="5"/>
        <v>Weekend</v>
      </c>
      <c r="Q87" s="25"/>
      <c r="R87" s="24"/>
      <c r="S87" s="27"/>
      <c r="T87"/>
      <c r="U87" s="6"/>
      <c r="W87" s="7"/>
      <c r="Z87" s="4"/>
    </row>
    <row r="88" spans="1:26" x14ac:dyDescent="0.3">
      <c r="A88" t="s">
        <v>459</v>
      </c>
      <c r="B88" s="16" t="s">
        <v>235</v>
      </c>
      <c r="C88" s="17" t="s">
        <v>20</v>
      </c>
      <c r="D88" s="18" t="s">
        <v>326</v>
      </c>
      <c r="E88" s="19">
        <v>38</v>
      </c>
      <c r="F88" t="s">
        <v>370</v>
      </c>
      <c r="G88" s="18" t="s">
        <v>24</v>
      </c>
      <c r="H88" s="18" t="s">
        <v>14</v>
      </c>
      <c r="I88" s="18">
        <v>184500</v>
      </c>
      <c r="J88" s="18">
        <v>3</v>
      </c>
      <c r="K88" s="19">
        <f t="shared" si="3"/>
        <v>553500</v>
      </c>
      <c r="L88" s="20">
        <v>45423</v>
      </c>
      <c r="M88" s="19" t="str">
        <f t="shared" si="4"/>
        <v>Saturday</v>
      </c>
      <c r="N88" s="18" t="str">
        <f t="shared" si="5"/>
        <v>Weekend</v>
      </c>
      <c r="Q88" s="19"/>
      <c r="R88" s="18"/>
      <c r="S88" s="21"/>
      <c r="T88"/>
      <c r="U88" s="6"/>
      <c r="W88" s="7"/>
      <c r="Z88" s="4"/>
    </row>
    <row r="89" spans="1:26" x14ac:dyDescent="0.3">
      <c r="A89" t="s">
        <v>460</v>
      </c>
      <c r="B89" s="22" t="s">
        <v>81</v>
      </c>
      <c r="C89" s="23" t="s">
        <v>366</v>
      </c>
      <c r="D89" s="24" t="s">
        <v>322</v>
      </c>
      <c r="E89" s="25">
        <v>52</v>
      </c>
      <c r="F89" t="s">
        <v>381</v>
      </c>
      <c r="G89" s="24" t="s">
        <v>26</v>
      </c>
      <c r="H89" s="24" t="s">
        <v>27</v>
      </c>
      <c r="I89" s="24">
        <v>24600</v>
      </c>
      <c r="J89" s="24">
        <v>1</v>
      </c>
      <c r="K89" s="25">
        <f t="shared" si="3"/>
        <v>24600</v>
      </c>
      <c r="L89" s="26">
        <v>45140</v>
      </c>
      <c r="M89" s="25" t="str">
        <f t="shared" si="4"/>
        <v>Wednesday</v>
      </c>
      <c r="N89" s="24" t="str">
        <f t="shared" si="5"/>
        <v>Weekday</v>
      </c>
      <c r="Q89" s="25"/>
      <c r="R89" s="24"/>
      <c r="S89" s="27"/>
      <c r="T89"/>
      <c r="U89" s="6"/>
      <c r="W89" s="7"/>
      <c r="Z89" s="4"/>
    </row>
    <row r="90" spans="1:26" x14ac:dyDescent="0.3">
      <c r="A90" t="s">
        <v>461</v>
      </c>
      <c r="B90" s="16" t="s">
        <v>104</v>
      </c>
      <c r="C90" s="17" t="s">
        <v>366</v>
      </c>
      <c r="D90" s="18" t="s">
        <v>326</v>
      </c>
      <c r="E90" s="19">
        <v>30</v>
      </c>
      <c r="F90" t="s">
        <v>370</v>
      </c>
      <c r="G90" s="18" t="s">
        <v>32</v>
      </c>
      <c r="H90" s="18" t="s">
        <v>18</v>
      </c>
      <c r="I90" s="18">
        <v>3690</v>
      </c>
      <c r="J90" s="18">
        <v>1</v>
      </c>
      <c r="K90" s="19">
        <f t="shared" si="3"/>
        <v>3690</v>
      </c>
      <c r="L90" s="20">
        <v>45035</v>
      </c>
      <c r="M90" s="19" t="str">
        <f t="shared" si="4"/>
        <v>Wednesday</v>
      </c>
      <c r="N90" s="18" t="str">
        <f t="shared" si="5"/>
        <v>Weekday</v>
      </c>
      <c r="Q90" s="19"/>
      <c r="R90" s="18"/>
      <c r="S90" s="21"/>
      <c r="T90"/>
      <c r="U90" s="6"/>
      <c r="W90" s="7"/>
      <c r="Z90" s="4"/>
    </row>
    <row r="91" spans="1:26" x14ac:dyDescent="0.3">
      <c r="A91" t="s">
        <v>462</v>
      </c>
      <c r="B91" s="22" t="s">
        <v>65</v>
      </c>
      <c r="C91" s="23" t="s">
        <v>11</v>
      </c>
      <c r="D91" s="24" t="s">
        <v>326</v>
      </c>
      <c r="E91" s="25">
        <v>61</v>
      </c>
      <c r="F91" t="s">
        <v>373</v>
      </c>
      <c r="G91" s="24" t="s">
        <v>42</v>
      </c>
      <c r="H91" s="24" t="s">
        <v>14</v>
      </c>
      <c r="I91" s="24">
        <v>98400</v>
      </c>
      <c r="J91" s="24">
        <v>5</v>
      </c>
      <c r="K91" s="25">
        <f t="shared" si="3"/>
        <v>492000</v>
      </c>
      <c r="L91" s="26">
        <v>45106</v>
      </c>
      <c r="M91" s="25" t="str">
        <f t="shared" si="4"/>
        <v>Thursday</v>
      </c>
      <c r="N91" s="24" t="str">
        <f t="shared" si="5"/>
        <v>Weekday</v>
      </c>
      <c r="Q91" s="25"/>
      <c r="R91" s="24"/>
      <c r="S91" s="27"/>
      <c r="T91"/>
      <c r="U91" s="6"/>
      <c r="W91" s="7"/>
      <c r="Z91" s="4"/>
    </row>
    <row r="92" spans="1:26" x14ac:dyDescent="0.3">
      <c r="A92" t="s">
        <v>463</v>
      </c>
      <c r="B92" s="16" t="s">
        <v>105</v>
      </c>
      <c r="C92" s="17" t="s">
        <v>366</v>
      </c>
      <c r="D92" s="18" t="s">
        <v>325</v>
      </c>
      <c r="E92" s="19">
        <v>63</v>
      </c>
      <c r="F92" t="s">
        <v>375</v>
      </c>
      <c r="G92" s="18" t="s">
        <v>24</v>
      </c>
      <c r="H92" s="18" t="s">
        <v>14</v>
      </c>
      <c r="I92" s="18">
        <v>184500</v>
      </c>
      <c r="J92" s="18">
        <v>1</v>
      </c>
      <c r="K92" s="19">
        <f t="shared" si="3"/>
        <v>184500</v>
      </c>
      <c r="L92" s="20">
        <v>44993</v>
      </c>
      <c r="M92" s="19" t="str">
        <f t="shared" si="4"/>
        <v>Wednesday</v>
      </c>
      <c r="N92" s="18" t="str">
        <f t="shared" si="5"/>
        <v>Weekday</v>
      </c>
      <c r="Q92" s="19"/>
      <c r="R92" s="18"/>
      <c r="S92" s="21"/>
      <c r="T92"/>
      <c r="U92" s="6"/>
      <c r="W92" s="7"/>
      <c r="Z92" s="4"/>
    </row>
    <row r="93" spans="1:26" x14ac:dyDescent="0.3">
      <c r="A93" t="s">
        <v>464</v>
      </c>
      <c r="B93" s="22" t="s">
        <v>55</v>
      </c>
      <c r="C93" s="23" t="s">
        <v>11</v>
      </c>
      <c r="D93" s="24" t="s">
        <v>324</v>
      </c>
      <c r="E93" s="25">
        <v>55</v>
      </c>
      <c r="F93" t="s">
        <v>370</v>
      </c>
      <c r="G93" s="24" t="s">
        <v>17</v>
      </c>
      <c r="H93" s="24" t="s">
        <v>18</v>
      </c>
      <c r="I93" s="24">
        <v>12300</v>
      </c>
      <c r="J93" s="24">
        <v>2</v>
      </c>
      <c r="K93" s="25">
        <f t="shared" si="3"/>
        <v>24600</v>
      </c>
      <c r="L93" s="26">
        <v>45111</v>
      </c>
      <c r="M93" s="25" t="str">
        <f t="shared" si="4"/>
        <v>Tuesday</v>
      </c>
      <c r="N93" s="24" t="str">
        <f t="shared" si="5"/>
        <v>Weekday</v>
      </c>
      <c r="Q93" s="25"/>
      <c r="R93" s="24"/>
      <c r="S93" s="27"/>
      <c r="T93"/>
      <c r="U93" s="6"/>
      <c r="W93" s="7"/>
      <c r="Z93" s="4"/>
    </row>
    <row r="94" spans="1:26" x14ac:dyDescent="0.3">
      <c r="A94" t="s">
        <v>465</v>
      </c>
      <c r="B94" s="16" t="s">
        <v>106</v>
      </c>
      <c r="C94" s="17" t="s">
        <v>11</v>
      </c>
      <c r="D94" s="18" t="s">
        <v>322</v>
      </c>
      <c r="E94" s="19">
        <v>69</v>
      </c>
      <c r="F94" t="s">
        <v>373</v>
      </c>
      <c r="G94" s="18" t="s">
        <v>31</v>
      </c>
      <c r="H94" s="18" t="s">
        <v>18</v>
      </c>
      <c r="I94" s="18">
        <v>6150</v>
      </c>
      <c r="J94" s="18">
        <v>1</v>
      </c>
      <c r="K94" s="19">
        <f t="shared" si="3"/>
        <v>6150</v>
      </c>
      <c r="L94" s="20">
        <v>45039</v>
      </c>
      <c r="M94" s="19" t="str">
        <f t="shared" si="4"/>
        <v>Sunday</v>
      </c>
      <c r="N94" s="18" t="str">
        <f t="shared" si="5"/>
        <v>Weekday</v>
      </c>
      <c r="Q94" s="19"/>
      <c r="R94" s="18"/>
      <c r="S94" s="21"/>
      <c r="T94"/>
      <c r="U94" s="6"/>
      <c r="W94" s="7"/>
      <c r="Z94" s="4"/>
    </row>
    <row r="95" spans="1:26" x14ac:dyDescent="0.3">
      <c r="A95" t="s">
        <v>466</v>
      </c>
      <c r="B95" s="22" t="s">
        <v>107</v>
      </c>
      <c r="C95" s="23" t="s">
        <v>11</v>
      </c>
      <c r="D95" s="24" t="s">
        <v>322</v>
      </c>
      <c r="E95" s="25">
        <v>18</v>
      </c>
      <c r="F95" t="s">
        <v>370</v>
      </c>
      <c r="G95" s="24" t="s">
        <v>31</v>
      </c>
      <c r="H95" s="24" t="s">
        <v>18</v>
      </c>
      <c r="I95" s="24">
        <v>6150</v>
      </c>
      <c r="J95" s="24">
        <v>2</v>
      </c>
      <c r="K95" s="25">
        <f t="shared" si="3"/>
        <v>12300</v>
      </c>
      <c r="L95" s="26">
        <v>45009</v>
      </c>
      <c r="M95" s="25" t="str">
        <f t="shared" si="4"/>
        <v>Friday</v>
      </c>
      <c r="N95" s="24" t="str">
        <f t="shared" si="5"/>
        <v>Weekend</v>
      </c>
      <c r="Q95" s="25"/>
      <c r="R95" s="24"/>
      <c r="S95" s="27"/>
      <c r="T95"/>
      <c r="U95" s="6"/>
      <c r="W95" s="7"/>
      <c r="Z95" s="4"/>
    </row>
    <row r="96" spans="1:26" x14ac:dyDescent="0.3">
      <c r="A96" t="s">
        <v>467</v>
      </c>
      <c r="B96" s="16" t="s">
        <v>30</v>
      </c>
      <c r="C96" s="17" t="s">
        <v>11</v>
      </c>
      <c r="D96" s="18" t="s">
        <v>329</v>
      </c>
      <c r="E96" s="19">
        <v>18</v>
      </c>
      <c r="F96" t="s">
        <v>381</v>
      </c>
      <c r="G96" s="18" t="s">
        <v>31</v>
      </c>
      <c r="H96" s="18" t="s">
        <v>18</v>
      </c>
      <c r="I96" s="18">
        <v>6150</v>
      </c>
      <c r="J96" s="18">
        <v>5</v>
      </c>
      <c r="K96" s="19">
        <f t="shared" si="3"/>
        <v>30750</v>
      </c>
      <c r="L96" s="20">
        <v>45180</v>
      </c>
      <c r="M96" s="19" t="str">
        <f t="shared" si="4"/>
        <v>Monday</v>
      </c>
      <c r="N96" s="18" t="str">
        <f t="shared" si="5"/>
        <v>Weekday</v>
      </c>
      <c r="Q96" s="19"/>
      <c r="R96" s="18"/>
      <c r="S96" s="21"/>
      <c r="T96"/>
      <c r="U96" s="6"/>
      <c r="W96" s="7"/>
      <c r="Z96" s="4"/>
    </row>
    <row r="97" spans="1:26" x14ac:dyDescent="0.3">
      <c r="A97" t="s">
        <v>468</v>
      </c>
      <c r="B97" s="22" t="s">
        <v>108</v>
      </c>
      <c r="C97" s="23" t="s">
        <v>11</v>
      </c>
      <c r="D97" s="24" t="s">
        <v>329</v>
      </c>
      <c r="E97" s="25">
        <v>42</v>
      </c>
      <c r="F97" t="s">
        <v>373</v>
      </c>
      <c r="G97" s="24" t="s">
        <v>32</v>
      </c>
      <c r="H97" s="24" t="s">
        <v>18</v>
      </c>
      <c r="I97" s="24">
        <v>3690</v>
      </c>
      <c r="J97" s="24">
        <v>2</v>
      </c>
      <c r="K97" s="25">
        <f t="shared" si="3"/>
        <v>7380</v>
      </c>
      <c r="L97" s="26">
        <v>44959</v>
      </c>
      <c r="M97" s="25" t="str">
        <f t="shared" si="4"/>
        <v>Thursday</v>
      </c>
      <c r="N97" s="24" t="str">
        <f t="shared" si="5"/>
        <v>Weekday</v>
      </c>
      <c r="Q97" s="25"/>
      <c r="R97" s="24"/>
      <c r="S97" s="27"/>
      <c r="T97"/>
      <c r="U97" s="6"/>
      <c r="W97" s="7"/>
      <c r="Z97" s="4"/>
    </row>
    <row r="98" spans="1:26" x14ac:dyDescent="0.3">
      <c r="A98" t="s">
        <v>469</v>
      </c>
      <c r="B98" s="16" t="s">
        <v>30</v>
      </c>
      <c r="C98" s="17" t="s">
        <v>11</v>
      </c>
      <c r="D98" s="18" t="s">
        <v>329</v>
      </c>
      <c r="E98" s="19">
        <v>18</v>
      </c>
      <c r="F98" t="s">
        <v>381</v>
      </c>
      <c r="G98" s="18" t="s">
        <v>17</v>
      </c>
      <c r="H98" s="18" t="s">
        <v>18</v>
      </c>
      <c r="I98" s="18">
        <v>12300</v>
      </c>
      <c r="J98" s="18">
        <v>1</v>
      </c>
      <c r="K98" s="19">
        <f t="shared" si="3"/>
        <v>12300</v>
      </c>
      <c r="L98" s="20">
        <v>45151</v>
      </c>
      <c r="M98" s="19" t="str">
        <f t="shared" si="4"/>
        <v>Sunday</v>
      </c>
      <c r="N98" s="18" t="str">
        <f t="shared" si="5"/>
        <v>Weekday</v>
      </c>
      <c r="Q98" s="19"/>
      <c r="R98" s="18"/>
      <c r="S98" s="21"/>
      <c r="T98"/>
      <c r="U98" s="6"/>
      <c r="W98" s="7"/>
      <c r="Z98" s="4"/>
    </row>
    <row r="99" spans="1:26" x14ac:dyDescent="0.3">
      <c r="A99" t="s">
        <v>470</v>
      </c>
      <c r="B99" s="22" t="s">
        <v>65</v>
      </c>
      <c r="C99" s="23" t="s">
        <v>11</v>
      </c>
      <c r="D99" s="24" t="s">
        <v>326</v>
      </c>
      <c r="E99" s="25">
        <v>61</v>
      </c>
      <c r="F99" t="s">
        <v>370</v>
      </c>
      <c r="G99" s="24" t="s">
        <v>13</v>
      </c>
      <c r="H99" s="24" t="s">
        <v>14</v>
      </c>
      <c r="I99" s="24">
        <v>36900</v>
      </c>
      <c r="J99" s="24">
        <v>4</v>
      </c>
      <c r="K99" s="25">
        <f t="shared" si="3"/>
        <v>147600</v>
      </c>
      <c r="L99" s="26">
        <v>45069</v>
      </c>
      <c r="M99" s="25" t="str">
        <f t="shared" si="4"/>
        <v>Tuesday</v>
      </c>
      <c r="N99" s="24" t="str">
        <f t="shared" si="5"/>
        <v>Weekday</v>
      </c>
      <c r="Q99" s="25"/>
      <c r="R99" s="24"/>
      <c r="S99" s="27"/>
      <c r="T99"/>
      <c r="U99" s="6"/>
      <c r="W99" s="7"/>
      <c r="Z99" s="4"/>
    </row>
    <row r="100" spans="1:26" x14ac:dyDescent="0.3">
      <c r="A100" t="s">
        <v>471</v>
      </c>
      <c r="B100" s="16" t="s">
        <v>109</v>
      </c>
      <c r="C100" s="17" t="s">
        <v>366</v>
      </c>
      <c r="D100" s="18" t="s">
        <v>324</v>
      </c>
      <c r="E100" s="19">
        <v>26</v>
      </c>
      <c r="F100" t="s">
        <v>373</v>
      </c>
      <c r="G100" s="18" t="s">
        <v>24</v>
      </c>
      <c r="H100" s="18" t="s">
        <v>14</v>
      </c>
      <c r="I100" s="18">
        <v>184500</v>
      </c>
      <c r="J100" s="18">
        <v>4</v>
      </c>
      <c r="K100" s="19">
        <f t="shared" si="3"/>
        <v>738000</v>
      </c>
      <c r="L100" s="20">
        <v>45150</v>
      </c>
      <c r="M100" s="19" t="str">
        <f t="shared" si="4"/>
        <v>Saturday</v>
      </c>
      <c r="N100" s="18" t="str">
        <f t="shared" si="5"/>
        <v>Weekend</v>
      </c>
      <c r="Q100" s="19"/>
      <c r="R100" s="18"/>
      <c r="S100" s="21"/>
      <c r="T100"/>
      <c r="U100" s="6"/>
      <c r="W100" s="7"/>
      <c r="Z100" s="4"/>
    </row>
    <row r="101" spans="1:26" x14ac:dyDescent="0.3">
      <c r="A101" t="s">
        <v>472</v>
      </c>
      <c r="B101" s="22" t="s">
        <v>110</v>
      </c>
      <c r="C101" s="23" t="s">
        <v>11</v>
      </c>
      <c r="D101" s="24" t="s">
        <v>323</v>
      </c>
      <c r="E101" s="25">
        <v>25</v>
      </c>
      <c r="F101" t="s">
        <v>373</v>
      </c>
      <c r="G101" s="24" t="s">
        <v>42</v>
      </c>
      <c r="H101" s="24" t="s">
        <v>14</v>
      </c>
      <c r="I101" s="24">
        <v>98400</v>
      </c>
      <c r="J101" s="24">
        <v>4</v>
      </c>
      <c r="K101" s="25">
        <f t="shared" si="3"/>
        <v>393600</v>
      </c>
      <c r="L101" s="26">
        <v>44950</v>
      </c>
      <c r="M101" s="25" t="str">
        <f t="shared" si="4"/>
        <v>Tuesday</v>
      </c>
      <c r="N101" s="24" t="str">
        <f t="shared" si="5"/>
        <v>Weekday</v>
      </c>
      <c r="Q101" s="25"/>
      <c r="R101" s="24"/>
      <c r="S101" s="27"/>
      <c r="T101"/>
      <c r="U101" s="6"/>
      <c r="W101" s="7"/>
      <c r="Z101" s="4"/>
    </row>
    <row r="102" spans="1:26" x14ac:dyDescent="0.3">
      <c r="A102" t="s">
        <v>473</v>
      </c>
      <c r="B102" s="16" t="s">
        <v>111</v>
      </c>
      <c r="C102" s="17" t="s">
        <v>20</v>
      </c>
      <c r="D102" s="18" t="s">
        <v>329</v>
      </c>
      <c r="E102" s="19">
        <v>57</v>
      </c>
      <c r="F102" t="s">
        <v>373</v>
      </c>
      <c r="G102" s="18" t="s">
        <v>26</v>
      </c>
      <c r="H102" s="18" t="s">
        <v>27</v>
      </c>
      <c r="I102" s="18">
        <v>24600</v>
      </c>
      <c r="J102" s="18">
        <v>2</v>
      </c>
      <c r="K102" s="19">
        <f t="shared" si="3"/>
        <v>49200</v>
      </c>
      <c r="L102" s="20">
        <v>45268</v>
      </c>
      <c r="M102" s="19" t="str">
        <f t="shared" si="4"/>
        <v>Friday</v>
      </c>
      <c r="N102" s="18" t="str">
        <f t="shared" si="5"/>
        <v>Weekend</v>
      </c>
      <c r="Q102" s="19"/>
      <c r="R102" s="18"/>
      <c r="S102" s="21"/>
      <c r="T102"/>
      <c r="U102" s="6"/>
      <c r="W102" s="7"/>
      <c r="Z102" s="4"/>
    </row>
    <row r="103" spans="1:26" x14ac:dyDescent="0.3">
      <c r="A103" t="s">
        <v>474</v>
      </c>
      <c r="B103" s="22" t="s">
        <v>112</v>
      </c>
      <c r="C103" s="23" t="s">
        <v>366</v>
      </c>
      <c r="D103" s="24" t="s">
        <v>325</v>
      </c>
      <c r="E103" s="25">
        <v>38</v>
      </c>
      <c r="F103" t="s">
        <v>370</v>
      </c>
      <c r="G103" s="24" t="s">
        <v>42</v>
      </c>
      <c r="H103" s="24" t="s">
        <v>14</v>
      </c>
      <c r="I103" s="24">
        <v>98400</v>
      </c>
      <c r="J103" s="24">
        <v>2</v>
      </c>
      <c r="K103" s="25">
        <f t="shared" si="3"/>
        <v>196800</v>
      </c>
      <c r="L103" s="26">
        <v>45183</v>
      </c>
      <c r="M103" s="25" t="str">
        <f t="shared" si="4"/>
        <v>Thursday</v>
      </c>
      <c r="N103" s="24" t="str">
        <f t="shared" si="5"/>
        <v>Weekday</v>
      </c>
      <c r="Q103" s="25"/>
      <c r="R103" s="24"/>
      <c r="S103" s="27"/>
      <c r="T103"/>
      <c r="U103" s="6"/>
      <c r="W103" s="7"/>
      <c r="Z103" s="4"/>
    </row>
    <row r="104" spans="1:26" x14ac:dyDescent="0.3">
      <c r="A104" t="s">
        <v>475</v>
      </c>
      <c r="B104" s="16" t="s">
        <v>113</v>
      </c>
      <c r="C104" s="17" t="s">
        <v>11</v>
      </c>
      <c r="D104" s="18" t="s">
        <v>322</v>
      </c>
      <c r="E104" s="19">
        <v>58</v>
      </c>
      <c r="F104" t="s">
        <v>375</v>
      </c>
      <c r="G104" s="18" t="s">
        <v>26</v>
      </c>
      <c r="H104" s="18" t="s">
        <v>27</v>
      </c>
      <c r="I104" s="18">
        <v>24600</v>
      </c>
      <c r="J104" s="18">
        <v>4</v>
      </c>
      <c r="K104" s="19">
        <f t="shared" si="3"/>
        <v>98400</v>
      </c>
      <c r="L104" s="20">
        <v>45242</v>
      </c>
      <c r="M104" s="19" t="str">
        <f t="shared" si="4"/>
        <v>Sunday</v>
      </c>
      <c r="N104" s="18" t="str">
        <f t="shared" si="5"/>
        <v>Weekday</v>
      </c>
      <c r="Q104" s="19"/>
      <c r="R104" s="18"/>
      <c r="S104" s="21"/>
      <c r="T104"/>
      <c r="U104" s="6"/>
      <c r="W104" s="7"/>
      <c r="Z104" s="4"/>
    </row>
    <row r="105" spans="1:26" x14ac:dyDescent="0.3">
      <c r="A105" t="s">
        <v>476</v>
      </c>
      <c r="B105" s="22" t="s">
        <v>114</v>
      </c>
      <c r="C105" s="23" t="s">
        <v>20</v>
      </c>
      <c r="D105" s="24" t="s">
        <v>324</v>
      </c>
      <c r="E105" s="25">
        <v>40</v>
      </c>
      <c r="F105" t="s">
        <v>375</v>
      </c>
      <c r="G105" s="24" t="s">
        <v>13</v>
      </c>
      <c r="H105" s="24" t="s">
        <v>14</v>
      </c>
      <c r="I105" s="24">
        <v>36900</v>
      </c>
      <c r="J105" s="24">
        <v>1</v>
      </c>
      <c r="K105" s="25">
        <f t="shared" si="3"/>
        <v>36900</v>
      </c>
      <c r="L105" s="26">
        <v>45098</v>
      </c>
      <c r="M105" s="25" t="str">
        <f t="shared" si="4"/>
        <v>Wednesday</v>
      </c>
      <c r="N105" s="24" t="str">
        <f t="shared" si="5"/>
        <v>Weekday</v>
      </c>
      <c r="Q105" s="25"/>
      <c r="R105" s="24"/>
      <c r="S105" s="27"/>
      <c r="T105"/>
      <c r="U105" s="6"/>
      <c r="W105" s="7"/>
      <c r="Z105" s="4"/>
    </row>
    <row r="106" spans="1:26" x14ac:dyDescent="0.3">
      <c r="A106" t="s">
        <v>477</v>
      </c>
      <c r="B106" s="16" t="s">
        <v>236</v>
      </c>
      <c r="C106" s="17" t="s">
        <v>20</v>
      </c>
      <c r="D106" s="18" t="s">
        <v>329</v>
      </c>
      <c r="E106" s="19">
        <v>18</v>
      </c>
      <c r="F106" t="s">
        <v>381</v>
      </c>
      <c r="G106" s="18" t="s">
        <v>32</v>
      </c>
      <c r="H106" s="18" t="s">
        <v>18</v>
      </c>
      <c r="I106" s="18">
        <v>3690</v>
      </c>
      <c r="J106" s="18">
        <v>4</v>
      </c>
      <c r="K106" s="19">
        <f t="shared" si="3"/>
        <v>14760</v>
      </c>
      <c r="L106" s="20">
        <v>45318</v>
      </c>
      <c r="M106" s="19" t="str">
        <f t="shared" si="4"/>
        <v>Saturday</v>
      </c>
      <c r="N106" s="18" t="str">
        <f t="shared" si="5"/>
        <v>Weekend</v>
      </c>
      <c r="Q106" s="19"/>
      <c r="R106" s="18"/>
      <c r="S106" s="21"/>
      <c r="T106"/>
      <c r="U106" s="6"/>
      <c r="W106" s="7"/>
      <c r="Z106" s="4"/>
    </row>
    <row r="107" spans="1:26" x14ac:dyDescent="0.3">
      <c r="A107" t="s">
        <v>478</v>
      </c>
      <c r="B107" s="22" t="s">
        <v>307</v>
      </c>
      <c r="C107" s="23" t="s">
        <v>11</v>
      </c>
      <c r="D107" s="24" t="s">
        <v>322</v>
      </c>
      <c r="E107" s="25">
        <v>24</v>
      </c>
      <c r="F107" t="s">
        <v>375</v>
      </c>
      <c r="G107" s="24" t="s">
        <v>13</v>
      </c>
      <c r="H107" s="24" t="s">
        <v>14</v>
      </c>
      <c r="I107" s="24">
        <v>36900</v>
      </c>
      <c r="J107" s="24">
        <v>4</v>
      </c>
      <c r="K107" s="25">
        <f t="shared" si="3"/>
        <v>147600</v>
      </c>
      <c r="L107" s="26">
        <v>45576</v>
      </c>
      <c r="M107" s="25" t="str">
        <f t="shared" si="4"/>
        <v>Friday</v>
      </c>
      <c r="N107" s="24" t="str">
        <f t="shared" si="5"/>
        <v>Weekend</v>
      </c>
      <c r="Q107" s="25"/>
      <c r="R107" s="24"/>
      <c r="S107" s="27"/>
      <c r="T107"/>
      <c r="U107" s="6"/>
      <c r="W107" s="7"/>
      <c r="Z107" s="4"/>
    </row>
    <row r="108" spans="1:26" x14ac:dyDescent="0.3">
      <c r="A108" t="s">
        <v>479</v>
      </c>
      <c r="B108" s="16" t="s">
        <v>115</v>
      </c>
      <c r="C108" s="17" t="s">
        <v>366</v>
      </c>
      <c r="D108" s="18" t="s">
        <v>323</v>
      </c>
      <c r="E108" s="19">
        <v>63</v>
      </c>
      <c r="F108" t="s">
        <v>370</v>
      </c>
      <c r="G108" s="18" t="s">
        <v>24</v>
      </c>
      <c r="H108" s="18" t="s">
        <v>14</v>
      </c>
      <c r="I108" s="18">
        <v>184500</v>
      </c>
      <c r="J108" s="18">
        <v>3</v>
      </c>
      <c r="K108" s="19">
        <f t="shared" si="3"/>
        <v>553500</v>
      </c>
      <c r="L108" s="20">
        <v>45052</v>
      </c>
      <c r="M108" s="19" t="str">
        <f t="shared" si="4"/>
        <v>Saturday</v>
      </c>
      <c r="N108" s="18" t="str">
        <f t="shared" si="5"/>
        <v>Weekend</v>
      </c>
      <c r="Q108" s="19"/>
      <c r="R108" s="18"/>
      <c r="S108" s="21"/>
      <c r="T108"/>
      <c r="U108" s="6"/>
      <c r="W108" s="7"/>
      <c r="Z108" s="4"/>
    </row>
    <row r="109" spans="1:26" x14ac:dyDescent="0.3">
      <c r="A109" t="s">
        <v>480</v>
      </c>
      <c r="B109" s="22" t="s">
        <v>116</v>
      </c>
      <c r="C109" s="23" t="s">
        <v>20</v>
      </c>
      <c r="D109" s="24" t="s">
        <v>322</v>
      </c>
      <c r="E109" s="25">
        <v>33</v>
      </c>
      <c r="F109" t="s">
        <v>373</v>
      </c>
      <c r="G109" s="24" t="s">
        <v>32</v>
      </c>
      <c r="H109" s="24" t="s">
        <v>18</v>
      </c>
      <c r="I109" s="24">
        <v>3690</v>
      </c>
      <c r="J109" s="24">
        <v>1</v>
      </c>
      <c r="K109" s="25">
        <f t="shared" si="3"/>
        <v>3690</v>
      </c>
      <c r="L109" s="26">
        <v>44929</v>
      </c>
      <c r="M109" s="25" t="str">
        <f t="shared" si="4"/>
        <v>Tuesday</v>
      </c>
      <c r="N109" s="24" t="str">
        <f t="shared" si="5"/>
        <v>Weekday</v>
      </c>
      <c r="Q109" s="25"/>
      <c r="R109" s="24"/>
      <c r="S109" s="27"/>
      <c r="T109"/>
      <c r="U109" s="6"/>
      <c r="W109" s="7"/>
      <c r="Z109" s="4"/>
    </row>
    <row r="110" spans="1:26" x14ac:dyDescent="0.3">
      <c r="A110" t="s">
        <v>481</v>
      </c>
      <c r="B110" s="16" t="s">
        <v>117</v>
      </c>
      <c r="C110" s="17" t="s">
        <v>20</v>
      </c>
      <c r="D110" s="18" t="s">
        <v>322</v>
      </c>
      <c r="E110" s="19">
        <v>22</v>
      </c>
      <c r="F110" t="s">
        <v>373</v>
      </c>
      <c r="G110" s="18" t="s">
        <v>17</v>
      </c>
      <c r="H110" s="18" t="s">
        <v>18</v>
      </c>
      <c r="I110" s="18">
        <v>12300</v>
      </c>
      <c r="J110" s="18">
        <v>3</v>
      </c>
      <c r="K110" s="19">
        <f t="shared" si="3"/>
        <v>36900</v>
      </c>
      <c r="L110" s="20">
        <v>45211</v>
      </c>
      <c r="M110" s="19" t="str">
        <f t="shared" si="4"/>
        <v>Thursday</v>
      </c>
      <c r="N110" s="18" t="str">
        <f t="shared" si="5"/>
        <v>Weekday</v>
      </c>
      <c r="Q110" s="19"/>
      <c r="R110" s="18"/>
      <c r="S110" s="21"/>
      <c r="T110"/>
      <c r="U110" s="6"/>
      <c r="W110" s="7"/>
      <c r="Z110" s="4"/>
    </row>
    <row r="111" spans="1:26" x14ac:dyDescent="0.3">
      <c r="A111" t="s">
        <v>482</v>
      </c>
      <c r="B111" s="22" t="s">
        <v>116</v>
      </c>
      <c r="C111" s="23" t="s">
        <v>20</v>
      </c>
      <c r="D111" s="24" t="s">
        <v>322</v>
      </c>
      <c r="E111" s="25">
        <v>33</v>
      </c>
      <c r="F111" t="s">
        <v>370</v>
      </c>
      <c r="G111" s="24" t="s">
        <v>24</v>
      </c>
      <c r="H111" s="24" t="s">
        <v>14</v>
      </c>
      <c r="I111" s="24">
        <v>184500</v>
      </c>
      <c r="J111" s="24">
        <v>3</v>
      </c>
      <c r="K111" s="25">
        <f t="shared" si="3"/>
        <v>553500</v>
      </c>
      <c r="L111" s="26">
        <v>45103</v>
      </c>
      <c r="M111" s="25" t="str">
        <f t="shared" si="4"/>
        <v>Monday</v>
      </c>
      <c r="N111" s="24" t="str">
        <f t="shared" si="5"/>
        <v>Weekday</v>
      </c>
      <c r="Q111" s="25"/>
      <c r="R111" s="24"/>
      <c r="S111" s="27"/>
      <c r="T111"/>
      <c r="U111" s="6"/>
      <c r="W111" s="7"/>
      <c r="Z111" s="4"/>
    </row>
    <row r="112" spans="1:26" x14ac:dyDescent="0.3">
      <c r="A112" t="s">
        <v>483</v>
      </c>
      <c r="B112" s="16" t="s">
        <v>118</v>
      </c>
      <c r="C112" s="17" t="s">
        <v>20</v>
      </c>
      <c r="D112" s="18" t="s">
        <v>323</v>
      </c>
      <c r="E112" s="19">
        <v>20</v>
      </c>
      <c r="F112" t="s">
        <v>373</v>
      </c>
      <c r="G112" s="18" t="s">
        <v>32</v>
      </c>
      <c r="H112" s="18" t="s">
        <v>18</v>
      </c>
      <c r="I112" s="18">
        <v>3690</v>
      </c>
      <c r="J112" s="18">
        <v>2</v>
      </c>
      <c r="K112" s="19">
        <f t="shared" si="3"/>
        <v>7380</v>
      </c>
      <c r="L112" s="20">
        <v>45072</v>
      </c>
      <c r="M112" s="19" t="str">
        <f t="shared" si="4"/>
        <v>Friday</v>
      </c>
      <c r="N112" s="18" t="str">
        <f t="shared" si="5"/>
        <v>Weekend</v>
      </c>
      <c r="Q112" s="19"/>
      <c r="R112" s="18"/>
      <c r="S112" s="21"/>
      <c r="T112"/>
      <c r="U112" s="6"/>
      <c r="W112" s="7"/>
      <c r="Z112" s="4"/>
    </row>
    <row r="113" spans="1:26" x14ac:dyDescent="0.3">
      <c r="A113" t="s">
        <v>484</v>
      </c>
      <c r="B113" s="22" t="s">
        <v>119</v>
      </c>
      <c r="C113" s="23" t="s">
        <v>11</v>
      </c>
      <c r="D113" s="24" t="s">
        <v>323</v>
      </c>
      <c r="E113" s="25">
        <v>29</v>
      </c>
      <c r="F113" t="s">
        <v>375</v>
      </c>
      <c r="G113" s="24" t="s">
        <v>32</v>
      </c>
      <c r="H113" s="24" t="s">
        <v>18</v>
      </c>
      <c r="I113" s="24">
        <v>3690</v>
      </c>
      <c r="J113" s="24">
        <v>5</v>
      </c>
      <c r="K113" s="25">
        <f t="shared" si="3"/>
        <v>18450</v>
      </c>
      <c r="L113" s="26">
        <v>45238</v>
      </c>
      <c r="M113" s="25" t="str">
        <f t="shared" si="4"/>
        <v>Wednesday</v>
      </c>
      <c r="N113" s="25" t="str">
        <f t="shared" si="5"/>
        <v>Weekday</v>
      </c>
      <c r="Q113" s="25"/>
      <c r="R113" s="24"/>
      <c r="S113" s="27"/>
      <c r="T113"/>
      <c r="U113" s="6"/>
      <c r="W113" s="7"/>
      <c r="Z113" s="4"/>
    </row>
    <row r="114" spans="1:26" x14ac:dyDescent="0.3">
      <c r="A114" t="s">
        <v>485</v>
      </c>
      <c r="B114" s="16" t="s">
        <v>93</v>
      </c>
      <c r="C114" s="17" t="s">
        <v>366</v>
      </c>
      <c r="D114" s="18" t="s">
        <v>327</v>
      </c>
      <c r="E114" s="19">
        <v>54</v>
      </c>
      <c r="F114" t="s">
        <v>381</v>
      </c>
      <c r="G114" s="18" t="s">
        <v>42</v>
      </c>
      <c r="H114" s="18" t="s">
        <v>14</v>
      </c>
      <c r="I114" s="18">
        <v>98400</v>
      </c>
      <c r="J114" s="18">
        <v>3</v>
      </c>
      <c r="K114" s="19">
        <f t="shared" si="3"/>
        <v>295200</v>
      </c>
      <c r="L114" s="20">
        <v>45267</v>
      </c>
      <c r="M114" s="19" t="str">
        <f t="shared" si="4"/>
        <v>Thursday</v>
      </c>
      <c r="N114" s="19" t="str">
        <f t="shared" si="5"/>
        <v>Weekday</v>
      </c>
      <c r="Q114" s="19"/>
      <c r="R114" s="18"/>
      <c r="S114" s="21"/>
      <c r="T114"/>
      <c r="U114" s="6"/>
      <c r="W114" s="7"/>
      <c r="Z114" s="4"/>
    </row>
    <row r="115" spans="1:26" x14ac:dyDescent="0.3">
      <c r="A115" t="s">
        <v>486</v>
      </c>
      <c r="B115" s="22" t="s">
        <v>120</v>
      </c>
      <c r="C115" s="23" t="s">
        <v>20</v>
      </c>
      <c r="D115" s="24" t="s">
        <v>328</v>
      </c>
      <c r="E115" s="25">
        <v>37</v>
      </c>
      <c r="F115" t="s">
        <v>370</v>
      </c>
      <c r="G115" s="24" t="s">
        <v>24</v>
      </c>
      <c r="H115" s="24" t="s">
        <v>14</v>
      </c>
      <c r="I115" s="24">
        <v>184500</v>
      </c>
      <c r="J115" s="24">
        <v>5</v>
      </c>
      <c r="K115" s="25">
        <f t="shared" si="3"/>
        <v>922500</v>
      </c>
      <c r="L115" s="26">
        <v>45113</v>
      </c>
      <c r="M115" s="25" t="str">
        <f t="shared" si="4"/>
        <v>Thursday</v>
      </c>
      <c r="N115" s="25" t="str">
        <f t="shared" si="5"/>
        <v>Weekday</v>
      </c>
      <c r="Q115" s="25"/>
      <c r="R115" s="24"/>
      <c r="S115" s="27"/>
      <c r="T115"/>
      <c r="U115" s="6"/>
      <c r="W115" s="7"/>
      <c r="Z115" s="4"/>
    </row>
    <row r="116" spans="1:26" x14ac:dyDescent="0.3">
      <c r="A116" t="s">
        <v>487</v>
      </c>
      <c r="B116" s="16" t="s">
        <v>15</v>
      </c>
      <c r="C116" s="17" t="s">
        <v>20</v>
      </c>
      <c r="D116" s="18" t="s">
        <v>322</v>
      </c>
      <c r="E116" s="19">
        <v>22</v>
      </c>
      <c r="F116" t="s">
        <v>373</v>
      </c>
      <c r="G116" s="18" t="s">
        <v>24</v>
      </c>
      <c r="H116" s="18" t="s">
        <v>14</v>
      </c>
      <c r="I116" s="18">
        <v>184500</v>
      </c>
      <c r="J116" s="18">
        <v>3</v>
      </c>
      <c r="K116" s="19">
        <f t="shared" si="3"/>
        <v>553500</v>
      </c>
      <c r="L116" s="20">
        <v>45097</v>
      </c>
      <c r="M116" s="19" t="str">
        <f t="shared" si="4"/>
        <v>Tuesday</v>
      </c>
      <c r="N116" s="19" t="str">
        <f t="shared" si="5"/>
        <v>Weekday</v>
      </c>
      <c r="Q116" s="19"/>
      <c r="R116" s="18"/>
      <c r="S116" s="21"/>
      <c r="T116"/>
      <c r="U116" s="6"/>
      <c r="W116" s="7"/>
      <c r="Z116" s="4"/>
    </row>
    <row r="117" spans="1:26" x14ac:dyDescent="0.3">
      <c r="A117" t="s">
        <v>488</v>
      </c>
      <c r="B117" s="22" t="s">
        <v>23</v>
      </c>
      <c r="C117" s="23" t="s">
        <v>11</v>
      </c>
      <c r="D117" s="24" t="s">
        <v>322</v>
      </c>
      <c r="E117" s="25">
        <v>65</v>
      </c>
      <c r="F117" t="s">
        <v>370</v>
      </c>
      <c r="G117" s="24" t="s">
        <v>17</v>
      </c>
      <c r="H117" s="24" t="s">
        <v>18</v>
      </c>
      <c r="I117" s="24">
        <v>12300</v>
      </c>
      <c r="J117" s="24">
        <v>1</v>
      </c>
      <c r="K117" s="25">
        <f t="shared" si="3"/>
        <v>12300</v>
      </c>
      <c r="L117" s="26">
        <v>44968</v>
      </c>
      <c r="M117" s="25" t="str">
        <f t="shared" si="4"/>
        <v>Saturday</v>
      </c>
      <c r="N117" s="25" t="str">
        <f t="shared" si="5"/>
        <v>Weekend</v>
      </c>
      <c r="Q117" s="25"/>
      <c r="R117" s="24"/>
      <c r="S117" s="27"/>
      <c r="T117"/>
      <c r="U117" s="6"/>
      <c r="W117" s="7"/>
      <c r="Z117" s="4"/>
    </row>
    <row r="118" spans="1:26" x14ac:dyDescent="0.3">
      <c r="A118" t="s">
        <v>489</v>
      </c>
      <c r="B118" s="16" t="s">
        <v>121</v>
      </c>
      <c r="C118" s="17" t="s">
        <v>20</v>
      </c>
      <c r="D118" s="18" t="s">
        <v>327</v>
      </c>
      <c r="E118" s="19">
        <v>18</v>
      </c>
      <c r="F118" t="s">
        <v>375</v>
      </c>
      <c r="G118" s="18" t="s">
        <v>17</v>
      </c>
      <c r="H118" s="18" t="s">
        <v>18</v>
      </c>
      <c r="I118" s="18">
        <v>12300</v>
      </c>
      <c r="J118" s="18">
        <v>5</v>
      </c>
      <c r="K118" s="19">
        <f t="shared" si="3"/>
        <v>61500</v>
      </c>
      <c r="L118" s="20">
        <v>44959</v>
      </c>
      <c r="M118" s="19" t="str">
        <f t="shared" si="4"/>
        <v>Thursday</v>
      </c>
      <c r="N118" s="19" t="str">
        <f t="shared" si="5"/>
        <v>Weekday</v>
      </c>
      <c r="Q118" s="19"/>
      <c r="R118" s="18"/>
      <c r="S118" s="21"/>
      <c r="T118"/>
      <c r="U118" s="6"/>
      <c r="W118" s="7"/>
      <c r="Z118" s="4"/>
    </row>
    <row r="119" spans="1:26" x14ac:dyDescent="0.3">
      <c r="A119" t="s">
        <v>490</v>
      </c>
      <c r="B119" s="22" t="s">
        <v>122</v>
      </c>
      <c r="C119" s="23" t="s">
        <v>11</v>
      </c>
      <c r="D119" s="24" t="s">
        <v>324</v>
      </c>
      <c r="E119" s="25">
        <v>58</v>
      </c>
      <c r="F119" t="s">
        <v>373</v>
      </c>
      <c r="G119" s="24" t="s">
        <v>17</v>
      </c>
      <c r="H119" s="24" t="s">
        <v>18</v>
      </c>
      <c r="I119" s="24">
        <v>12300</v>
      </c>
      <c r="J119" s="24">
        <v>3</v>
      </c>
      <c r="K119" s="25">
        <f t="shared" si="3"/>
        <v>36900</v>
      </c>
      <c r="L119" s="26">
        <v>45007</v>
      </c>
      <c r="M119" s="25" t="str">
        <f t="shared" si="4"/>
        <v>Wednesday</v>
      </c>
      <c r="N119" s="25" t="str">
        <f t="shared" si="5"/>
        <v>Weekday</v>
      </c>
      <c r="Q119" s="25"/>
      <c r="R119" s="24"/>
      <c r="S119" s="27"/>
      <c r="T119"/>
      <c r="U119" s="6"/>
      <c r="W119" s="7"/>
      <c r="Z119" s="4"/>
    </row>
    <row r="120" spans="1:26" x14ac:dyDescent="0.3">
      <c r="A120" t="s">
        <v>491</v>
      </c>
      <c r="B120" s="16" t="s">
        <v>22</v>
      </c>
      <c r="C120" s="17" t="s">
        <v>11</v>
      </c>
      <c r="D120" s="18" t="s">
        <v>326</v>
      </c>
      <c r="E120" s="19">
        <v>23</v>
      </c>
      <c r="F120" t="s">
        <v>373</v>
      </c>
      <c r="G120" s="18" t="s">
        <v>42</v>
      </c>
      <c r="H120" s="18" t="s">
        <v>14</v>
      </c>
      <c r="I120" s="18">
        <v>98400</v>
      </c>
      <c r="J120" s="18">
        <v>1</v>
      </c>
      <c r="K120" s="19">
        <f t="shared" si="3"/>
        <v>98400</v>
      </c>
      <c r="L120" s="20">
        <v>45179</v>
      </c>
      <c r="M120" s="19" t="str">
        <f t="shared" si="4"/>
        <v>Sunday</v>
      </c>
      <c r="N120" s="19" t="str">
        <f t="shared" si="5"/>
        <v>Weekday</v>
      </c>
      <c r="Q120" s="19"/>
      <c r="R120" s="18"/>
      <c r="S120" s="21"/>
      <c r="T120"/>
      <c r="U120" s="6"/>
      <c r="W120" s="7"/>
      <c r="Z120" s="4"/>
    </row>
    <row r="121" spans="1:26" x14ac:dyDescent="0.3">
      <c r="A121" t="s">
        <v>492</v>
      </c>
      <c r="B121" s="22" t="s">
        <v>123</v>
      </c>
      <c r="C121" s="23" t="s">
        <v>20</v>
      </c>
      <c r="D121" s="24" t="s">
        <v>328</v>
      </c>
      <c r="E121" s="25">
        <v>38</v>
      </c>
      <c r="F121" t="s">
        <v>373</v>
      </c>
      <c r="G121" s="24" t="s">
        <v>32</v>
      </c>
      <c r="H121" s="24" t="s">
        <v>18</v>
      </c>
      <c r="I121" s="24">
        <v>3690</v>
      </c>
      <c r="J121" s="24">
        <v>1</v>
      </c>
      <c r="K121" s="25">
        <f t="shared" si="3"/>
        <v>3690</v>
      </c>
      <c r="L121" s="26">
        <v>44979</v>
      </c>
      <c r="M121" s="25" t="str">
        <f t="shared" si="4"/>
        <v>Wednesday</v>
      </c>
      <c r="N121" s="25" t="str">
        <f t="shared" si="5"/>
        <v>Weekday</v>
      </c>
      <c r="Q121" s="25"/>
      <c r="R121" s="24"/>
      <c r="S121" s="27"/>
      <c r="T121"/>
      <c r="U121" s="6"/>
      <c r="W121" s="7"/>
      <c r="Z121" s="4"/>
    </row>
    <row r="122" spans="1:26" x14ac:dyDescent="0.3">
      <c r="A122" t="s">
        <v>493</v>
      </c>
      <c r="B122" s="16" t="s">
        <v>124</v>
      </c>
      <c r="C122" s="17" t="s">
        <v>20</v>
      </c>
      <c r="D122" s="18" t="s">
        <v>326</v>
      </c>
      <c r="E122" s="19">
        <v>19</v>
      </c>
      <c r="F122" t="s">
        <v>373</v>
      </c>
      <c r="G122" s="18" t="s">
        <v>42</v>
      </c>
      <c r="H122" s="18" t="s">
        <v>14</v>
      </c>
      <c r="I122" s="18">
        <v>98400</v>
      </c>
      <c r="J122" s="18">
        <v>3</v>
      </c>
      <c r="K122" s="19">
        <f t="shared" si="3"/>
        <v>295200</v>
      </c>
      <c r="L122" s="20">
        <v>45066</v>
      </c>
      <c r="M122" s="19" t="str">
        <f t="shared" si="4"/>
        <v>Saturday</v>
      </c>
      <c r="N122" s="19" t="str">
        <f t="shared" si="5"/>
        <v>Weekend</v>
      </c>
      <c r="Q122" s="19"/>
      <c r="R122" s="18"/>
      <c r="S122" s="21"/>
      <c r="T122"/>
      <c r="U122" s="6"/>
      <c r="W122" s="7"/>
      <c r="Z122" s="4"/>
    </row>
    <row r="123" spans="1:26" x14ac:dyDescent="0.3">
      <c r="A123" t="s">
        <v>494</v>
      </c>
      <c r="B123" s="22" t="s">
        <v>40</v>
      </c>
      <c r="C123" s="23" t="s">
        <v>11</v>
      </c>
      <c r="D123" s="24" t="s">
        <v>323</v>
      </c>
      <c r="E123" s="25">
        <v>57</v>
      </c>
      <c r="F123" t="s">
        <v>370</v>
      </c>
      <c r="G123" s="24" t="s">
        <v>26</v>
      </c>
      <c r="H123" s="24" t="s">
        <v>27</v>
      </c>
      <c r="I123" s="24">
        <v>24600</v>
      </c>
      <c r="J123" s="24">
        <v>2</v>
      </c>
      <c r="K123" s="25">
        <f t="shared" si="3"/>
        <v>49200</v>
      </c>
      <c r="L123" s="26">
        <v>45103</v>
      </c>
      <c r="M123" s="25" t="str">
        <f t="shared" si="4"/>
        <v>Monday</v>
      </c>
      <c r="N123" s="25" t="str">
        <f t="shared" si="5"/>
        <v>Weekday</v>
      </c>
      <c r="Q123" s="25"/>
      <c r="R123" s="24"/>
      <c r="S123" s="27"/>
      <c r="T123"/>
      <c r="U123" s="6"/>
      <c r="W123" s="7"/>
      <c r="Z123" s="4"/>
    </row>
    <row r="124" spans="1:26" x14ac:dyDescent="0.3">
      <c r="A124" t="s">
        <v>495</v>
      </c>
      <c r="B124" s="16" t="s">
        <v>126</v>
      </c>
      <c r="C124" s="17" t="s">
        <v>11</v>
      </c>
      <c r="D124" s="18" t="s">
        <v>329</v>
      </c>
      <c r="E124" s="19">
        <v>61</v>
      </c>
      <c r="F124" t="s">
        <v>375</v>
      </c>
      <c r="G124" s="18" t="s">
        <v>13</v>
      </c>
      <c r="H124" s="18" t="s">
        <v>14</v>
      </c>
      <c r="I124" s="18">
        <v>36900</v>
      </c>
      <c r="J124" s="18">
        <v>2</v>
      </c>
      <c r="K124" s="19">
        <f t="shared" si="3"/>
        <v>73800</v>
      </c>
      <c r="L124" s="20">
        <v>45209</v>
      </c>
      <c r="M124" s="19" t="str">
        <f t="shared" si="4"/>
        <v>Tuesday</v>
      </c>
      <c r="N124" s="19" t="str">
        <f t="shared" si="5"/>
        <v>Weekday</v>
      </c>
      <c r="Q124" s="19"/>
      <c r="R124" s="18"/>
      <c r="S124" s="21"/>
      <c r="T124"/>
      <c r="U124" s="6"/>
      <c r="W124" s="7"/>
      <c r="Z124" s="4"/>
    </row>
    <row r="125" spans="1:26" x14ac:dyDescent="0.3">
      <c r="A125" t="s">
        <v>496</v>
      </c>
      <c r="B125" s="22" t="s">
        <v>121</v>
      </c>
      <c r="C125" s="23" t="s">
        <v>20</v>
      </c>
      <c r="D125" s="24" t="s">
        <v>327</v>
      </c>
      <c r="E125" s="25">
        <v>18</v>
      </c>
      <c r="F125" t="s">
        <v>375</v>
      </c>
      <c r="G125" s="24" t="s">
        <v>31</v>
      </c>
      <c r="H125" s="24" t="s">
        <v>18</v>
      </c>
      <c r="I125" s="24">
        <v>6150</v>
      </c>
      <c r="J125" s="24">
        <v>3</v>
      </c>
      <c r="K125" s="25">
        <f t="shared" si="3"/>
        <v>18450</v>
      </c>
      <c r="L125" s="26">
        <v>45075</v>
      </c>
      <c r="M125" s="25" t="str">
        <f t="shared" si="4"/>
        <v>Monday</v>
      </c>
      <c r="N125" s="25" t="str">
        <f t="shared" si="5"/>
        <v>Weekday</v>
      </c>
      <c r="Q125" s="25"/>
      <c r="R125" s="24"/>
      <c r="S125" s="27"/>
      <c r="T125"/>
      <c r="U125" s="6"/>
      <c r="W125" s="7"/>
      <c r="Z125" s="4"/>
    </row>
    <row r="126" spans="1:26" x14ac:dyDescent="0.3">
      <c r="A126" t="s">
        <v>497</v>
      </c>
      <c r="B126" s="16" t="s">
        <v>127</v>
      </c>
      <c r="C126" s="17" t="s">
        <v>11</v>
      </c>
      <c r="D126" s="18" t="s">
        <v>325</v>
      </c>
      <c r="E126" s="19">
        <v>29</v>
      </c>
      <c r="F126" t="s">
        <v>381</v>
      </c>
      <c r="G126" s="18" t="s">
        <v>24</v>
      </c>
      <c r="H126" s="18" t="s">
        <v>14</v>
      </c>
      <c r="I126" s="18">
        <v>184500</v>
      </c>
      <c r="J126" s="18">
        <v>3</v>
      </c>
      <c r="K126" s="19">
        <f t="shared" si="3"/>
        <v>553500</v>
      </c>
      <c r="L126" s="20">
        <v>45078</v>
      </c>
      <c r="M126" s="19" t="str">
        <f t="shared" si="4"/>
        <v>Thursday</v>
      </c>
      <c r="N126" s="19" t="str">
        <f t="shared" si="5"/>
        <v>Weekday</v>
      </c>
      <c r="Q126" s="19"/>
      <c r="R126" s="18"/>
      <c r="S126" s="21"/>
      <c r="T126"/>
      <c r="U126" s="6"/>
      <c r="W126" s="7"/>
      <c r="Z126" s="4"/>
    </row>
    <row r="127" spans="1:26" x14ac:dyDescent="0.3">
      <c r="A127" t="s">
        <v>498</v>
      </c>
      <c r="B127" s="22" t="s">
        <v>128</v>
      </c>
      <c r="C127" s="23" t="s">
        <v>11</v>
      </c>
      <c r="D127" s="24" t="s">
        <v>323</v>
      </c>
      <c r="E127" s="25">
        <v>50</v>
      </c>
      <c r="F127" t="s">
        <v>370</v>
      </c>
      <c r="G127" s="24" t="s">
        <v>26</v>
      </c>
      <c r="H127" s="24" t="s">
        <v>27</v>
      </c>
      <c r="I127" s="24">
        <v>24600</v>
      </c>
      <c r="J127" s="24">
        <v>5</v>
      </c>
      <c r="K127" s="25">
        <f t="shared" si="3"/>
        <v>123000</v>
      </c>
      <c r="L127" s="26">
        <v>45160</v>
      </c>
      <c r="M127" s="25" t="str">
        <f t="shared" si="4"/>
        <v>Tuesday</v>
      </c>
      <c r="N127" s="25" t="str">
        <f t="shared" si="5"/>
        <v>Weekday</v>
      </c>
      <c r="Q127" s="25"/>
      <c r="R127" s="24"/>
      <c r="S127" s="27"/>
      <c r="T127"/>
      <c r="U127" s="6"/>
      <c r="W127" s="7"/>
      <c r="Z127" s="4"/>
    </row>
    <row r="128" spans="1:26" x14ac:dyDescent="0.3">
      <c r="A128" t="s">
        <v>499</v>
      </c>
      <c r="B128" s="16" t="s">
        <v>129</v>
      </c>
      <c r="C128" s="17" t="s">
        <v>20</v>
      </c>
      <c r="D128" s="18" t="s">
        <v>329</v>
      </c>
      <c r="E128" s="19">
        <v>38</v>
      </c>
      <c r="F128" t="s">
        <v>375</v>
      </c>
      <c r="G128" s="18" t="s">
        <v>24</v>
      </c>
      <c r="H128" s="18" t="s">
        <v>14</v>
      </c>
      <c r="I128" s="18">
        <v>184500</v>
      </c>
      <c r="J128" s="18">
        <v>3</v>
      </c>
      <c r="K128" s="19">
        <f t="shared" si="3"/>
        <v>553500</v>
      </c>
      <c r="L128" s="20">
        <v>45056</v>
      </c>
      <c r="M128" s="19" t="str">
        <f t="shared" si="4"/>
        <v>Wednesday</v>
      </c>
      <c r="N128" s="19" t="str">
        <f t="shared" si="5"/>
        <v>Weekday</v>
      </c>
      <c r="Q128" s="19"/>
      <c r="R128" s="18"/>
      <c r="S128" s="21"/>
      <c r="T128"/>
      <c r="U128" s="6"/>
      <c r="W128" s="7"/>
      <c r="Z128" s="4"/>
    </row>
    <row r="129" spans="1:26" x14ac:dyDescent="0.3">
      <c r="A129" t="s">
        <v>500</v>
      </c>
      <c r="B129" s="22" t="s">
        <v>130</v>
      </c>
      <c r="C129" s="23" t="s">
        <v>11</v>
      </c>
      <c r="D129" s="24" t="s">
        <v>322</v>
      </c>
      <c r="E129" s="25">
        <v>63</v>
      </c>
      <c r="F129" t="s">
        <v>370</v>
      </c>
      <c r="G129" s="24" t="s">
        <v>42</v>
      </c>
      <c r="H129" s="24" t="s">
        <v>14</v>
      </c>
      <c r="I129" s="24">
        <v>98400</v>
      </c>
      <c r="J129" s="24">
        <v>5</v>
      </c>
      <c r="K129" s="25">
        <f t="shared" si="3"/>
        <v>492000</v>
      </c>
      <c r="L129" s="26">
        <v>45236</v>
      </c>
      <c r="M129" s="25" t="str">
        <f t="shared" si="4"/>
        <v>Monday</v>
      </c>
      <c r="N129" s="25" t="str">
        <f t="shared" si="5"/>
        <v>Weekday</v>
      </c>
      <c r="Q129" s="25"/>
      <c r="R129" s="24"/>
      <c r="S129" s="27"/>
      <c r="T129"/>
      <c r="U129" s="6"/>
      <c r="W129" s="7"/>
      <c r="Z129" s="4"/>
    </row>
    <row r="130" spans="1:26" x14ac:dyDescent="0.3">
      <c r="A130" t="s">
        <v>501</v>
      </c>
      <c r="B130" s="16" t="s">
        <v>44</v>
      </c>
      <c r="C130" s="17" t="s">
        <v>20</v>
      </c>
      <c r="D130" s="18" t="s">
        <v>322</v>
      </c>
      <c r="E130" s="19">
        <v>59</v>
      </c>
      <c r="F130" t="s">
        <v>370</v>
      </c>
      <c r="G130" s="18" t="s">
        <v>24</v>
      </c>
      <c r="H130" s="18" t="s">
        <v>14</v>
      </c>
      <c r="I130" s="18">
        <v>184500</v>
      </c>
      <c r="J130" s="18">
        <v>1</v>
      </c>
      <c r="K130" s="19">
        <f t="shared" ref="K130:K193" si="6">I130*J130</f>
        <v>184500</v>
      </c>
      <c r="L130" s="20">
        <v>44963</v>
      </c>
      <c r="M130" s="19" t="str">
        <f t="shared" ref="M130:M193" si="7">TEXT(L130, "dddd")</f>
        <v>Monday</v>
      </c>
      <c r="N130" s="19" t="str">
        <f t="shared" ref="N130:N193" si="8">IF(OR(WEEKDAY(L130, 2)=5, WEEKDAY(L130, 2)=6), "Weekend", "Weekday")</f>
        <v>Weekday</v>
      </c>
      <c r="Q130" s="19"/>
      <c r="R130" s="18"/>
      <c r="S130" s="21"/>
      <c r="T130"/>
      <c r="U130" s="6"/>
      <c r="W130" s="7"/>
      <c r="Z130" s="4"/>
    </row>
    <row r="131" spans="1:26" x14ac:dyDescent="0.3">
      <c r="A131" t="s">
        <v>502</v>
      </c>
      <c r="B131" s="22" t="s">
        <v>131</v>
      </c>
      <c r="C131" s="23" t="s">
        <v>20</v>
      </c>
      <c r="D131" s="24" t="s">
        <v>323</v>
      </c>
      <c r="E131" s="25">
        <v>62</v>
      </c>
      <c r="F131" t="s">
        <v>375</v>
      </c>
      <c r="G131" s="24" t="s">
        <v>24</v>
      </c>
      <c r="H131" s="24" t="s">
        <v>14</v>
      </c>
      <c r="I131" s="24">
        <v>184500</v>
      </c>
      <c r="J131" s="24">
        <v>5</v>
      </c>
      <c r="K131" s="25">
        <f t="shared" si="6"/>
        <v>922500</v>
      </c>
      <c r="L131" s="26">
        <v>45248</v>
      </c>
      <c r="M131" s="25" t="str">
        <f t="shared" si="7"/>
        <v>Saturday</v>
      </c>
      <c r="N131" s="25" t="str">
        <f t="shared" si="8"/>
        <v>Weekend</v>
      </c>
      <c r="Q131" s="25"/>
      <c r="R131" s="24"/>
      <c r="S131" s="27"/>
      <c r="T131"/>
      <c r="U131" s="6"/>
      <c r="W131" s="7"/>
      <c r="Z131" s="4"/>
    </row>
    <row r="132" spans="1:26" x14ac:dyDescent="0.3">
      <c r="A132" t="s">
        <v>503</v>
      </c>
      <c r="B132" s="16" t="s">
        <v>132</v>
      </c>
      <c r="C132" s="17" t="s">
        <v>366</v>
      </c>
      <c r="D132" s="18" t="s">
        <v>322</v>
      </c>
      <c r="E132" s="19">
        <v>47</v>
      </c>
      <c r="F132" t="s">
        <v>381</v>
      </c>
      <c r="G132" s="18" t="s">
        <v>42</v>
      </c>
      <c r="H132" s="18" t="s">
        <v>14</v>
      </c>
      <c r="I132" s="18">
        <v>98400</v>
      </c>
      <c r="J132" s="18">
        <v>1</v>
      </c>
      <c r="K132" s="19">
        <f t="shared" si="6"/>
        <v>98400</v>
      </c>
      <c r="L132" s="20">
        <v>44939</v>
      </c>
      <c r="M132" s="19" t="str">
        <f t="shared" si="7"/>
        <v>Friday</v>
      </c>
      <c r="N132" s="19" t="str">
        <f t="shared" si="8"/>
        <v>Weekend</v>
      </c>
      <c r="Q132" s="19"/>
      <c r="R132" s="18"/>
      <c r="S132" s="21"/>
      <c r="T132"/>
      <c r="U132" s="6"/>
      <c r="W132" s="7"/>
      <c r="Z132" s="4"/>
    </row>
    <row r="133" spans="1:26" x14ac:dyDescent="0.3">
      <c r="A133" t="s">
        <v>504</v>
      </c>
      <c r="B133" s="22" t="s">
        <v>133</v>
      </c>
      <c r="C133" s="23" t="s">
        <v>20</v>
      </c>
      <c r="D133" s="24" t="s">
        <v>322</v>
      </c>
      <c r="E133" s="25">
        <v>30</v>
      </c>
      <c r="F133" t="s">
        <v>381</v>
      </c>
      <c r="G133" s="24" t="s">
        <v>26</v>
      </c>
      <c r="H133" s="24" t="s">
        <v>27</v>
      </c>
      <c r="I133" s="24">
        <v>24600</v>
      </c>
      <c r="J133" s="24">
        <v>1</v>
      </c>
      <c r="K133" s="25">
        <f t="shared" si="6"/>
        <v>24600</v>
      </c>
      <c r="L133" s="26">
        <v>45037</v>
      </c>
      <c r="M133" s="25" t="str">
        <f t="shared" si="7"/>
        <v>Friday</v>
      </c>
      <c r="N133" s="25" t="str">
        <f t="shared" si="8"/>
        <v>Weekend</v>
      </c>
      <c r="Q133" s="25"/>
      <c r="R133" s="24"/>
      <c r="S133" s="27"/>
      <c r="T133"/>
      <c r="U133" s="6"/>
      <c r="W133" s="7"/>
      <c r="Z133" s="4"/>
    </row>
    <row r="134" spans="1:26" x14ac:dyDescent="0.3">
      <c r="A134" t="s">
        <v>505</v>
      </c>
      <c r="B134" s="16" t="s">
        <v>134</v>
      </c>
      <c r="C134" s="17" t="s">
        <v>366</v>
      </c>
      <c r="D134" s="18" t="s">
        <v>322</v>
      </c>
      <c r="E134" s="19">
        <v>33</v>
      </c>
      <c r="F134" t="s">
        <v>381</v>
      </c>
      <c r="G134" s="18" t="s">
        <v>31</v>
      </c>
      <c r="H134" s="18" t="s">
        <v>18</v>
      </c>
      <c r="I134" s="18">
        <v>6150</v>
      </c>
      <c r="J134" s="18">
        <v>1</v>
      </c>
      <c r="K134" s="19">
        <f t="shared" si="6"/>
        <v>6150</v>
      </c>
      <c r="L134" s="20">
        <v>45140</v>
      </c>
      <c r="M134" s="19" t="str">
        <f t="shared" si="7"/>
        <v>Wednesday</v>
      </c>
      <c r="N134" s="19" t="str">
        <f t="shared" si="8"/>
        <v>Weekday</v>
      </c>
      <c r="Q134" s="19"/>
      <c r="R134" s="18"/>
      <c r="S134" s="21"/>
      <c r="T134"/>
      <c r="U134" s="6"/>
      <c r="W134" s="7"/>
      <c r="Z134" s="4"/>
    </row>
    <row r="135" spans="1:26" x14ac:dyDescent="0.3">
      <c r="A135" t="s">
        <v>506</v>
      </c>
      <c r="B135" s="22" t="s">
        <v>135</v>
      </c>
      <c r="C135" s="23" t="s">
        <v>366</v>
      </c>
      <c r="D135" s="24" t="s">
        <v>323</v>
      </c>
      <c r="E135" s="25">
        <v>41</v>
      </c>
      <c r="F135" t="s">
        <v>373</v>
      </c>
      <c r="G135" s="24" t="s">
        <v>24</v>
      </c>
      <c r="H135" s="24" t="s">
        <v>14</v>
      </c>
      <c r="I135" s="24">
        <v>184500</v>
      </c>
      <c r="J135" s="24">
        <v>2</v>
      </c>
      <c r="K135" s="25">
        <f t="shared" si="6"/>
        <v>369000</v>
      </c>
      <c r="L135" s="26">
        <v>44959</v>
      </c>
      <c r="M135" s="25" t="str">
        <f t="shared" si="7"/>
        <v>Thursday</v>
      </c>
      <c r="N135" s="25" t="str">
        <f t="shared" si="8"/>
        <v>Weekday</v>
      </c>
      <c r="Q135" s="25"/>
      <c r="R135" s="24"/>
      <c r="S135" s="27"/>
      <c r="T135"/>
      <c r="U135" s="6"/>
      <c r="W135" s="7"/>
      <c r="Z135" s="4"/>
    </row>
    <row r="136" spans="1:26" x14ac:dyDescent="0.3">
      <c r="A136" t="s">
        <v>507</v>
      </c>
      <c r="B136" s="16" t="s">
        <v>136</v>
      </c>
      <c r="C136" s="17" t="s">
        <v>366</v>
      </c>
      <c r="D136" s="18" t="s">
        <v>322</v>
      </c>
      <c r="E136" s="19">
        <v>46</v>
      </c>
      <c r="F136" t="s">
        <v>375</v>
      </c>
      <c r="G136" s="18" t="s">
        <v>31</v>
      </c>
      <c r="H136" s="18" t="s">
        <v>18</v>
      </c>
      <c r="I136" s="18">
        <v>6150</v>
      </c>
      <c r="J136" s="18">
        <v>3</v>
      </c>
      <c r="K136" s="19">
        <f t="shared" si="6"/>
        <v>18450</v>
      </c>
      <c r="L136" s="20">
        <v>45001</v>
      </c>
      <c r="M136" s="19" t="str">
        <f t="shared" si="7"/>
        <v>Thursday</v>
      </c>
      <c r="N136" s="19" t="str">
        <f t="shared" si="8"/>
        <v>Weekday</v>
      </c>
      <c r="Q136" s="19"/>
      <c r="R136" s="18"/>
      <c r="S136" s="21"/>
      <c r="T136"/>
      <c r="U136" s="6"/>
      <c r="W136" s="7"/>
      <c r="Z136" s="4"/>
    </row>
    <row r="137" spans="1:26" x14ac:dyDescent="0.3">
      <c r="A137" t="s">
        <v>508</v>
      </c>
      <c r="B137" s="22" t="s">
        <v>34</v>
      </c>
      <c r="C137" s="23" t="s">
        <v>20</v>
      </c>
      <c r="D137" s="24" t="s">
        <v>323</v>
      </c>
      <c r="E137" s="25">
        <v>49</v>
      </c>
      <c r="F137" t="s">
        <v>373</v>
      </c>
      <c r="G137" s="24" t="s">
        <v>32</v>
      </c>
      <c r="H137" s="24" t="s">
        <v>18</v>
      </c>
      <c r="I137" s="24">
        <v>3690</v>
      </c>
      <c r="J137" s="24">
        <v>2</v>
      </c>
      <c r="K137" s="25">
        <f t="shared" si="6"/>
        <v>7380</v>
      </c>
      <c r="L137" s="26">
        <v>45233</v>
      </c>
      <c r="M137" s="25" t="str">
        <f t="shared" si="7"/>
        <v>Friday</v>
      </c>
      <c r="N137" s="25" t="str">
        <f t="shared" si="8"/>
        <v>Weekend</v>
      </c>
      <c r="Q137" s="25"/>
      <c r="R137" s="24"/>
      <c r="S137" s="27"/>
      <c r="T137"/>
      <c r="U137" s="6"/>
      <c r="W137" s="7"/>
      <c r="Z137" s="4"/>
    </row>
    <row r="138" spans="1:26" x14ac:dyDescent="0.3">
      <c r="A138" t="s">
        <v>509</v>
      </c>
      <c r="B138" s="16" t="s">
        <v>137</v>
      </c>
      <c r="C138" s="17" t="s">
        <v>11</v>
      </c>
      <c r="D138" s="18" t="s">
        <v>329</v>
      </c>
      <c r="E138" s="19">
        <v>54</v>
      </c>
      <c r="F138" t="s">
        <v>373</v>
      </c>
      <c r="G138" s="18" t="s">
        <v>32</v>
      </c>
      <c r="H138" s="18" t="s">
        <v>18</v>
      </c>
      <c r="I138" s="18">
        <v>3690</v>
      </c>
      <c r="J138" s="18">
        <v>2</v>
      </c>
      <c r="K138" s="19">
        <f t="shared" si="6"/>
        <v>7380</v>
      </c>
      <c r="L138" s="20">
        <v>45081</v>
      </c>
      <c r="M138" s="19" t="str">
        <f t="shared" si="7"/>
        <v>Sunday</v>
      </c>
      <c r="N138" s="19" t="str">
        <f t="shared" si="8"/>
        <v>Weekday</v>
      </c>
      <c r="Q138" s="19"/>
      <c r="R138" s="18"/>
      <c r="S138" s="21"/>
      <c r="T138"/>
      <c r="U138" s="6"/>
      <c r="W138" s="7"/>
      <c r="Z138" s="4"/>
    </row>
    <row r="139" spans="1:26" x14ac:dyDescent="0.3">
      <c r="A139" t="s">
        <v>510</v>
      </c>
      <c r="B139" s="22" t="s">
        <v>133</v>
      </c>
      <c r="C139" s="23" t="s">
        <v>20</v>
      </c>
      <c r="D139" s="24" t="s">
        <v>322</v>
      </c>
      <c r="E139" s="25">
        <v>30</v>
      </c>
      <c r="F139" t="s">
        <v>373</v>
      </c>
      <c r="G139" s="24" t="s">
        <v>24</v>
      </c>
      <c r="H139" s="24" t="s">
        <v>14</v>
      </c>
      <c r="I139" s="24">
        <v>184500</v>
      </c>
      <c r="J139" s="24">
        <v>1</v>
      </c>
      <c r="K139" s="25">
        <f t="shared" si="6"/>
        <v>184500</v>
      </c>
      <c r="L139" s="26">
        <v>45264</v>
      </c>
      <c r="M139" s="25" t="str">
        <f t="shared" si="7"/>
        <v>Monday</v>
      </c>
      <c r="N139" s="25" t="str">
        <f t="shared" si="8"/>
        <v>Weekday</v>
      </c>
      <c r="Q139" s="25"/>
      <c r="R139" s="24"/>
      <c r="S139" s="27"/>
      <c r="T139"/>
      <c r="U139" s="6"/>
      <c r="W139" s="7"/>
      <c r="Z139" s="4"/>
    </row>
    <row r="140" spans="1:26" x14ac:dyDescent="0.3">
      <c r="A140" t="s">
        <v>511</v>
      </c>
      <c r="B140" s="16" t="s">
        <v>104</v>
      </c>
      <c r="C140" s="17" t="s">
        <v>366</v>
      </c>
      <c r="D140" s="18" t="s">
        <v>326</v>
      </c>
      <c r="E140" s="19">
        <v>30</v>
      </c>
      <c r="F140" t="s">
        <v>370</v>
      </c>
      <c r="G140" s="18" t="s">
        <v>24</v>
      </c>
      <c r="H140" s="18" t="s">
        <v>14</v>
      </c>
      <c r="I140" s="18">
        <v>184500</v>
      </c>
      <c r="J140" s="18">
        <v>5</v>
      </c>
      <c r="K140" s="19">
        <f t="shared" si="6"/>
        <v>922500</v>
      </c>
      <c r="L140" s="20">
        <v>45195</v>
      </c>
      <c r="M140" s="19" t="str">
        <f t="shared" si="7"/>
        <v>Tuesday</v>
      </c>
      <c r="N140" s="19" t="str">
        <f t="shared" si="8"/>
        <v>Weekday</v>
      </c>
      <c r="Q140" s="19"/>
      <c r="R140" s="18"/>
      <c r="S140" s="21"/>
      <c r="T140"/>
      <c r="U140" s="6"/>
      <c r="W140" s="7"/>
      <c r="Z140" s="4"/>
    </row>
    <row r="141" spans="1:26" x14ac:dyDescent="0.3">
      <c r="A141" t="s">
        <v>512</v>
      </c>
      <c r="B141" s="22" t="s">
        <v>138</v>
      </c>
      <c r="C141" s="23" t="s">
        <v>20</v>
      </c>
      <c r="D141" s="24" t="s">
        <v>323</v>
      </c>
      <c r="E141" s="25">
        <v>37</v>
      </c>
      <c r="F141" t="s">
        <v>370</v>
      </c>
      <c r="G141" s="24" t="s">
        <v>24</v>
      </c>
      <c r="H141" s="24" t="s">
        <v>14</v>
      </c>
      <c r="I141" s="24">
        <v>184500</v>
      </c>
      <c r="J141" s="24">
        <v>2</v>
      </c>
      <c r="K141" s="25">
        <f t="shared" si="6"/>
        <v>369000</v>
      </c>
      <c r="L141" s="26">
        <v>44944</v>
      </c>
      <c r="M141" s="25" t="str">
        <f t="shared" si="7"/>
        <v>Wednesday</v>
      </c>
      <c r="N141" s="25" t="str">
        <f t="shared" si="8"/>
        <v>Weekday</v>
      </c>
      <c r="Q141" s="25"/>
      <c r="R141" s="24"/>
      <c r="S141" s="27"/>
      <c r="T141"/>
      <c r="U141" s="6"/>
      <c r="W141" s="7"/>
      <c r="Z141" s="4"/>
    </row>
    <row r="142" spans="1:26" x14ac:dyDescent="0.3">
      <c r="A142" t="s">
        <v>513</v>
      </c>
      <c r="B142" s="16" t="s">
        <v>139</v>
      </c>
      <c r="C142" s="17" t="s">
        <v>366</v>
      </c>
      <c r="D142" s="18" t="s">
        <v>324</v>
      </c>
      <c r="E142" s="19">
        <v>27</v>
      </c>
      <c r="F142" t="s">
        <v>375</v>
      </c>
      <c r="G142" s="18" t="s">
        <v>13</v>
      </c>
      <c r="H142" s="18" t="s">
        <v>14</v>
      </c>
      <c r="I142" s="18">
        <v>36900</v>
      </c>
      <c r="J142" s="18">
        <v>1</v>
      </c>
      <c r="K142" s="19">
        <f t="shared" si="6"/>
        <v>36900</v>
      </c>
      <c r="L142" s="20">
        <v>45253</v>
      </c>
      <c r="M142" s="19" t="str">
        <f t="shared" si="7"/>
        <v>Thursday</v>
      </c>
      <c r="N142" s="19" t="str">
        <f t="shared" si="8"/>
        <v>Weekday</v>
      </c>
      <c r="Q142" s="19"/>
      <c r="R142" s="18"/>
      <c r="S142" s="21"/>
      <c r="T142"/>
      <c r="U142" s="6"/>
      <c r="W142" s="7"/>
      <c r="Z142" s="4"/>
    </row>
    <row r="143" spans="1:26" x14ac:dyDescent="0.3">
      <c r="A143" t="s">
        <v>514</v>
      </c>
      <c r="B143" s="22" t="s">
        <v>129</v>
      </c>
      <c r="C143" s="23" t="s">
        <v>20</v>
      </c>
      <c r="D143" s="24" t="s">
        <v>329</v>
      </c>
      <c r="E143" s="25">
        <v>38</v>
      </c>
      <c r="F143" t="s">
        <v>375</v>
      </c>
      <c r="G143" s="24" t="s">
        <v>26</v>
      </c>
      <c r="H143" s="24" t="s">
        <v>27</v>
      </c>
      <c r="I143" s="24">
        <v>24600</v>
      </c>
      <c r="J143" s="24">
        <v>4</v>
      </c>
      <c r="K143" s="25">
        <f t="shared" si="6"/>
        <v>98400</v>
      </c>
      <c r="L143" s="26">
        <v>45049</v>
      </c>
      <c r="M143" s="25" t="str">
        <f t="shared" si="7"/>
        <v>Wednesday</v>
      </c>
      <c r="N143" s="25" t="str">
        <f t="shared" si="8"/>
        <v>Weekday</v>
      </c>
      <c r="Q143" s="25"/>
      <c r="R143" s="24"/>
      <c r="S143" s="27"/>
      <c r="T143"/>
      <c r="U143" s="6"/>
      <c r="W143" s="7"/>
      <c r="Z143" s="4"/>
    </row>
    <row r="144" spans="1:26" x14ac:dyDescent="0.3">
      <c r="A144" t="s">
        <v>515</v>
      </c>
      <c r="B144" s="16" t="s">
        <v>140</v>
      </c>
      <c r="C144" s="17" t="s">
        <v>20</v>
      </c>
      <c r="D144" s="18" t="s">
        <v>327</v>
      </c>
      <c r="E144" s="19">
        <v>44</v>
      </c>
      <c r="F144" t="s">
        <v>370</v>
      </c>
      <c r="G144" s="18" t="s">
        <v>31</v>
      </c>
      <c r="H144" s="18" t="s">
        <v>18</v>
      </c>
      <c r="I144" s="18">
        <v>6150</v>
      </c>
      <c r="J144" s="18">
        <v>4</v>
      </c>
      <c r="K144" s="19">
        <f t="shared" si="6"/>
        <v>24600</v>
      </c>
      <c r="L144" s="20">
        <v>45165</v>
      </c>
      <c r="M144" s="19" t="str">
        <f t="shared" si="7"/>
        <v>Sunday</v>
      </c>
      <c r="N144" s="19" t="str">
        <f t="shared" si="8"/>
        <v>Weekday</v>
      </c>
      <c r="Q144" s="19"/>
      <c r="R144" s="18"/>
      <c r="S144" s="21"/>
      <c r="T144"/>
      <c r="U144" s="6"/>
      <c r="W144" s="7"/>
      <c r="Z144" s="4"/>
    </row>
    <row r="145" spans="1:26" x14ac:dyDescent="0.3">
      <c r="A145" t="s">
        <v>516</v>
      </c>
      <c r="B145" s="22" t="s">
        <v>64</v>
      </c>
      <c r="C145" s="23" t="s">
        <v>20</v>
      </c>
      <c r="D145" s="24" t="s">
        <v>324</v>
      </c>
      <c r="E145" s="25">
        <v>58</v>
      </c>
      <c r="F145" t="s">
        <v>370</v>
      </c>
      <c r="G145" s="24" t="s">
        <v>17</v>
      </c>
      <c r="H145" s="24" t="s">
        <v>18</v>
      </c>
      <c r="I145" s="24">
        <v>12300</v>
      </c>
      <c r="J145" s="24">
        <v>5</v>
      </c>
      <c r="K145" s="25">
        <f t="shared" si="6"/>
        <v>61500</v>
      </c>
      <c r="L145" s="26">
        <v>44942</v>
      </c>
      <c r="M145" s="25" t="str">
        <f t="shared" si="7"/>
        <v>Monday</v>
      </c>
      <c r="N145" s="25" t="str">
        <f t="shared" si="8"/>
        <v>Weekday</v>
      </c>
      <c r="Q145" s="25"/>
      <c r="R145" s="24"/>
      <c r="S145" s="27"/>
      <c r="T145"/>
      <c r="U145" s="6"/>
      <c r="W145" s="7"/>
      <c r="Z145" s="4"/>
    </row>
    <row r="146" spans="1:26" x14ac:dyDescent="0.3">
      <c r="A146" t="s">
        <v>517</v>
      </c>
      <c r="B146" s="16" t="s">
        <v>51</v>
      </c>
      <c r="C146" s="17" t="s">
        <v>20</v>
      </c>
      <c r="D146" s="18" t="s">
        <v>324</v>
      </c>
      <c r="E146" s="19">
        <v>25</v>
      </c>
      <c r="F146" t="s">
        <v>373</v>
      </c>
      <c r="G146" s="18" t="s">
        <v>26</v>
      </c>
      <c r="H146" s="18" t="s">
        <v>27</v>
      </c>
      <c r="I146" s="18">
        <v>24600</v>
      </c>
      <c r="J146" s="18">
        <v>5</v>
      </c>
      <c r="K146" s="19">
        <f t="shared" si="6"/>
        <v>123000</v>
      </c>
      <c r="L146" s="20">
        <v>45132</v>
      </c>
      <c r="M146" s="19" t="str">
        <f t="shared" si="7"/>
        <v>Tuesday</v>
      </c>
      <c r="N146" s="19" t="str">
        <f t="shared" si="8"/>
        <v>Weekday</v>
      </c>
      <c r="Q146" s="19"/>
      <c r="R146" s="18"/>
      <c r="S146" s="21"/>
      <c r="T146"/>
      <c r="U146" s="6"/>
      <c r="W146" s="7"/>
      <c r="Z146" s="4"/>
    </row>
    <row r="147" spans="1:26" x14ac:dyDescent="0.3">
      <c r="A147" t="s">
        <v>518</v>
      </c>
      <c r="B147" s="22" t="s">
        <v>141</v>
      </c>
      <c r="C147" s="23" t="s">
        <v>366</v>
      </c>
      <c r="D147" s="24" t="s">
        <v>323</v>
      </c>
      <c r="E147" s="25">
        <v>35</v>
      </c>
      <c r="F147" t="s">
        <v>381</v>
      </c>
      <c r="G147" s="24" t="s">
        <v>26</v>
      </c>
      <c r="H147" s="24" t="s">
        <v>27</v>
      </c>
      <c r="I147" s="24">
        <v>24600</v>
      </c>
      <c r="J147" s="24">
        <v>1</v>
      </c>
      <c r="K147" s="25">
        <f t="shared" si="6"/>
        <v>24600</v>
      </c>
      <c r="L147" s="26">
        <v>45248</v>
      </c>
      <c r="M147" s="25" t="str">
        <f t="shared" si="7"/>
        <v>Saturday</v>
      </c>
      <c r="N147" s="25" t="str">
        <f t="shared" si="8"/>
        <v>Weekend</v>
      </c>
      <c r="Q147" s="25"/>
      <c r="R147" s="24"/>
      <c r="S147" s="27"/>
      <c r="T147"/>
      <c r="U147" s="6"/>
      <c r="W147" s="7"/>
      <c r="Z147" s="4"/>
    </row>
    <row r="148" spans="1:26" x14ac:dyDescent="0.3">
      <c r="A148" t="s">
        <v>519</v>
      </c>
      <c r="B148" s="16" t="s">
        <v>142</v>
      </c>
      <c r="C148" s="17" t="s">
        <v>366</v>
      </c>
      <c r="D148" s="18" t="s">
        <v>323</v>
      </c>
      <c r="E148" s="19">
        <v>66</v>
      </c>
      <c r="F148" t="s">
        <v>381</v>
      </c>
      <c r="G148" s="18" t="s">
        <v>17</v>
      </c>
      <c r="H148" s="18" t="s">
        <v>18</v>
      </c>
      <c r="I148" s="18">
        <v>12300</v>
      </c>
      <c r="J148" s="18">
        <v>3</v>
      </c>
      <c r="K148" s="19">
        <f t="shared" si="6"/>
        <v>36900</v>
      </c>
      <c r="L148" s="20">
        <v>45267</v>
      </c>
      <c r="M148" s="19" t="str">
        <f t="shared" si="7"/>
        <v>Thursday</v>
      </c>
      <c r="N148" s="19" t="str">
        <f t="shared" si="8"/>
        <v>Weekday</v>
      </c>
      <c r="Q148" s="19"/>
      <c r="R148" s="18"/>
      <c r="S148" s="21"/>
      <c r="T148"/>
      <c r="U148" s="6"/>
      <c r="W148" s="7"/>
      <c r="Z148" s="4"/>
    </row>
    <row r="149" spans="1:26" x14ac:dyDescent="0.3">
      <c r="A149" t="s">
        <v>520</v>
      </c>
      <c r="B149" s="22" t="s">
        <v>94</v>
      </c>
      <c r="C149" s="23" t="s">
        <v>11</v>
      </c>
      <c r="D149" s="24" t="s">
        <v>326</v>
      </c>
      <c r="E149" s="25">
        <v>63</v>
      </c>
      <c r="F149" t="s">
        <v>381</v>
      </c>
      <c r="G149" s="24" t="s">
        <v>32</v>
      </c>
      <c r="H149" s="24" t="s">
        <v>18</v>
      </c>
      <c r="I149" s="24">
        <v>3690</v>
      </c>
      <c r="J149" s="24">
        <v>3</v>
      </c>
      <c r="K149" s="25">
        <f t="shared" si="6"/>
        <v>11070</v>
      </c>
      <c r="L149" s="26">
        <v>45061</v>
      </c>
      <c r="M149" s="25" t="str">
        <f t="shared" si="7"/>
        <v>Monday</v>
      </c>
      <c r="N149" s="25" t="str">
        <f t="shared" si="8"/>
        <v>Weekday</v>
      </c>
      <c r="Q149" s="25"/>
      <c r="R149" s="24"/>
      <c r="S149" s="27"/>
      <c r="T149"/>
      <c r="U149" s="6"/>
      <c r="W149" s="7"/>
      <c r="Z149" s="4"/>
    </row>
    <row r="150" spans="1:26" x14ac:dyDescent="0.3">
      <c r="A150" t="s">
        <v>521</v>
      </c>
      <c r="B150" s="16" t="s">
        <v>143</v>
      </c>
      <c r="C150" s="17" t="s">
        <v>20</v>
      </c>
      <c r="D150" s="18" t="s">
        <v>323</v>
      </c>
      <c r="E150" s="19">
        <v>39</v>
      </c>
      <c r="F150" t="s">
        <v>381</v>
      </c>
      <c r="G150" s="18" t="s">
        <v>13</v>
      </c>
      <c r="H150" s="18" t="s">
        <v>14</v>
      </c>
      <c r="I150" s="18">
        <v>36900</v>
      </c>
      <c r="J150" s="18">
        <v>4</v>
      </c>
      <c r="K150" s="19">
        <f t="shared" si="6"/>
        <v>147600</v>
      </c>
      <c r="L150" s="20">
        <v>45062</v>
      </c>
      <c r="M150" s="19" t="str">
        <f t="shared" si="7"/>
        <v>Tuesday</v>
      </c>
      <c r="N150" s="19" t="str">
        <f t="shared" si="8"/>
        <v>Weekday</v>
      </c>
      <c r="Q150" s="19"/>
      <c r="R150" s="18"/>
      <c r="S150" s="21"/>
      <c r="T150"/>
      <c r="U150" s="6"/>
      <c r="W150" s="7"/>
      <c r="Z150" s="4"/>
    </row>
    <row r="151" spans="1:26" x14ac:dyDescent="0.3">
      <c r="A151" t="s">
        <v>522</v>
      </c>
      <c r="B151" s="22" t="s">
        <v>144</v>
      </c>
      <c r="C151" s="23" t="s">
        <v>20</v>
      </c>
      <c r="D151" s="24" t="s">
        <v>323</v>
      </c>
      <c r="E151" s="25">
        <v>29</v>
      </c>
      <c r="F151" t="s">
        <v>381</v>
      </c>
      <c r="G151" s="24" t="s">
        <v>26</v>
      </c>
      <c r="H151" s="24" t="s">
        <v>27</v>
      </c>
      <c r="I151" s="24">
        <v>24600</v>
      </c>
      <c r="J151" s="24">
        <v>3</v>
      </c>
      <c r="K151" s="25">
        <f t="shared" si="6"/>
        <v>73800</v>
      </c>
      <c r="L151" s="26">
        <v>45003</v>
      </c>
      <c r="M151" s="25" t="str">
        <f t="shared" si="7"/>
        <v>Saturday</v>
      </c>
      <c r="N151" s="25" t="str">
        <f t="shared" si="8"/>
        <v>Weekend</v>
      </c>
      <c r="Q151" s="25"/>
      <c r="R151" s="24"/>
      <c r="S151" s="27"/>
      <c r="T151"/>
      <c r="U151" s="6"/>
      <c r="W151" s="7"/>
      <c r="Z151" s="4"/>
    </row>
    <row r="152" spans="1:26" x14ac:dyDescent="0.3">
      <c r="A152" t="s">
        <v>523</v>
      </c>
      <c r="B152" s="16" t="s">
        <v>145</v>
      </c>
      <c r="C152" s="17" t="s">
        <v>11</v>
      </c>
      <c r="D152" s="18" t="s">
        <v>325</v>
      </c>
      <c r="E152" s="19">
        <v>50</v>
      </c>
      <c r="F152" t="s">
        <v>373</v>
      </c>
      <c r="G152" s="18" t="s">
        <v>17</v>
      </c>
      <c r="H152" s="18" t="s">
        <v>18</v>
      </c>
      <c r="I152" s="18">
        <v>12300</v>
      </c>
      <c r="J152" s="18">
        <v>2</v>
      </c>
      <c r="K152" s="19">
        <f t="shared" si="6"/>
        <v>24600</v>
      </c>
      <c r="L152" s="20">
        <v>44993</v>
      </c>
      <c r="M152" s="19" t="str">
        <f t="shared" si="7"/>
        <v>Wednesday</v>
      </c>
      <c r="N152" s="19" t="str">
        <f t="shared" si="8"/>
        <v>Weekday</v>
      </c>
      <c r="Q152" s="19"/>
      <c r="R152" s="18"/>
      <c r="S152" s="21"/>
      <c r="T152"/>
      <c r="U152" s="6"/>
      <c r="W152" s="7"/>
      <c r="Z152" s="4"/>
    </row>
    <row r="153" spans="1:26" x14ac:dyDescent="0.3">
      <c r="A153" t="s">
        <v>524</v>
      </c>
      <c r="B153" s="22" t="s">
        <v>146</v>
      </c>
      <c r="C153" s="23" t="s">
        <v>20</v>
      </c>
      <c r="D153" s="24" t="s">
        <v>328</v>
      </c>
      <c r="E153" s="25">
        <v>27</v>
      </c>
      <c r="F153" t="s">
        <v>375</v>
      </c>
      <c r="G153" s="24" t="s">
        <v>32</v>
      </c>
      <c r="H153" s="24" t="s">
        <v>18</v>
      </c>
      <c r="I153" s="24">
        <v>3690</v>
      </c>
      <c r="J153" s="24">
        <v>3</v>
      </c>
      <c r="K153" s="25">
        <f t="shared" si="6"/>
        <v>11070</v>
      </c>
      <c r="L153" s="26">
        <v>45188</v>
      </c>
      <c r="M153" s="25" t="str">
        <f t="shared" si="7"/>
        <v>Tuesday</v>
      </c>
      <c r="N153" s="25" t="str">
        <f t="shared" si="8"/>
        <v>Weekday</v>
      </c>
      <c r="Q153" s="25"/>
      <c r="R153" s="24"/>
      <c r="S153" s="27"/>
      <c r="T153"/>
      <c r="U153" s="6"/>
      <c r="W153" s="7"/>
      <c r="Z153" s="4"/>
    </row>
    <row r="154" spans="1:26" x14ac:dyDescent="0.3">
      <c r="A154" t="s">
        <v>525</v>
      </c>
      <c r="B154" s="16" t="s">
        <v>74</v>
      </c>
      <c r="C154" s="17" t="s">
        <v>20</v>
      </c>
      <c r="D154" s="18" t="s">
        <v>322</v>
      </c>
      <c r="E154" s="19">
        <v>42</v>
      </c>
      <c r="F154" t="s">
        <v>370</v>
      </c>
      <c r="G154" s="18" t="s">
        <v>42</v>
      </c>
      <c r="H154" s="18" t="s">
        <v>14</v>
      </c>
      <c r="I154" s="18">
        <v>98400</v>
      </c>
      <c r="J154" s="18">
        <v>2</v>
      </c>
      <c r="K154" s="19">
        <f t="shared" si="6"/>
        <v>196800</v>
      </c>
      <c r="L154" s="20">
        <v>45194</v>
      </c>
      <c r="M154" s="19" t="str">
        <f t="shared" si="7"/>
        <v>Monday</v>
      </c>
      <c r="N154" s="19" t="str">
        <f t="shared" si="8"/>
        <v>Weekday</v>
      </c>
      <c r="Q154" s="19"/>
      <c r="R154" s="18"/>
      <c r="S154" s="21"/>
      <c r="T154"/>
      <c r="U154" s="6"/>
      <c r="W154" s="7"/>
      <c r="Z154" s="4"/>
    </row>
    <row r="155" spans="1:26" x14ac:dyDescent="0.3">
      <c r="A155" t="s">
        <v>526</v>
      </c>
      <c r="B155" s="22" t="s">
        <v>75</v>
      </c>
      <c r="C155" s="23" t="s">
        <v>11</v>
      </c>
      <c r="D155" s="24" t="s">
        <v>322</v>
      </c>
      <c r="E155" s="25">
        <v>51</v>
      </c>
      <c r="F155" t="s">
        <v>373</v>
      </c>
      <c r="G155" s="24" t="s">
        <v>24</v>
      </c>
      <c r="H155" s="24" t="s">
        <v>14</v>
      </c>
      <c r="I155" s="24">
        <v>184500</v>
      </c>
      <c r="J155" s="24">
        <v>3</v>
      </c>
      <c r="K155" s="25">
        <f t="shared" si="6"/>
        <v>553500</v>
      </c>
      <c r="L155" s="26">
        <v>45227</v>
      </c>
      <c r="M155" s="25" t="str">
        <f t="shared" si="7"/>
        <v>Saturday</v>
      </c>
      <c r="N155" s="25" t="str">
        <f t="shared" si="8"/>
        <v>Weekend</v>
      </c>
      <c r="Q155" s="25"/>
      <c r="R155" s="24"/>
      <c r="S155" s="27"/>
      <c r="T155"/>
      <c r="U155" s="6"/>
      <c r="W155" s="7"/>
      <c r="Z155" s="4"/>
    </row>
    <row r="156" spans="1:26" x14ac:dyDescent="0.3">
      <c r="A156" t="s">
        <v>527</v>
      </c>
      <c r="B156" s="16" t="s">
        <v>146</v>
      </c>
      <c r="C156" s="17" t="s">
        <v>20</v>
      </c>
      <c r="D156" s="18" t="s">
        <v>328</v>
      </c>
      <c r="E156" s="19">
        <v>27</v>
      </c>
      <c r="F156" t="s">
        <v>381</v>
      </c>
      <c r="G156" s="18" t="s">
        <v>13</v>
      </c>
      <c r="H156" s="18" t="s">
        <v>14</v>
      </c>
      <c r="I156" s="18">
        <v>36900</v>
      </c>
      <c r="J156" s="18">
        <v>3</v>
      </c>
      <c r="K156" s="19">
        <f t="shared" si="6"/>
        <v>110700</v>
      </c>
      <c r="L156" s="20">
        <v>44978</v>
      </c>
      <c r="M156" s="19" t="str">
        <f t="shared" si="7"/>
        <v>Tuesday</v>
      </c>
      <c r="N156" s="19" t="str">
        <f t="shared" si="8"/>
        <v>Weekday</v>
      </c>
      <c r="Q156" s="19"/>
      <c r="R156" s="18"/>
      <c r="S156" s="21"/>
      <c r="T156"/>
      <c r="U156" s="6"/>
      <c r="W156" s="7"/>
      <c r="Z156" s="4"/>
    </row>
    <row r="157" spans="1:26" x14ac:dyDescent="0.3">
      <c r="A157" t="s">
        <v>528</v>
      </c>
      <c r="B157" s="22" t="s">
        <v>140</v>
      </c>
      <c r="C157" s="23" t="s">
        <v>20</v>
      </c>
      <c r="D157" s="24" t="s">
        <v>327</v>
      </c>
      <c r="E157" s="25">
        <v>44</v>
      </c>
      <c r="F157" t="s">
        <v>370</v>
      </c>
      <c r="G157" s="24" t="s">
        <v>31</v>
      </c>
      <c r="H157" s="24" t="s">
        <v>18</v>
      </c>
      <c r="I157" s="24">
        <v>6150</v>
      </c>
      <c r="J157" s="24">
        <v>2</v>
      </c>
      <c r="K157" s="25">
        <f t="shared" si="6"/>
        <v>12300</v>
      </c>
      <c r="L157" s="26">
        <v>45166</v>
      </c>
      <c r="M157" s="25" t="str">
        <f t="shared" si="7"/>
        <v>Monday</v>
      </c>
      <c r="N157" s="25" t="str">
        <f t="shared" si="8"/>
        <v>Weekday</v>
      </c>
      <c r="Q157" s="25"/>
      <c r="R157" s="24"/>
      <c r="S157" s="27"/>
      <c r="T157"/>
      <c r="U157" s="6"/>
      <c r="W157" s="7"/>
      <c r="Z157" s="4"/>
    </row>
    <row r="158" spans="1:26" x14ac:dyDescent="0.3">
      <c r="A158" t="s">
        <v>529</v>
      </c>
      <c r="B158" s="16" t="s">
        <v>147</v>
      </c>
      <c r="C158" s="17" t="s">
        <v>11</v>
      </c>
      <c r="D158" s="18" t="s">
        <v>322</v>
      </c>
      <c r="E158" s="19">
        <v>30</v>
      </c>
      <c r="F158" t="s">
        <v>373</v>
      </c>
      <c r="G158" s="18" t="s">
        <v>32</v>
      </c>
      <c r="H158" s="18" t="s">
        <v>18</v>
      </c>
      <c r="I158" s="18">
        <v>3690</v>
      </c>
      <c r="J158" s="18">
        <v>5</v>
      </c>
      <c r="K158" s="19">
        <f t="shared" si="6"/>
        <v>18450</v>
      </c>
      <c r="L158" s="20">
        <v>45227</v>
      </c>
      <c r="M158" s="19" t="str">
        <f t="shared" si="7"/>
        <v>Saturday</v>
      </c>
      <c r="N158" s="19" t="str">
        <f t="shared" si="8"/>
        <v>Weekend</v>
      </c>
      <c r="Q158" s="19"/>
      <c r="R158" s="18"/>
      <c r="S158" s="21"/>
      <c r="T158"/>
      <c r="U158" s="6"/>
      <c r="W158" s="7"/>
      <c r="Z158" s="4"/>
    </row>
    <row r="159" spans="1:26" x14ac:dyDescent="0.3">
      <c r="A159" t="s">
        <v>530</v>
      </c>
      <c r="B159" s="22" t="s">
        <v>124</v>
      </c>
      <c r="C159" s="23" t="s">
        <v>20</v>
      </c>
      <c r="D159" s="24" t="s">
        <v>326</v>
      </c>
      <c r="E159" s="25">
        <v>19</v>
      </c>
      <c r="F159" t="s">
        <v>381</v>
      </c>
      <c r="G159" s="24" t="s">
        <v>13</v>
      </c>
      <c r="H159" s="24" t="s">
        <v>14</v>
      </c>
      <c r="I159" s="24">
        <v>36900</v>
      </c>
      <c r="J159" s="24">
        <v>5</v>
      </c>
      <c r="K159" s="25">
        <f t="shared" si="6"/>
        <v>184500</v>
      </c>
      <c r="L159" s="26">
        <v>45238</v>
      </c>
      <c r="M159" s="25" t="str">
        <f t="shared" si="7"/>
        <v>Wednesday</v>
      </c>
      <c r="N159" s="25" t="str">
        <f t="shared" si="8"/>
        <v>Weekday</v>
      </c>
      <c r="Q159" s="25"/>
      <c r="R159" s="24"/>
      <c r="S159" s="27"/>
      <c r="T159"/>
      <c r="U159" s="6"/>
      <c r="W159" s="7"/>
      <c r="Z159" s="4"/>
    </row>
    <row r="160" spans="1:26" x14ac:dyDescent="0.3">
      <c r="A160" t="s">
        <v>531</v>
      </c>
      <c r="B160" s="16" t="s">
        <v>148</v>
      </c>
      <c r="C160" s="17" t="s">
        <v>20</v>
      </c>
      <c r="D160" s="18" t="s">
        <v>323</v>
      </c>
      <c r="E160" s="19">
        <v>68</v>
      </c>
      <c r="F160" t="s">
        <v>373</v>
      </c>
      <c r="G160" s="18" t="s">
        <v>24</v>
      </c>
      <c r="H160" s="18" t="s">
        <v>14</v>
      </c>
      <c r="I160" s="18">
        <v>184500</v>
      </c>
      <c r="J160" s="18">
        <v>1</v>
      </c>
      <c r="K160" s="19">
        <f t="shared" si="6"/>
        <v>184500</v>
      </c>
      <c r="L160" s="20">
        <v>45053</v>
      </c>
      <c r="M160" s="19" t="str">
        <f t="shared" si="7"/>
        <v>Sunday</v>
      </c>
      <c r="N160" s="19" t="str">
        <f t="shared" si="8"/>
        <v>Weekday</v>
      </c>
      <c r="Q160" s="19"/>
      <c r="R160" s="18"/>
      <c r="S160" s="21"/>
      <c r="T160"/>
      <c r="U160" s="6"/>
      <c r="W160" s="7"/>
      <c r="Z160" s="4"/>
    </row>
    <row r="161" spans="1:26" x14ac:dyDescent="0.3">
      <c r="A161" t="s">
        <v>532</v>
      </c>
      <c r="B161" s="22" t="s">
        <v>149</v>
      </c>
      <c r="C161" s="23" t="s">
        <v>366</v>
      </c>
      <c r="D161" s="24" t="s">
        <v>322</v>
      </c>
      <c r="E161" s="25">
        <v>58</v>
      </c>
      <c r="F161" t="s">
        <v>370</v>
      </c>
      <c r="G161" s="24" t="s">
        <v>32</v>
      </c>
      <c r="H161" s="24" t="s">
        <v>18</v>
      </c>
      <c r="I161" s="24">
        <v>3690</v>
      </c>
      <c r="J161" s="24">
        <v>1</v>
      </c>
      <c r="K161" s="25">
        <f t="shared" si="6"/>
        <v>3690</v>
      </c>
      <c r="L161" s="26">
        <v>45202</v>
      </c>
      <c r="M161" s="25" t="str">
        <f t="shared" si="7"/>
        <v>Tuesday</v>
      </c>
      <c r="N161" s="25" t="str">
        <f t="shared" si="8"/>
        <v>Weekday</v>
      </c>
      <c r="Q161" s="25"/>
      <c r="R161" s="24"/>
      <c r="S161" s="27"/>
      <c r="T161"/>
      <c r="U161" s="6"/>
      <c r="W161" s="7"/>
      <c r="Z161" s="4"/>
    </row>
    <row r="162" spans="1:26" x14ac:dyDescent="0.3">
      <c r="A162" t="s">
        <v>533</v>
      </c>
      <c r="B162" s="16" t="s">
        <v>150</v>
      </c>
      <c r="C162" s="17" t="s">
        <v>11</v>
      </c>
      <c r="D162" s="18" t="s">
        <v>326</v>
      </c>
      <c r="E162" s="19">
        <v>56</v>
      </c>
      <c r="F162" t="s">
        <v>375</v>
      </c>
      <c r="G162" s="18" t="s">
        <v>32</v>
      </c>
      <c r="H162" s="18" t="s">
        <v>18</v>
      </c>
      <c r="I162" s="18">
        <v>3690</v>
      </c>
      <c r="J162" s="18">
        <v>3</v>
      </c>
      <c r="K162" s="19">
        <f t="shared" si="6"/>
        <v>11070</v>
      </c>
      <c r="L162" s="20">
        <v>44931</v>
      </c>
      <c r="M162" s="19" t="str">
        <f t="shared" si="7"/>
        <v>Thursday</v>
      </c>
      <c r="N162" s="19" t="str">
        <f t="shared" si="8"/>
        <v>Weekday</v>
      </c>
      <c r="Q162" s="19"/>
      <c r="R162" s="18"/>
      <c r="S162" s="21"/>
      <c r="T162"/>
      <c r="U162" s="6"/>
      <c r="W162" s="7"/>
      <c r="Z162" s="4"/>
    </row>
    <row r="163" spans="1:26" x14ac:dyDescent="0.3">
      <c r="A163" t="s">
        <v>534</v>
      </c>
      <c r="B163" s="22" t="s">
        <v>151</v>
      </c>
      <c r="C163" s="23" t="s">
        <v>11</v>
      </c>
      <c r="D163" s="24" t="s">
        <v>329</v>
      </c>
      <c r="E163" s="25">
        <v>59</v>
      </c>
      <c r="F163" t="s">
        <v>381</v>
      </c>
      <c r="G163" s="24" t="s">
        <v>24</v>
      </c>
      <c r="H163" s="24" t="s">
        <v>14</v>
      </c>
      <c r="I163" s="24">
        <v>184500</v>
      </c>
      <c r="J163" s="24">
        <v>2</v>
      </c>
      <c r="K163" s="25">
        <f t="shared" si="6"/>
        <v>369000</v>
      </c>
      <c r="L163" s="26">
        <v>45160</v>
      </c>
      <c r="M163" s="25" t="str">
        <f t="shared" si="7"/>
        <v>Tuesday</v>
      </c>
      <c r="N163" s="25" t="str">
        <f t="shared" si="8"/>
        <v>Weekday</v>
      </c>
      <c r="Q163" s="25"/>
      <c r="R163" s="24"/>
      <c r="S163" s="27"/>
      <c r="T163"/>
      <c r="U163" s="6"/>
      <c r="W163" s="7"/>
      <c r="Z163" s="4"/>
    </row>
    <row r="164" spans="1:26" x14ac:dyDescent="0.3">
      <c r="A164" t="s">
        <v>535</v>
      </c>
      <c r="B164" s="16" t="s">
        <v>89</v>
      </c>
      <c r="C164" s="17" t="s">
        <v>366</v>
      </c>
      <c r="D164" s="18" t="s">
        <v>326</v>
      </c>
      <c r="E164" s="19">
        <v>21</v>
      </c>
      <c r="F164" t="s">
        <v>370</v>
      </c>
      <c r="G164" s="18" t="s">
        <v>42</v>
      </c>
      <c r="H164" s="18" t="s">
        <v>14</v>
      </c>
      <c r="I164" s="18">
        <v>98400</v>
      </c>
      <c r="J164" s="18">
        <v>3</v>
      </c>
      <c r="K164" s="19">
        <f t="shared" si="6"/>
        <v>295200</v>
      </c>
      <c r="L164" s="20">
        <v>45237</v>
      </c>
      <c r="M164" s="19" t="str">
        <f t="shared" si="7"/>
        <v>Tuesday</v>
      </c>
      <c r="N164" s="19" t="str">
        <f t="shared" si="8"/>
        <v>Weekday</v>
      </c>
      <c r="Q164" s="19"/>
      <c r="R164" s="18"/>
      <c r="S164" s="21"/>
      <c r="T164"/>
      <c r="U164" s="6"/>
      <c r="W164" s="7"/>
      <c r="Z164" s="4"/>
    </row>
    <row r="165" spans="1:26" x14ac:dyDescent="0.3">
      <c r="A165" t="s">
        <v>536</v>
      </c>
      <c r="B165" s="22" t="s">
        <v>74</v>
      </c>
      <c r="C165" s="23" t="s">
        <v>20</v>
      </c>
      <c r="D165" s="24" t="s">
        <v>322</v>
      </c>
      <c r="E165" s="25">
        <v>42</v>
      </c>
      <c r="F165" t="s">
        <v>370</v>
      </c>
      <c r="G165" s="24" t="s">
        <v>31</v>
      </c>
      <c r="H165" s="24" t="s">
        <v>18</v>
      </c>
      <c r="I165" s="24">
        <v>6150</v>
      </c>
      <c r="J165" s="24">
        <v>1</v>
      </c>
      <c r="K165" s="25">
        <f t="shared" si="6"/>
        <v>6150</v>
      </c>
      <c r="L165" s="26">
        <v>45101</v>
      </c>
      <c r="M165" s="25" t="str">
        <f t="shared" si="7"/>
        <v>Saturday</v>
      </c>
      <c r="N165" s="25" t="str">
        <f t="shared" si="8"/>
        <v>Weekend</v>
      </c>
      <c r="Q165" s="25"/>
      <c r="R165" s="24"/>
      <c r="S165" s="27"/>
      <c r="T165"/>
      <c r="U165" s="6"/>
      <c r="W165" s="7"/>
      <c r="Z165" s="4"/>
    </row>
    <row r="166" spans="1:26" x14ac:dyDescent="0.3">
      <c r="A166" t="s">
        <v>537</v>
      </c>
      <c r="B166" s="16" t="s">
        <v>152</v>
      </c>
      <c r="C166" s="17" t="s">
        <v>20</v>
      </c>
      <c r="D166" s="18" t="s">
        <v>327</v>
      </c>
      <c r="E166" s="19">
        <v>36</v>
      </c>
      <c r="F166" t="s">
        <v>375</v>
      </c>
      <c r="G166" s="18" t="s">
        <v>31</v>
      </c>
      <c r="H166" s="18" t="s">
        <v>18</v>
      </c>
      <c r="I166" s="18">
        <v>6150</v>
      </c>
      <c r="J166" s="18">
        <v>5</v>
      </c>
      <c r="K166" s="19">
        <f t="shared" si="6"/>
        <v>30750</v>
      </c>
      <c r="L166" s="20">
        <v>45083</v>
      </c>
      <c r="M166" s="19" t="str">
        <f t="shared" si="7"/>
        <v>Tuesday</v>
      </c>
      <c r="N166" s="19" t="str">
        <f t="shared" si="8"/>
        <v>Weekday</v>
      </c>
      <c r="Q166" s="19"/>
      <c r="R166" s="18"/>
      <c r="S166" s="21"/>
      <c r="T166"/>
      <c r="U166" s="6"/>
      <c r="W166" s="7"/>
      <c r="Z166" s="4"/>
    </row>
    <row r="167" spans="1:26" x14ac:dyDescent="0.3">
      <c r="A167" t="s">
        <v>538</v>
      </c>
      <c r="B167" s="22" t="s">
        <v>110</v>
      </c>
      <c r="C167" s="23" t="s">
        <v>11</v>
      </c>
      <c r="D167" s="24" t="s">
        <v>323</v>
      </c>
      <c r="E167" s="25">
        <v>25</v>
      </c>
      <c r="F167" t="s">
        <v>373</v>
      </c>
      <c r="G167" s="24" t="s">
        <v>32</v>
      </c>
      <c r="H167" s="24" t="s">
        <v>18</v>
      </c>
      <c r="I167" s="24">
        <v>3690</v>
      </c>
      <c r="J167" s="24">
        <v>4</v>
      </c>
      <c r="K167" s="25">
        <f t="shared" si="6"/>
        <v>14760</v>
      </c>
      <c r="L167" s="26">
        <v>45106</v>
      </c>
      <c r="M167" s="25" t="str">
        <f t="shared" si="7"/>
        <v>Thursday</v>
      </c>
      <c r="N167" s="25" t="str">
        <f t="shared" si="8"/>
        <v>Weekday</v>
      </c>
      <c r="Q167" s="25"/>
      <c r="R167" s="24"/>
      <c r="S167" s="27"/>
      <c r="T167"/>
      <c r="U167" s="6"/>
      <c r="W167" s="7"/>
      <c r="Z167" s="4"/>
    </row>
    <row r="168" spans="1:26" x14ac:dyDescent="0.3">
      <c r="A168" t="s">
        <v>539</v>
      </c>
      <c r="B168" s="16" t="s">
        <v>36</v>
      </c>
      <c r="C168" s="17" t="s">
        <v>366</v>
      </c>
      <c r="D168" s="18" t="s">
        <v>324</v>
      </c>
      <c r="E168" s="19">
        <v>41</v>
      </c>
      <c r="F168" t="s">
        <v>375</v>
      </c>
      <c r="G168" s="18" t="s">
        <v>42</v>
      </c>
      <c r="H168" s="18" t="s">
        <v>14</v>
      </c>
      <c r="I168" s="18">
        <v>98400</v>
      </c>
      <c r="J168" s="18">
        <v>4</v>
      </c>
      <c r="K168" s="19">
        <f t="shared" si="6"/>
        <v>393600</v>
      </c>
      <c r="L168" s="20">
        <v>44944</v>
      </c>
      <c r="M168" s="19" t="str">
        <f t="shared" si="7"/>
        <v>Wednesday</v>
      </c>
      <c r="N168" s="19" t="str">
        <f t="shared" si="8"/>
        <v>Weekday</v>
      </c>
      <c r="Q168" s="19"/>
      <c r="R168" s="18"/>
      <c r="S168" s="21"/>
      <c r="T168"/>
      <c r="U168" s="6"/>
      <c r="W168" s="7"/>
      <c r="Z168" s="4"/>
    </row>
    <row r="169" spans="1:26" x14ac:dyDescent="0.3">
      <c r="A169" t="s">
        <v>540</v>
      </c>
      <c r="B169" s="22" t="s">
        <v>87</v>
      </c>
      <c r="C169" s="23" t="s">
        <v>20</v>
      </c>
      <c r="D169" s="24" t="s">
        <v>322</v>
      </c>
      <c r="E169" s="25">
        <v>41</v>
      </c>
      <c r="F169" t="s">
        <v>375</v>
      </c>
      <c r="G169" s="24" t="s">
        <v>17</v>
      </c>
      <c r="H169" s="24" t="s">
        <v>18</v>
      </c>
      <c r="I169" s="24">
        <v>12300</v>
      </c>
      <c r="J169" s="24">
        <v>5</v>
      </c>
      <c r="K169" s="25">
        <f t="shared" si="6"/>
        <v>61500</v>
      </c>
      <c r="L169" s="26">
        <v>44989</v>
      </c>
      <c r="M169" s="25" t="str">
        <f t="shared" si="7"/>
        <v>Saturday</v>
      </c>
      <c r="N169" s="25" t="str">
        <f t="shared" si="8"/>
        <v>Weekend</v>
      </c>
      <c r="Q169" s="25"/>
      <c r="R169" s="24"/>
      <c r="S169" s="27"/>
      <c r="T169"/>
      <c r="U169" s="6"/>
      <c r="W169" s="7"/>
      <c r="Z169" s="4"/>
    </row>
    <row r="170" spans="1:26" x14ac:dyDescent="0.3">
      <c r="A170" t="s">
        <v>541</v>
      </c>
      <c r="B170" s="16" t="s">
        <v>132</v>
      </c>
      <c r="C170" s="17" t="s">
        <v>366</v>
      </c>
      <c r="D170" s="18" t="s">
        <v>322</v>
      </c>
      <c r="E170" s="19">
        <v>47</v>
      </c>
      <c r="F170" t="s">
        <v>373</v>
      </c>
      <c r="G170" s="18" t="s">
        <v>24</v>
      </c>
      <c r="H170" s="18" t="s">
        <v>14</v>
      </c>
      <c r="I170" s="18">
        <v>184500</v>
      </c>
      <c r="J170" s="18">
        <v>3</v>
      </c>
      <c r="K170" s="19">
        <f t="shared" si="6"/>
        <v>553500</v>
      </c>
      <c r="L170" s="20">
        <v>45180</v>
      </c>
      <c r="M170" s="19" t="str">
        <f t="shared" si="7"/>
        <v>Monday</v>
      </c>
      <c r="N170" s="19" t="str">
        <f t="shared" si="8"/>
        <v>Weekday</v>
      </c>
      <c r="Q170" s="19"/>
      <c r="R170" s="18"/>
      <c r="S170" s="21"/>
      <c r="T170"/>
      <c r="U170" s="6"/>
      <c r="W170" s="7"/>
      <c r="Z170" s="4"/>
    </row>
    <row r="171" spans="1:26" x14ac:dyDescent="0.3">
      <c r="A171" t="s">
        <v>542</v>
      </c>
      <c r="B171" s="22" t="s">
        <v>153</v>
      </c>
      <c r="C171" s="23" t="s">
        <v>366</v>
      </c>
      <c r="D171" s="24" t="s">
        <v>323</v>
      </c>
      <c r="E171" s="25">
        <v>66</v>
      </c>
      <c r="F171" t="s">
        <v>373</v>
      </c>
      <c r="G171" s="24" t="s">
        <v>13</v>
      </c>
      <c r="H171" s="24" t="s">
        <v>14</v>
      </c>
      <c r="I171" s="24">
        <v>36900</v>
      </c>
      <c r="J171" s="24">
        <v>1</v>
      </c>
      <c r="K171" s="25">
        <f t="shared" si="6"/>
        <v>36900</v>
      </c>
      <c r="L171" s="26">
        <v>44984</v>
      </c>
      <c r="M171" s="25" t="str">
        <f t="shared" si="7"/>
        <v>Monday</v>
      </c>
      <c r="N171" s="25" t="str">
        <f t="shared" si="8"/>
        <v>Weekday</v>
      </c>
      <c r="Q171" s="25"/>
      <c r="R171" s="24"/>
      <c r="S171" s="27"/>
      <c r="T171"/>
      <c r="U171" s="6"/>
      <c r="W171" s="7"/>
      <c r="Z171" s="4"/>
    </row>
    <row r="172" spans="1:26" x14ac:dyDescent="0.3">
      <c r="A172" t="s">
        <v>543</v>
      </c>
      <c r="B172" s="16" t="s">
        <v>74</v>
      </c>
      <c r="C172" s="17" t="s">
        <v>20</v>
      </c>
      <c r="D172" s="18" t="s">
        <v>322</v>
      </c>
      <c r="E172" s="19">
        <v>42</v>
      </c>
      <c r="F172" t="s">
        <v>373</v>
      </c>
      <c r="G172" s="18" t="s">
        <v>13</v>
      </c>
      <c r="H172" s="18" t="s">
        <v>14</v>
      </c>
      <c r="I172" s="18">
        <v>36900</v>
      </c>
      <c r="J172" s="18">
        <v>1</v>
      </c>
      <c r="K172" s="19">
        <f t="shared" si="6"/>
        <v>36900</v>
      </c>
      <c r="L172" s="20">
        <v>45246</v>
      </c>
      <c r="M172" s="19" t="str">
        <f t="shared" si="7"/>
        <v>Thursday</v>
      </c>
      <c r="N172" s="19" t="str">
        <f t="shared" si="8"/>
        <v>Weekday</v>
      </c>
      <c r="Q172" s="19"/>
      <c r="R172" s="18"/>
      <c r="S172" s="21"/>
      <c r="T172"/>
      <c r="U172" s="6"/>
      <c r="W172" s="7"/>
      <c r="Z172" s="4"/>
    </row>
    <row r="173" spans="1:26" x14ac:dyDescent="0.3">
      <c r="A173" t="s">
        <v>544</v>
      </c>
      <c r="B173" s="22" t="s">
        <v>154</v>
      </c>
      <c r="C173" s="23" t="s">
        <v>11</v>
      </c>
      <c r="D173" s="24" t="s">
        <v>328</v>
      </c>
      <c r="E173" s="25">
        <v>53</v>
      </c>
      <c r="F173" t="s">
        <v>370</v>
      </c>
      <c r="G173" s="24" t="s">
        <v>42</v>
      </c>
      <c r="H173" s="24" t="s">
        <v>14</v>
      </c>
      <c r="I173" s="24">
        <v>98400</v>
      </c>
      <c r="J173" s="24">
        <v>2</v>
      </c>
      <c r="K173" s="25">
        <f t="shared" si="6"/>
        <v>196800</v>
      </c>
      <c r="L173" s="26">
        <v>45126</v>
      </c>
      <c r="M173" s="25" t="str">
        <f t="shared" si="7"/>
        <v>Wednesday</v>
      </c>
      <c r="N173" s="25" t="str">
        <f t="shared" si="8"/>
        <v>Weekday</v>
      </c>
      <c r="Q173" s="25"/>
      <c r="R173" s="24"/>
      <c r="S173" s="27"/>
      <c r="T173"/>
      <c r="U173" s="6"/>
      <c r="W173" s="7"/>
      <c r="Z173" s="4"/>
    </row>
    <row r="174" spans="1:26" x14ac:dyDescent="0.3">
      <c r="A174" t="s">
        <v>545</v>
      </c>
      <c r="B174" s="16" t="s">
        <v>155</v>
      </c>
      <c r="C174" s="17" t="s">
        <v>11</v>
      </c>
      <c r="D174" s="18" t="s">
        <v>328</v>
      </c>
      <c r="E174" s="19">
        <v>43</v>
      </c>
      <c r="F174" t="s">
        <v>370</v>
      </c>
      <c r="G174" s="18" t="s">
        <v>17</v>
      </c>
      <c r="H174" s="18" t="s">
        <v>18</v>
      </c>
      <c r="I174" s="18">
        <v>12300</v>
      </c>
      <c r="J174" s="18">
        <v>4</v>
      </c>
      <c r="K174" s="19">
        <f t="shared" si="6"/>
        <v>49200</v>
      </c>
      <c r="L174" s="20">
        <v>45040</v>
      </c>
      <c r="M174" s="19" t="str">
        <f t="shared" si="7"/>
        <v>Monday</v>
      </c>
      <c r="N174" s="19" t="str">
        <f t="shared" si="8"/>
        <v>Weekday</v>
      </c>
      <c r="Q174" s="19"/>
      <c r="R174" s="18"/>
      <c r="S174" s="21"/>
      <c r="T174"/>
      <c r="U174" s="6"/>
      <c r="W174" s="7"/>
      <c r="Z174" s="4"/>
    </row>
    <row r="175" spans="1:26" x14ac:dyDescent="0.3">
      <c r="A175" t="s">
        <v>546</v>
      </c>
      <c r="B175" s="22" t="s">
        <v>76</v>
      </c>
      <c r="C175" s="23" t="s">
        <v>366</v>
      </c>
      <c r="D175" s="24" t="s">
        <v>322</v>
      </c>
      <c r="E175" s="25">
        <v>46</v>
      </c>
      <c r="F175" t="s">
        <v>381</v>
      </c>
      <c r="G175" s="24" t="s">
        <v>42</v>
      </c>
      <c r="H175" s="24" t="s">
        <v>14</v>
      </c>
      <c r="I175" s="24">
        <v>98400</v>
      </c>
      <c r="J175" s="24">
        <v>5</v>
      </c>
      <c r="K175" s="25">
        <f t="shared" si="6"/>
        <v>492000</v>
      </c>
      <c r="L175" s="26">
        <v>45047</v>
      </c>
      <c r="M175" s="25" t="str">
        <f t="shared" si="7"/>
        <v>Monday</v>
      </c>
      <c r="N175" s="25" t="str">
        <f t="shared" si="8"/>
        <v>Weekday</v>
      </c>
      <c r="Q175" s="25"/>
      <c r="R175" s="24"/>
      <c r="S175" s="27"/>
      <c r="T175"/>
      <c r="U175" s="6"/>
      <c r="W175" s="7"/>
      <c r="Z175" s="4"/>
    </row>
    <row r="176" spans="1:26" x14ac:dyDescent="0.3">
      <c r="A176" t="s">
        <v>547</v>
      </c>
      <c r="B176" s="16" t="s">
        <v>59</v>
      </c>
      <c r="C176" s="17" t="s">
        <v>11</v>
      </c>
      <c r="D176" s="18" t="s">
        <v>322</v>
      </c>
      <c r="E176" s="19">
        <v>41</v>
      </c>
      <c r="F176" t="s">
        <v>381</v>
      </c>
      <c r="G176" s="18" t="s">
        <v>31</v>
      </c>
      <c r="H176" s="18" t="s">
        <v>18</v>
      </c>
      <c r="I176" s="18">
        <v>6150</v>
      </c>
      <c r="J176" s="18">
        <v>1</v>
      </c>
      <c r="K176" s="19">
        <f t="shared" si="6"/>
        <v>6150</v>
      </c>
      <c r="L176" s="20">
        <v>45103</v>
      </c>
      <c r="M176" s="19" t="str">
        <f t="shared" si="7"/>
        <v>Monday</v>
      </c>
      <c r="N176" s="19" t="str">
        <f t="shared" si="8"/>
        <v>Weekday</v>
      </c>
      <c r="Q176" s="19"/>
      <c r="R176" s="18"/>
      <c r="S176" s="21"/>
      <c r="T176"/>
      <c r="U176" s="6"/>
      <c r="W176" s="7"/>
      <c r="Z176" s="4"/>
    </row>
    <row r="177" spans="1:26" x14ac:dyDescent="0.3">
      <c r="A177" t="s">
        <v>548</v>
      </c>
      <c r="B177" s="22" t="s">
        <v>85</v>
      </c>
      <c r="C177" s="23" t="s">
        <v>11</v>
      </c>
      <c r="D177" s="24" t="s">
        <v>326</v>
      </c>
      <c r="E177" s="25">
        <v>36</v>
      </c>
      <c r="F177" t="s">
        <v>375</v>
      </c>
      <c r="G177" s="24" t="s">
        <v>42</v>
      </c>
      <c r="H177" s="24" t="s">
        <v>14</v>
      </c>
      <c r="I177" s="24">
        <v>98400</v>
      </c>
      <c r="J177" s="24">
        <v>4</v>
      </c>
      <c r="K177" s="25">
        <f t="shared" si="6"/>
        <v>393600</v>
      </c>
      <c r="L177" s="26">
        <v>45587</v>
      </c>
      <c r="M177" s="25" t="str">
        <f t="shared" si="7"/>
        <v>Tuesday</v>
      </c>
      <c r="N177" s="25" t="str">
        <f t="shared" si="8"/>
        <v>Weekday</v>
      </c>
      <c r="Q177" s="25"/>
      <c r="R177" s="24"/>
      <c r="S177" s="27"/>
      <c r="T177"/>
      <c r="U177" s="6"/>
      <c r="W177" s="7"/>
      <c r="Z177" s="4"/>
    </row>
    <row r="178" spans="1:26" x14ac:dyDescent="0.3">
      <c r="A178" t="s">
        <v>549</v>
      </c>
      <c r="B178" s="16" t="s">
        <v>68</v>
      </c>
      <c r="C178" s="17" t="s">
        <v>11</v>
      </c>
      <c r="D178" s="18" t="s">
        <v>323</v>
      </c>
      <c r="E178" s="19">
        <v>44</v>
      </c>
      <c r="F178" t="s">
        <v>375</v>
      </c>
      <c r="G178" s="18" t="s">
        <v>42</v>
      </c>
      <c r="H178" s="18" t="s">
        <v>14</v>
      </c>
      <c r="I178" s="18">
        <v>98400</v>
      </c>
      <c r="J178" s="18">
        <v>1</v>
      </c>
      <c r="K178" s="19">
        <f t="shared" si="6"/>
        <v>98400</v>
      </c>
      <c r="L178" s="20">
        <v>44945</v>
      </c>
      <c r="M178" s="19" t="str">
        <f t="shared" si="7"/>
        <v>Thursday</v>
      </c>
      <c r="N178" s="19" t="str">
        <f t="shared" si="8"/>
        <v>Weekday</v>
      </c>
      <c r="Q178" s="19"/>
      <c r="R178" s="18"/>
      <c r="S178" s="21"/>
      <c r="T178"/>
      <c r="U178" s="6"/>
      <c r="W178" s="7"/>
      <c r="Z178" s="4"/>
    </row>
    <row r="179" spans="1:26" x14ac:dyDescent="0.3">
      <c r="A179" t="s">
        <v>550</v>
      </c>
      <c r="B179" s="22" t="s">
        <v>71</v>
      </c>
      <c r="C179" s="23" t="s">
        <v>20</v>
      </c>
      <c r="D179" s="24" t="s">
        <v>323</v>
      </c>
      <c r="E179" s="25">
        <v>67</v>
      </c>
      <c r="F179" t="s">
        <v>381</v>
      </c>
      <c r="G179" s="24" t="s">
        <v>13</v>
      </c>
      <c r="H179" s="24" t="s">
        <v>14</v>
      </c>
      <c r="I179" s="24">
        <v>36900</v>
      </c>
      <c r="J179" s="24">
        <v>1</v>
      </c>
      <c r="K179" s="25">
        <f t="shared" si="6"/>
        <v>36900</v>
      </c>
      <c r="L179" s="26">
        <v>45049</v>
      </c>
      <c r="M179" s="25" t="str">
        <f t="shared" si="7"/>
        <v>Wednesday</v>
      </c>
      <c r="N179" s="25" t="str">
        <f t="shared" si="8"/>
        <v>Weekday</v>
      </c>
      <c r="Q179" s="25"/>
      <c r="R179" s="24"/>
      <c r="S179" s="27"/>
      <c r="T179"/>
      <c r="U179" s="6"/>
      <c r="W179" s="7"/>
      <c r="Z179" s="4"/>
    </row>
    <row r="180" spans="1:26" x14ac:dyDescent="0.3">
      <c r="A180" t="s">
        <v>551</v>
      </c>
      <c r="B180" s="16" t="s">
        <v>157</v>
      </c>
      <c r="C180" s="17" t="s">
        <v>11</v>
      </c>
      <c r="D180" s="18" t="s">
        <v>322</v>
      </c>
      <c r="E180" s="19">
        <v>60</v>
      </c>
      <c r="F180" t="s">
        <v>375</v>
      </c>
      <c r="G180" s="18" t="s">
        <v>13</v>
      </c>
      <c r="H180" s="18" t="s">
        <v>14</v>
      </c>
      <c r="I180" s="18">
        <v>36900</v>
      </c>
      <c r="J180" s="18">
        <v>3</v>
      </c>
      <c r="K180" s="19">
        <f t="shared" si="6"/>
        <v>110700</v>
      </c>
      <c r="L180" s="20">
        <v>45128</v>
      </c>
      <c r="M180" s="19" t="str">
        <f t="shared" si="7"/>
        <v>Friday</v>
      </c>
      <c r="N180" s="19" t="str">
        <f t="shared" si="8"/>
        <v>Weekend</v>
      </c>
      <c r="Q180" s="19"/>
      <c r="R180" s="18"/>
      <c r="S180" s="21"/>
      <c r="T180"/>
      <c r="U180" s="6"/>
      <c r="W180" s="7"/>
      <c r="Z180" s="4"/>
    </row>
    <row r="181" spans="1:26" x14ac:dyDescent="0.3">
      <c r="A181" t="s">
        <v>552</v>
      </c>
      <c r="B181" s="22" t="s">
        <v>133</v>
      </c>
      <c r="C181" s="23" t="s">
        <v>20</v>
      </c>
      <c r="D181" s="24" t="s">
        <v>322</v>
      </c>
      <c r="E181" s="25">
        <v>30</v>
      </c>
      <c r="F181" t="s">
        <v>373</v>
      </c>
      <c r="G181" s="24" t="s">
        <v>42</v>
      </c>
      <c r="H181" s="24" t="s">
        <v>14</v>
      </c>
      <c r="I181" s="24">
        <v>98400</v>
      </c>
      <c r="J181" s="24">
        <v>4</v>
      </c>
      <c r="K181" s="25">
        <f t="shared" si="6"/>
        <v>393600</v>
      </c>
      <c r="L181" s="26">
        <v>45210</v>
      </c>
      <c r="M181" s="25" t="str">
        <f t="shared" si="7"/>
        <v>Wednesday</v>
      </c>
      <c r="N181" s="25" t="str">
        <f t="shared" si="8"/>
        <v>Weekday</v>
      </c>
      <c r="Q181" s="25"/>
      <c r="R181" s="24"/>
      <c r="S181" s="27"/>
      <c r="T181"/>
      <c r="U181" s="6"/>
      <c r="W181" s="7"/>
      <c r="Z181" s="4"/>
    </row>
    <row r="182" spans="1:26" x14ac:dyDescent="0.3">
      <c r="A182" t="s">
        <v>553</v>
      </c>
      <c r="B182" s="16" t="s">
        <v>158</v>
      </c>
      <c r="C182" s="17" t="s">
        <v>20</v>
      </c>
      <c r="D182" s="18" t="s">
        <v>322</v>
      </c>
      <c r="E182" s="19">
        <v>54</v>
      </c>
      <c r="F182" t="s">
        <v>370</v>
      </c>
      <c r="G182" s="18" t="s">
        <v>32</v>
      </c>
      <c r="H182" s="18" t="s">
        <v>18</v>
      </c>
      <c r="I182" s="18">
        <v>3690</v>
      </c>
      <c r="J182" s="18">
        <v>3</v>
      </c>
      <c r="K182" s="19">
        <f t="shared" si="6"/>
        <v>11070</v>
      </c>
      <c r="L182" s="20">
        <v>45092</v>
      </c>
      <c r="M182" s="19" t="str">
        <f t="shared" si="7"/>
        <v>Thursday</v>
      </c>
      <c r="N182" s="19" t="str">
        <f t="shared" si="8"/>
        <v>Weekday</v>
      </c>
      <c r="Q182" s="19"/>
      <c r="R182" s="18"/>
      <c r="S182" s="21"/>
      <c r="T182"/>
      <c r="U182" s="6"/>
      <c r="W182" s="7"/>
      <c r="Z182" s="4"/>
    </row>
    <row r="183" spans="1:26" x14ac:dyDescent="0.3">
      <c r="A183" t="s">
        <v>554</v>
      </c>
      <c r="B183" s="22" t="s">
        <v>159</v>
      </c>
      <c r="C183" s="23" t="s">
        <v>20</v>
      </c>
      <c r="D183" s="24" t="s">
        <v>325</v>
      </c>
      <c r="E183" s="25">
        <v>56</v>
      </c>
      <c r="F183" t="s">
        <v>381</v>
      </c>
      <c r="G183" s="24" t="s">
        <v>13</v>
      </c>
      <c r="H183" s="24" t="s">
        <v>14</v>
      </c>
      <c r="I183" s="24">
        <v>36900</v>
      </c>
      <c r="J183" s="24">
        <v>2</v>
      </c>
      <c r="K183" s="25">
        <f t="shared" si="6"/>
        <v>73800</v>
      </c>
      <c r="L183" s="26">
        <v>45154</v>
      </c>
      <c r="M183" s="25" t="str">
        <f t="shared" si="7"/>
        <v>Wednesday</v>
      </c>
      <c r="N183" s="25" t="str">
        <f t="shared" si="8"/>
        <v>Weekday</v>
      </c>
      <c r="Q183" s="25"/>
      <c r="R183" s="24"/>
      <c r="S183" s="27"/>
      <c r="T183"/>
      <c r="U183" s="6"/>
      <c r="W183" s="7"/>
      <c r="Z183" s="4"/>
    </row>
    <row r="184" spans="1:26" x14ac:dyDescent="0.3">
      <c r="A184" t="s">
        <v>555</v>
      </c>
      <c r="B184" s="16" t="s">
        <v>160</v>
      </c>
      <c r="C184" s="17" t="s">
        <v>11</v>
      </c>
      <c r="D184" s="18" t="s">
        <v>323</v>
      </c>
      <c r="E184" s="19">
        <v>32</v>
      </c>
      <c r="F184" t="s">
        <v>370</v>
      </c>
      <c r="G184" s="18" t="s">
        <v>13</v>
      </c>
      <c r="H184" s="18" t="s">
        <v>14</v>
      </c>
      <c r="I184" s="18">
        <v>36900</v>
      </c>
      <c r="J184" s="18">
        <v>1</v>
      </c>
      <c r="K184" s="19">
        <f t="shared" si="6"/>
        <v>36900</v>
      </c>
      <c r="L184" s="20">
        <v>45030</v>
      </c>
      <c r="M184" s="19" t="str">
        <f t="shared" si="7"/>
        <v>Friday</v>
      </c>
      <c r="N184" s="19" t="str">
        <f t="shared" si="8"/>
        <v>Weekend</v>
      </c>
      <c r="Q184" s="19"/>
      <c r="R184" s="18"/>
      <c r="S184" s="21"/>
      <c r="T184"/>
      <c r="U184" s="6"/>
      <c r="W184" s="7"/>
      <c r="Z184" s="4"/>
    </row>
    <row r="185" spans="1:26" x14ac:dyDescent="0.3">
      <c r="A185" t="s">
        <v>556</v>
      </c>
      <c r="B185" s="22" t="s">
        <v>161</v>
      </c>
      <c r="C185" s="23" t="s">
        <v>11</v>
      </c>
      <c r="D185" s="24" t="s">
        <v>322</v>
      </c>
      <c r="E185" s="25">
        <v>26</v>
      </c>
      <c r="F185" t="s">
        <v>381</v>
      </c>
      <c r="G185" s="24" t="s">
        <v>17</v>
      </c>
      <c r="H185" s="24" t="s">
        <v>18</v>
      </c>
      <c r="I185" s="24">
        <v>12300</v>
      </c>
      <c r="J185" s="24">
        <v>5</v>
      </c>
      <c r="K185" s="25">
        <f t="shared" si="6"/>
        <v>61500</v>
      </c>
      <c r="L185" s="26">
        <v>45223</v>
      </c>
      <c r="M185" s="25" t="str">
        <f t="shared" si="7"/>
        <v>Tuesday</v>
      </c>
      <c r="N185" s="25" t="str">
        <f t="shared" si="8"/>
        <v>Weekday</v>
      </c>
      <c r="Q185" s="25"/>
      <c r="R185" s="24"/>
      <c r="S185" s="27"/>
      <c r="T185"/>
      <c r="U185" s="6"/>
      <c r="W185" s="7"/>
      <c r="Z185" s="4"/>
    </row>
    <row r="186" spans="1:26" x14ac:dyDescent="0.3">
      <c r="A186" t="s">
        <v>557</v>
      </c>
      <c r="B186" s="16" t="s">
        <v>162</v>
      </c>
      <c r="C186" s="17" t="s">
        <v>11</v>
      </c>
      <c r="D186" s="18" t="s">
        <v>329</v>
      </c>
      <c r="E186" s="19">
        <v>27</v>
      </c>
      <c r="F186" t="s">
        <v>370</v>
      </c>
      <c r="G186" s="18" t="s">
        <v>26</v>
      </c>
      <c r="H186" s="18" t="s">
        <v>27</v>
      </c>
      <c r="I186" s="18">
        <v>24600</v>
      </c>
      <c r="J186" s="18">
        <v>5</v>
      </c>
      <c r="K186" s="19">
        <f t="shared" si="6"/>
        <v>123000</v>
      </c>
      <c r="L186" s="20">
        <v>45121</v>
      </c>
      <c r="M186" s="19" t="str">
        <f t="shared" si="7"/>
        <v>Friday</v>
      </c>
      <c r="N186" s="19" t="str">
        <f t="shared" si="8"/>
        <v>Weekend</v>
      </c>
      <c r="Q186" s="19"/>
      <c r="R186" s="18"/>
      <c r="S186" s="21"/>
      <c r="T186"/>
      <c r="U186" s="6"/>
      <c r="W186" s="7"/>
      <c r="Z186" s="4"/>
    </row>
    <row r="187" spans="1:26" x14ac:dyDescent="0.3">
      <c r="A187" t="s">
        <v>558</v>
      </c>
      <c r="B187" s="22" t="s">
        <v>163</v>
      </c>
      <c r="C187" s="23" t="s">
        <v>11</v>
      </c>
      <c r="D187" s="24" t="s">
        <v>323</v>
      </c>
      <c r="E187" s="25">
        <v>65</v>
      </c>
      <c r="F187" t="s">
        <v>381</v>
      </c>
      <c r="G187" s="24" t="s">
        <v>31</v>
      </c>
      <c r="H187" s="24" t="s">
        <v>18</v>
      </c>
      <c r="I187" s="24">
        <v>6150</v>
      </c>
      <c r="J187" s="24">
        <v>3</v>
      </c>
      <c r="K187" s="25">
        <f t="shared" si="6"/>
        <v>18450</v>
      </c>
      <c r="L187" s="26">
        <v>45266</v>
      </c>
      <c r="M187" s="25" t="str">
        <f t="shared" si="7"/>
        <v>Wednesday</v>
      </c>
      <c r="N187" s="25" t="str">
        <f t="shared" si="8"/>
        <v>Weekday</v>
      </c>
      <c r="Q187" s="25"/>
      <c r="R187" s="24"/>
      <c r="S187" s="27"/>
      <c r="T187"/>
      <c r="U187" s="6"/>
      <c r="W187" s="7"/>
      <c r="Z187" s="4"/>
    </row>
    <row r="188" spans="1:26" x14ac:dyDescent="0.3">
      <c r="A188" t="s">
        <v>559</v>
      </c>
      <c r="B188" s="16" t="s">
        <v>164</v>
      </c>
      <c r="C188" s="17" t="s">
        <v>11</v>
      </c>
      <c r="D188" s="18" t="s">
        <v>327</v>
      </c>
      <c r="E188" s="19">
        <v>62</v>
      </c>
      <c r="F188" t="s">
        <v>370</v>
      </c>
      <c r="G188" s="18" t="s">
        <v>26</v>
      </c>
      <c r="H188" s="18" t="s">
        <v>27</v>
      </c>
      <c r="I188" s="18">
        <v>24600</v>
      </c>
      <c r="J188" s="18">
        <v>2</v>
      </c>
      <c r="K188" s="19">
        <f t="shared" si="6"/>
        <v>49200</v>
      </c>
      <c r="L188" s="20">
        <v>45169</v>
      </c>
      <c r="M188" s="19" t="str">
        <f t="shared" si="7"/>
        <v>Thursday</v>
      </c>
      <c r="N188" s="19" t="str">
        <f t="shared" si="8"/>
        <v>Weekday</v>
      </c>
      <c r="Q188" s="19"/>
      <c r="R188" s="18"/>
      <c r="S188" s="21"/>
      <c r="T188"/>
      <c r="U188" s="6"/>
      <c r="W188" s="7"/>
      <c r="Z188" s="4"/>
    </row>
    <row r="189" spans="1:26" x14ac:dyDescent="0.3">
      <c r="A189" t="s">
        <v>560</v>
      </c>
      <c r="B189" s="22" t="s">
        <v>165</v>
      </c>
      <c r="C189" s="23" t="s">
        <v>11</v>
      </c>
      <c r="D189" s="24" t="s">
        <v>324</v>
      </c>
      <c r="E189" s="25">
        <v>21</v>
      </c>
      <c r="F189" t="s">
        <v>373</v>
      </c>
      <c r="G189" s="24" t="s">
        <v>17</v>
      </c>
      <c r="H189" s="24" t="s">
        <v>18</v>
      </c>
      <c r="I189" s="24">
        <v>12300</v>
      </c>
      <c r="J189" s="24">
        <v>1</v>
      </c>
      <c r="K189" s="25">
        <f t="shared" si="6"/>
        <v>12300</v>
      </c>
      <c r="L189" s="26">
        <v>45171</v>
      </c>
      <c r="M189" s="25" t="str">
        <f t="shared" si="7"/>
        <v>Saturday</v>
      </c>
      <c r="N189" s="25" t="str">
        <f t="shared" si="8"/>
        <v>Weekend</v>
      </c>
      <c r="Q189" s="25"/>
      <c r="R189" s="24"/>
      <c r="S189" s="27"/>
      <c r="T189"/>
      <c r="U189" s="6"/>
      <c r="W189" s="7"/>
      <c r="Z189" s="4"/>
    </row>
    <row r="190" spans="1:26" x14ac:dyDescent="0.3">
      <c r="A190" t="s">
        <v>561</v>
      </c>
      <c r="B190" s="16" t="s">
        <v>154</v>
      </c>
      <c r="C190" s="17" t="s">
        <v>11</v>
      </c>
      <c r="D190" s="18" t="s">
        <v>328</v>
      </c>
      <c r="E190" s="19">
        <v>53</v>
      </c>
      <c r="F190" t="s">
        <v>381</v>
      </c>
      <c r="G190" s="18" t="s">
        <v>42</v>
      </c>
      <c r="H190" s="18" t="s">
        <v>14</v>
      </c>
      <c r="I190" s="18">
        <v>98400</v>
      </c>
      <c r="J190" s="18">
        <v>4</v>
      </c>
      <c r="K190" s="19">
        <f t="shared" si="6"/>
        <v>393600</v>
      </c>
      <c r="L190" s="20">
        <v>45022</v>
      </c>
      <c r="M190" s="19" t="str">
        <f t="shared" si="7"/>
        <v>Thursday</v>
      </c>
      <c r="N190" s="19" t="str">
        <f t="shared" si="8"/>
        <v>Weekday</v>
      </c>
      <c r="Q190" s="19"/>
      <c r="R190" s="18"/>
      <c r="S190" s="21"/>
      <c r="T190"/>
      <c r="U190" s="6"/>
      <c r="W190" s="7"/>
      <c r="Z190" s="4"/>
    </row>
    <row r="191" spans="1:26" x14ac:dyDescent="0.3">
      <c r="A191" t="s">
        <v>562</v>
      </c>
      <c r="B191" s="22" t="s">
        <v>166</v>
      </c>
      <c r="C191" s="23" t="s">
        <v>366</v>
      </c>
      <c r="D191" s="24" t="s">
        <v>326</v>
      </c>
      <c r="E191" s="25">
        <v>57</v>
      </c>
      <c r="F191" t="s">
        <v>381</v>
      </c>
      <c r="G191" s="24" t="s">
        <v>42</v>
      </c>
      <c r="H191" s="24" t="s">
        <v>14</v>
      </c>
      <c r="I191" s="24">
        <v>98400</v>
      </c>
      <c r="J191" s="24">
        <v>4</v>
      </c>
      <c r="K191" s="25">
        <f t="shared" si="6"/>
        <v>393600</v>
      </c>
      <c r="L191" s="26">
        <v>45289</v>
      </c>
      <c r="M191" s="25" t="str">
        <f t="shared" si="7"/>
        <v>Friday</v>
      </c>
      <c r="N191" s="25" t="str">
        <f t="shared" si="8"/>
        <v>Weekend</v>
      </c>
      <c r="Q191" s="25"/>
      <c r="R191" s="24"/>
      <c r="S191" s="27"/>
      <c r="T191"/>
      <c r="U191" s="6"/>
      <c r="W191" s="7"/>
      <c r="Z191" s="4"/>
    </row>
    <row r="192" spans="1:26" x14ac:dyDescent="0.3">
      <c r="A192" t="s">
        <v>563</v>
      </c>
      <c r="B192" s="16" t="s">
        <v>167</v>
      </c>
      <c r="C192" s="17" t="s">
        <v>11</v>
      </c>
      <c r="D192" s="18" t="s">
        <v>322</v>
      </c>
      <c r="E192" s="19">
        <v>66</v>
      </c>
      <c r="F192" t="s">
        <v>381</v>
      </c>
      <c r="G192" s="18" t="s">
        <v>32</v>
      </c>
      <c r="H192" s="18" t="s">
        <v>18</v>
      </c>
      <c r="I192" s="18">
        <v>3690</v>
      </c>
      <c r="J192" s="18">
        <v>4</v>
      </c>
      <c r="K192" s="19">
        <f t="shared" si="6"/>
        <v>14760</v>
      </c>
      <c r="L192" s="20">
        <v>45086</v>
      </c>
      <c r="M192" s="19" t="str">
        <f t="shared" si="7"/>
        <v>Friday</v>
      </c>
      <c r="N192" s="19" t="str">
        <f t="shared" si="8"/>
        <v>Weekend</v>
      </c>
      <c r="Q192" s="19"/>
      <c r="R192" s="18"/>
      <c r="S192" s="21"/>
      <c r="T192"/>
      <c r="U192" s="6"/>
      <c r="W192" s="7"/>
      <c r="Z192" s="4"/>
    </row>
    <row r="193" spans="1:26" x14ac:dyDescent="0.3">
      <c r="A193" t="s">
        <v>564</v>
      </c>
      <c r="B193" s="22" t="s">
        <v>168</v>
      </c>
      <c r="C193" s="23" t="s">
        <v>11</v>
      </c>
      <c r="D193" s="24" t="s">
        <v>324</v>
      </c>
      <c r="E193" s="25">
        <v>43</v>
      </c>
      <c r="F193" t="s">
        <v>373</v>
      </c>
      <c r="G193" s="24" t="s">
        <v>42</v>
      </c>
      <c r="H193" s="24" t="s">
        <v>14</v>
      </c>
      <c r="I193" s="24">
        <v>98400</v>
      </c>
      <c r="J193" s="24">
        <v>4</v>
      </c>
      <c r="K193" s="25">
        <f t="shared" si="6"/>
        <v>393600</v>
      </c>
      <c r="L193" s="26">
        <v>45091</v>
      </c>
      <c r="M193" s="25" t="str">
        <f t="shared" si="7"/>
        <v>Wednesday</v>
      </c>
      <c r="N193" s="25" t="str">
        <f t="shared" si="8"/>
        <v>Weekday</v>
      </c>
      <c r="Q193" s="25"/>
      <c r="R193" s="24"/>
      <c r="S193" s="27"/>
      <c r="T193"/>
      <c r="U193" s="6"/>
      <c r="W193" s="7"/>
      <c r="Z193" s="4"/>
    </row>
    <row r="194" spans="1:26" x14ac:dyDescent="0.3">
      <c r="A194" t="s">
        <v>565</v>
      </c>
      <c r="B194" s="16" t="s">
        <v>169</v>
      </c>
      <c r="C194" s="17" t="s">
        <v>366</v>
      </c>
      <c r="D194" s="18" t="s">
        <v>328</v>
      </c>
      <c r="E194" s="19">
        <v>64</v>
      </c>
      <c r="F194" t="s">
        <v>370</v>
      </c>
      <c r="G194" s="18" t="s">
        <v>24</v>
      </c>
      <c r="H194" s="18" t="s">
        <v>14</v>
      </c>
      <c r="I194" s="18">
        <v>184500</v>
      </c>
      <c r="J194" s="18">
        <v>1</v>
      </c>
      <c r="K194" s="19">
        <f t="shared" ref="K194:K257" si="9">I194*J194</f>
        <v>184500</v>
      </c>
      <c r="L194" s="20">
        <v>45121</v>
      </c>
      <c r="M194" s="19" t="str">
        <f t="shared" ref="M194:M257" si="10">TEXT(L194, "dddd")</f>
        <v>Friday</v>
      </c>
      <c r="N194" s="19" t="str">
        <f t="shared" ref="N194:N257" si="11">IF(OR(WEEKDAY(L194, 2)=5, WEEKDAY(L194, 2)=6), "Weekend", "Weekday")</f>
        <v>Weekend</v>
      </c>
      <c r="Q194" s="19"/>
      <c r="R194" s="18"/>
      <c r="S194" s="21"/>
      <c r="T194"/>
      <c r="U194" s="6"/>
      <c r="W194" s="7"/>
      <c r="Z194" s="4"/>
    </row>
    <row r="195" spans="1:26" x14ac:dyDescent="0.3">
      <c r="A195" t="s">
        <v>566</v>
      </c>
      <c r="B195" s="22" t="s">
        <v>98</v>
      </c>
      <c r="C195" s="23" t="s">
        <v>11</v>
      </c>
      <c r="D195" s="24" t="s">
        <v>323</v>
      </c>
      <c r="E195" s="25">
        <v>64</v>
      </c>
      <c r="F195" t="s">
        <v>381</v>
      </c>
      <c r="G195" s="24" t="s">
        <v>13</v>
      </c>
      <c r="H195" s="24" t="s">
        <v>14</v>
      </c>
      <c r="I195" s="24">
        <v>36900</v>
      </c>
      <c r="J195" s="24">
        <v>5</v>
      </c>
      <c r="K195" s="25">
        <f t="shared" si="9"/>
        <v>184500</v>
      </c>
      <c r="L195" s="26">
        <v>45039</v>
      </c>
      <c r="M195" s="25" t="str">
        <f t="shared" si="10"/>
        <v>Sunday</v>
      </c>
      <c r="N195" s="25" t="str">
        <f t="shared" si="11"/>
        <v>Weekday</v>
      </c>
      <c r="Q195" s="25"/>
      <c r="R195" s="24"/>
      <c r="S195" s="27"/>
      <c r="T195"/>
      <c r="U195" s="6"/>
      <c r="W195" s="7"/>
      <c r="Z195" s="4"/>
    </row>
    <row r="196" spans="1:26" x14ac:dyDescent="0.3">
      <c r="A196" t="s">
        <v>567</v>
      </c>
      <c r="B196" s="16" t="s">
        <v>170</v>
      </c>
      <c r="C196" s="17" t="s">
        <v>20</v>
      </c>
      <c r="D196" s="18" t="s">
        <v>326</v>
      </c>
      <c r="E196" s="19">
        <v>42</v>
      </c>
      <c r="F196" t="s">
        <v>370</v>
      </c>
      <c r="G196" s="18" t="s">
        <v>42</v>
      </c>
      <c r="H196" s="18" t="s">
        <v>14</v>
      </c>
      <c r="I196" s="18">
        <v>98400</v>
      </c>
      <c r="J196" s="18">
        <v>3</v>
      </c>
      <c r="K196" s="19">
        <f t="shared" si="9"/>
        <v>295200</v>
      </c>
      <c r="L196" s="20">
        <v>45220</v>
      </c>
      <c r="M196" s="19" t="str">
        <f t="shared" si="10"/>
        <v>Saturday</v>
      </c>
      <c r="N196" s="19" t="str">
        <f t="shared" si="11"/>
        <v>Weekend</v>
      </c>
      <c r="Q196" s="19"/>
      <c r="R196" s="18"/>
      <c r="S196" s="21"/>
      <c r="T196"/>
      <c r="U196" s="6"/>
      <c r="W196" s="7"/>
      <c r="Z196" s="4"/>
    </row>
    <row r="197" spans="1:26" x14ac:dyDescent="0.3">
      <c r="A197" t="s">
        <v>568</v>
      </c>
      <c r="B197" s="22" t="s">
        <v>62</v>
      </c>
      <c r="C197" s="23" t="s">
        <v>366</v>
      </c>
      <c r="D197" s="24" t="s">
        <v>329</v>
      </c>
      <c r="E197" s="25">
        <v>43</v>
      </c>
      <c r="F197" t="s">
        <v>373</v>
      </c>
      <c r="G197" s="24" t="s">
        <v>31</v>
      </c>
      <c r="H197" s="24" t="s">
        <v>18</v>
      </c>
      <c r="I197" s="24">
        <v>6150</v>
      </c>
      <c r="J197" s="24">
        <v>2</v>
      </c>
      <c r="K197" s="25">
        <f t="shared" si="9"/>
        <v>12300</v>
      </c>
      <c r="L197" s="26">
        <v>45208</v>
      </c>
      <c r="M197" s="25" t="str">
        <f t="shared" si="10"/>
        <v>Monday</v>
      </c>
      <c r="N197" s="25" t="str">
        <f t="shared" si="11"/>
        <v>Weekday</v>
      </c>
      <c r="Q197" s="25"/>
      <c r="R197" s="24"/>
      <c r="S197" s="27"/>
      <c r="T197"/>
      <c r="U197" s="6"/>
      <c r="W197" s="7"/>
      <c r="Z197" s="4"/>
    </row>
    <row r="198" spans="1:26" x14ac:dyDescent="0.3">
      <c r="A198" t="s">
        <v>569</v>
      </c>
      <c r="B198" s="16" t="s">
        <v>171</v>
      </c>
      <c r="C198" s="17" t="s">
        <v>11</v>
      </c>
      <c r="D198" s="18" t="s">
        <v>324</v>
      </c>
      <c r="E198" s="19">
        <v>51</v>
      </c>
      <c r="F198" t="s">
        <v>375</v>
      </c>
      <c r="G198" s="18" t="s">
        <v>17</v>
      </c>
      <c r="H198" s="18" t="s">
        <v>18</v>
      </c>
      <c r="I198" s="18">
        <v>12300</v>
      </c>
      <c r="J198" s="18">
        <v>1</v>
      </c>
      <c r="K198" s="19">
        <f t="shared" si="9"/>
        <v>12300</v>
      </c>
      <c r="L198" s="20">
        <v>45073</v>
      </c>
      <c r="M198" s="19" t="str">
        <f t="shared" si="10"/>
        <v>Saturday</v>
      </c>
      <c r="N198" s="19" t="str">
        <f t="shared" si="11"/>
        <v>Weekend</v>
      </c>
      <c r="Q198" s="19"/>
      <c r="R198" s="18"/>
      <c r="S198" s="21"/>
      <c r="T198"/>
      <c r="U198" s="6"/>
      <c r="W198" s="7"/>
      <c r="Z198" s="4"/>
    </row>
    <row r="199" spans="1:26" x14ac:dyDescent="0.3">
      <c r="A199" t="s">
        <v>570</v>
      </c>
      <c r="B199" s="22" t="s">
        <v>172</v>
      </c>
      <c r="C199" s="23" t="s">
        <v>20</v>
      </c>
      <c r="D199" s="24" t="s">
        <v>327</v>
      </c>
      <c r="E199" s="25">
        <v>57</v>
      </c>
      <c r="F199" t="s">
        <v>381</v>
      </c>
      <c r="G199" s="24" t="s">
        <v>24</v>
      </c>
      <c r="H199" s="24" t="s">
        <v>14</v>
      </c>
      <c r="I199" s="24">
        <v>184500</v>
      </c>
      <c r="J199" s="24">
        <v>1</v>
      </c>
      <c r="K199" s="25">
        <f t="shared" si="9"/>
        <v>184500</v>
      </c>
      <c r="L199" s="26">
        <v>44958</v>
      </c>
      <c r="M199" s="25" t="str">
        <f t="shared" si="10"/>
        <v>Wednesday</v>
      </c>
      <c r="N199" s="25" t="str">
        <f t="shared" si="11"/>
        <v>Weekday</v>
      </c>
      <c r="Q199" s="25"/>
      <c r="R199" s="24"/>
      <c r="S199" s="27"/>
      <c r="T199"/>
      <c r="U199" s="6"/>
      <c r="W199" s="7"/>
      <c r="Z199" s="4"/>
    </row>
    <row r="200" spans="1:26" x14ac:dyDescent="0.3">
      <c r="A200" t="s">
        <v>571</v>
      </c>
      <c r="B200" s="16" t="s">
        <v>173</v>
      </c>
      <c r="C200" s="17" t="s">
        <v>20</v>
      </c>
      <c r="D200" s="18" t="s">
        <v>325</v>
      </c>
      <c r="E200" s="19">
        <v>55</v>
      </c>
      <c r="F200" t="s">
        <v>373</v>
      </c>
      <c r="G200" s="18" t="s">
        <v>32</v>
      </c>
      <c r="H200" s="18" t="s">
        <v>18</v>
      </c>
      <c r="I200" s="18">
        <v>3690</v>
      </c>
      <c r="J200" s="18">
        <v>5</v>
      </c>
      <c r="K200" s="19">
        <f t="shared" si="9"/>
        <v>18450</v>
      </c>
      <c r="L200" s="20">
        <v>45053</v>
      </c>
      <c r="M200" s="19" t="str">
        <f t="shared" si="10"/>
        <v>Sunday</v>
      </c>
      <c r="N200" s="19" t="str">
        <f t="shared" si="11"/>
        <v>Weekday</v>
      </c>
      <c r="Q200" s="19"/>
      <c r="R200" s="18"/>
      <c r="S200" s="21"/>
      <c r="T200"/>
      <c r="U200" s="6"/>
      <c r="W200" s="7"/>
      <c r="Z200" s="4"/>
    </row>
    <row r="201" spans="1:26" x14ac:dyDescent="0.3">
      <c r="A201" t="s">
        <v>572</v>
      </c>
      <c r="B201" s="22" t="s">
        <v>174</v>
      </c>
      <c r="C201" s="23" t="s">
        <v>11</v>
      </c>
      <c r="D201" s="24" t="s">
        <v>322</v>
      </c>
      <c r="E201" s="25">
        <v>57</v>
      </c>
      <c r="F201" t="s">
        <v>370</v>
      </c>
      <c r="G201" s="24" t="s">
        <v>32</v>
      </c>
      <c r="H201" s="24" t="s">
        <v>18</v>
      </c>
      <c r="I201" s="24">
        <v>3690</v>
      </c>
      <c r="J201" s="24">
        <v>1</v>
      </c>
      <c r="K201" s="25">
        <f t="shared" si="9"/>
        <v>3690</v>
      </c>
      <c r="L201" s="26">
        <v>44997</v>
      </c>
      <c r="M201" s="25" t="str">
        <f t="shared" si="10"/>
        <v>Sunday</v>
      </c>
      <c r="N201" s="25" t="str">
        <f t="shared" si="11"/>
        <v>Weekday</v>
      </c>
      <c r="Q201" s="25"/>
      <c r="R201" s="24"/>
      <c r="S201" s="27"/>
      <c r="T201"/>
      <c r="U201" s="6"/>
      <c r="W201" s="7"/>
      <c r="Z201" s="4"/>
    </row>
    <row r="202" spans="1:26" x14ac:dyDescent="0.3">
      <c r="A202" t="s">
        <v>573</v>
      </c>
      <c r="B202" s="16" t="s">
        <v>128</v>
      </c>
      <c r="C202" s="17" t="s">
        <v>11</v>
      </c>
      <c r="D202" s="18" t="s">
        <v>323</v>
      </c>
      <c r="E202" s="19">
        <v>50</v>
      </c>
      <c r="F202" t="s">
        <v>381</v>
      </c>
      <c r="G202" s="18" t="s">
        <v>17</v>
      </c>
      <c r="H202" s="18" t="s">
        <v>18</v>
      </c>
      <c r="I202" s="18">
        <v>12300</v>
      </c>
      <c r="J202" s="18">
        <v>5</v>
      </c>
      <c r="K202" s="19">
        <f t="shared" si="9"/>
        <v>61500</v>
      </c>
      <c r="L202" s="20">
        <v>45237</v>
      </c>
      <c r="M202" s="19" t="str">
        <f t="shared" si="10"/>
        <v>Tuesday</v>
      </c>
      <c r="N202" s="19" t="str">
        <f t="shared" si="11"/>
        <v>Weekday</v>
      </c>
      <c r="Q202" s="19"/>
      <c r="R202" s="18"/>
      <c r="S202" s="21"/>
      <c r="T202"/>
      <c r="U202" s="6"/>
      <c r="W202" s="7"/>
      <c r="Z202" s="4"/>
    </row>
    <row r="203" spans="1:26" x14ac:dyDescent="0.3">
      <c r="A203" t="s">
        <v>574</v>
      </c>
      <c r="B203" s="22" t="s">
        <v>86</v>
      </c>
      <c r="C203" s="23" t="s">
        <v>11</v>
      </c>
      <c r="D203" s="24" t="s">
        <v>326</v>
      </c>
      <c r="E203" s="25">
        <v>28</v>
      </c>
      <c r="F203" t="s">
        <v>370</v>
      </c>
      <c r="G203" s="24" t="s">
        <v>31</v>
      </c>
      <c r="H203" s="24" t="s">
        <v>18</v>
      </c>
      <c r="I203" s="24">
        <v>6150</v>
      </c>
      <c r="J203" s="24">
        <v>2</v>
      </c>
      <c r="K203" s="25">
        <f t="shared" si="9"/>
        <v>12300</v>
      </c>
      <c r="L203" s="26">
        <v>45183</v>
      </c>
      <c r="M203" s="25" t="str">
        <f t="shared" si="10"/>
        <v>Thursday</v>
      </c>
      <c r="N203" s="25" t="str">
        <f t="shared" si="11"/>
        <v>Weekday</v>
      </c>
      <c r="Q203" s="25"/>
      <c r="R203" s="24"/>
      <c r="S203" s="27"/>
      <c r="T203"/>
      <c r="U203" s="6"/>
      <c r="W203" s="7"/>
      <c r="Z203" s="4"/>
    </row>
    <row r="204" spans="1:26" x14ac:dyDescent="0.3">
      <c r="A204" t="s">
        <v>575</v>
      </c>
      <c r="B204" s="16" t="s">
        <v>152</v>
      </c>
      <c r="C204" s="17" t="s">
        <v>20</v>
      </c>
      <c r="D204" s="18" t="s">
        <v>327</v>
      </c>
      <c r="E204" s="19">
        <v>36</v>
      </c>
      <c r="F204" t="s">
        <v>375</v>
      </c>
      <c r="G204" s="18" t="s">
        <v>13</v>
      </c>
      <c r="H204" s="18" t="s">
        <v>14</v>
      </c>
      <c r="I204" s="18">
        <v>36900</v>
      </c>
      <c r="J204" s="18">
        <v>2</v>
      </c>
      <c r="K204" s="19">
        <f t="shared" si="9"/>
        <v>73800</v>
      </c>
      <c r="L204" s="20">
        <v>45004</v>
      </c>
      <c r="M204" s="19" t="str">
        <f t="shared" si="10"/>
        <v>Sunday</v>
      </c>
      <c r="N204" s="19" t="str">
        <f t="shared" si="11"/>
        <v>Weekday</v>
      </c>
      <c r="Q204" s="19"/>
      <c r="R204" s="18"/>
      <c r="S204" s="21"/>
      <c r="T204"/>
      <c r="U204" s="6"/>
      <c r="W204" s="7"/>
      <c r="Z204" s="4"/>
    </row>
    <row r="205" spans="1:26" x14ac:dyDescent="0.3">
      <c r="A205" t="s">
        <v>576</v>
      </c>
      <c r="B205" s="22" t="s">
        <v>116</v>
      </c>
      <c r="C205" s="23" t="s">
        <v>20</v>
      </c>
      <c r="D205" s="24" t="s">
        <v>322</v>
      </c>
      <c r="E205" s="25">
        <v>33</v>
      </c>
      <c r="F205" t="s">
        <v>381</v>
      </c>
      <c r="G205" s="24" t="s">
        <v>31</v>
      </c>
      <c r="H205" s="24" t="s">
        <v>18</v>
      </c>
      <c r="I205" s="24">
        <v>6150</v>
      </c>
      <c r="J205" s="24">
        <v>5</v>
      </c>
      <c r="K205" s="25">
        <f t="shared" si="9"/>
        <v>30750</v>
      </c>
      <c r="L205" s="26">
        <v>45204</v>
      </c>
      <c r="M205" s="25" t="str">
        <f t="shared" si="10"/>
        <v>Thursday</v>
      </c>
      <c r="N205" s="25" t="str">
        <f t="shared" si="11"/>
        <v>Weekday</v>
      </c>
      <c r="Q205" s="25"/>
      <c r="R205" s="24"/>
      <c r="S205" s="27"/>
      <c r="T205"/>
      <c r="U205" s="6"/>
      <c r="W205" s="7"/>
      <c r="Z205" s="4"/>
    </row>
    <row r="206" spans="1:26" x14ac:dyDescent="0.3">
      <c r="A206" t="s">
        <v>577</v>
      </c>
      <c r="B206" s="16" t="s">
        <v>175</v>
      </c>
      <c r="C206" s="17" t="s">
        <v>20</v>
      </c>
      <c r="D206" s="18" t="s">
        <v>322</v>
      </c>
      <c r="E206" s="19">
        <v>60</v>
      </c>
      <c r="F206" t="s">
        <v>381</v>
      </c>
      <c r="G206" s="18" t="s">
        <v>24</v>
      </c>
      <c r="H206" s="18" t="s">
        <v>14</v>
      </c>
      <c r="I206" s="18">
        <v>184500</v>
      </c>
      <c r="J206" s="18">
        <v>5</v>
      </c>
      <c r="K206" s="19">
        <f t="shared" si="9"/>
        <v>922500</v>
      </c>
      <c r="L206" s="20">
        <v>45095</v>
      </c>
      <c r="M206" s="19" t="str">
        <f t="shared" si="10"/>
        <v>Sunday</v>
      </c>
      <c r="N206" s="19" t="str">
        <f t="shared" si="11"/>
        <v>Weekday</v>
      </c>
      <c r="Q206" s="19"/>
      <c r="R206" s="18"/>
      <c r="S206" s="21"/>
      <c r="T206"/>
      <c r="U206" s="6"/>
      <c r="W206" s="7"/>
      <c r="Z206" s="4"/>
    </row>
    <row r="207" spans="1:26" x14ac:dyDescent="0.3">
      <c r="A207" t="s">
        <v>578</v>
      </c>
      <c r="B207" s="22" t="s">
        <v>176</v>
      </c>
      <c r="C207" s="23" t="s">
        <v>11</v>
      </c>
      <c r="D207" s="24" t="s">
        <v>323</v>
      </c>
      <c r="E207" s="25">
        <v>54</v>
      </c>
      <c r="F207" t="s">
        <v>370</v>
      </c>
      <c r="G207" s="24" t="s">
        <v>42</v>
      </c>
      <c r="H207" s="24" t="s">
        <v>14</v>
      </c>
      <c r="I207" s="24">
        <v>98400</v>
      </c>
      <c r="J207" s="24">
        <v>2</v>
      </c>
      <c r="K207" s="25">
        <f t="shared" si="9"/>
        <v>196800</v>
      </c>
      <c r="L207" s="26">
        <v>45001</v>
      </c>
      <c r="M207" s="25" t="str">
        <f t="shared" si="10"/>
        <v>Thursday</v>
      </c>
      <c r="N207" s="25" t="str">
        <f t="shared" si="11"/>
        <v>Weekday</v>
      </c>
      <c r="Q207" s="25"/>
      <c r="R207" s="24"/>
      <c r="S207" s="27"/>
      <c r="T207"/>
      <c r="U207" s="6"/>
      <c r="W207" s="7"/>
      <c r="Z207" s="4"/>
    </row>
    <row r="208" spans="1:26" x14ac:dyDescent="0.3">
      <c r="A208" t="s">
        <v>579</v>
      </c>
      <c r="B208" s="16" t="s">
        <v>77</v>
      </c>
      <c r="C208" s="17" t="s">
        <v>366</v>
      </c>
      <c r="D208" s="18" t="s">
        <v>322</v>
      </c>
      <c r="E208" s="19">
        <v>49</v>
      </c>
      <c r="F208" t="s">
        <v>381</v>
      </c>
      <c r="G208" s="18" t="s">
        <v>31</v>
      </c>
      <c r="H208" s="18" t="s">
        <v>18</v>
      </c>
      <c r="I208" s="18">
        <v>6150</v>
      </c>
      <c r="J208" s="18">
        <v>1</v>
      </c>
      <c r="K208" s="19">
        <f t="shared" si="9"/>
        <v>6150</v>
      </c>
      <c r="L208" s="20">
        <v>45069</v>
      </c>
      <c r="M208" s="19" t="str">
        <f t="shared" si="10"/>
        <v>Tuesday</v>
      </c>
      <c r="N208" s="19" t="str">
        <f t="shared" si="11"/>
        <v>Weekday</v>
      </c>
      <c r="Q208" s="19"/>
      <c r="R208" s="18"/>
      <c r="S208" s="21"/>
      <c r="T208"/>
      <c r="U208" s="6"/>
      <c r="W208" s="7"/>
      <c r="Z208" s="4"/>
    </row>
    <row r="209" spans="1:26" x14ac:dyDescent="0.3">
      <c r="A209" t="s">
        <v>580</v>
      </c>
      <c r="B209" s="22" t="s">
        <v>98</v>
      </c>
      <c r="C209" s="23" t="s">
        <v>11</v>
      </c>
      <c r="D209" s="24" t="s">
        <v>323</v>
      </c>
      <c r="E209" s="25">
        <v>64</v>
      </c>
      <c r="F209" t="s">
        <v>373</v>
      </c>
      <c r="G209" s="24" t="s">
        <v>17</v>
      </c>
      <c r="H209" s="24" t="s">
        <v>18</v>
      </c>
      <c r="I209" s="24">
        <v>12300</v>
      </c>
      <c r="J209" s="24">
        <v>3</v>
      </c>
      <c r="K209" s="25">
        <f t="shared" si="9"/>
        <v>36900</v>
      </c>
      <c r="L209" s="26">
        <v>45254</v>
      </c>
      <c r="M209" s="25" t="str">
        <f t="shared" si="10"/>
        <v>Friday</v>
      </c>
      <c r="N209" s="25" t="str">
        <f t="shared" si="11"/>
        <v>Weekend</v>
      </c>
      <c r="Q209" s="25"/>
      <c r="R209" s="24"/>
      <c r="S209" s="27"/>
      <c r="T209"/>
      <c r="U209" s="6"/>
      <c r="W209" s="7"/>
      <c r="Z209" s="4"/>
    </row>
    <row r="210" spans="1:26" x14ac:dyDescent="0.3">
      <c r="A210" t="s">
        <v>581</v>
      </c>
      <c r="B210" s="16" t="s">
        <v>177</v>
      </c>
      <c r="C210" s="17" t="s">
        <v>11</v>
      </c>
      <c r="D210" s="18" t="s">
        <v>324</v>
      </c>
      <c r="E210" s="19">
        <v>58</v>
      </c>
      <c r="F210" t="s">
        <v>373</v>
      </c>
      <c r="G210" s="18" t="s">
        <v>13</v>
      </c>
      <c r="H210" s="18" t="s">
        <v>14</v>
      </c>
      <c r="I210" s="18">
        <v>36900</v>
      </c>
      <c r="J210" s="18">
        <v>5</v>
      </c>
      <c r="K210" s="19">
        <f t="shared" si="9"/>
        <v>184500</v>
      </c>
      <c r="L210" s="20">
        <v>45143</v>
      </c>
      <c r="M210" s="19" t="str">
        <f t="shared" si="10"/>
        <v>Saturday</v>
      </c>
      <c r="N210" s="19" t="str">
        <f t="shared" si="11"/>
        <v>Weekend</v>
      </c>
      <c r="Q210" s="19"/>
      <c r="R210" s="18"/>
      <c r="S210" s="21"/>
      <c r="T210"/>
      <c r="U210" s="6"/>
      <c r="W210" s="7"/>
      <c r="Z210" s="4"/>
    </row>
    <row r="211" spans="1:26" x14ac:dyDescent="0.3">
      <c r="A211" t="s">
        <v>582</v>
      </c>
      <c r="B211" s="22" t="s">
        <v>178</v>
      </c>
      <c r="C211" s="23" t="s">
        <v>11</v>
      </c>
      <c r="D211" s="24" t="s">
        <v>328</v>
      </c>
      <c r="E211" s="25">
        <v>20</v>
      </c>
      <c r="F211" t="s">
        <v>375</v>
      </c>
      <c r="G211" s="24" t="s">
        <v>17</v>
      </c>
      <c r="H211" s="24" t="s">
        <v>18</v>
      </c>
      <c r="I211" s="24">
        <v>12300</v>
      </c>
      <c r="J211" s="24">
        <v>2</v>
      </c>
      <c r="K211" s="25">
        <f t="shared" si="9"/>
        <v>24600</v>
      </c>
      <c r="L211" s="26">
        <v>44949</v>
      </c>
      <c r="M211" s="25" t="str">
        <f t="shared" si="10"/>
        <v>Monday</v>
      </c>
      <c r="N211" s="25" t="str">
        <f t="shared" si="11"/>
        <v>Weekday</v>
      </c>
      <c r="Q211" s="25"/>
      <c r="R211" s="24"/>
      <c r="S211" s="27"/>
      <c r="T211"/>
      <c r="U211" s="6"/>
      <c r="W211" s="7"/>
      <c r="Z211" s="4"/>
    </row>
    <row r="212" spans="1:26" x14ac:dyDescent="0.3">
      <c r="A212" t="s">
        <v>583</v>
      </c>
      <c r="B212" s="16" t="s">
        <v>124</v>
      </c>
      <c r="C212" s="17" t="s">
        <v>20</v>
      </c>
      <c r="D212" s="18" t="s">
        <v>326</v>
      </c>
      <c r="E212" s="19">
        <v>19</v>
      </c>
      <c r="F212" t="s">
        <v>373</v>
      </c>
      <c r="G212" s="18" t="s">
        <v>42</v>
      </c>
      <c r="H212" s="18" t="s">
        <v>14</v>
      </c>
      <c r="I212" s="18">
        <v>98400</v>
      </c>
      <c r="J212" s="18">
        <v>3</v>
      </c>
      <c r="K212" s="19">
        <f t="shared" si="9"/>
        <v>295200</v>
      </c>
      <c r="L212" s="20">
        <v>45139</v>
      </c>
      <c r="M212" s="19" t="str">
        <f t="shared" si="10"/>
        <v>Tuesday</v>
      </c>
      <c r="N212" s="19" t="str">
        <f t="shared" si="11"/>
        <v>Weekday</v>
      </c>
      <c r="Q212" s="19"/>
      <c r="R212" s="18"/>
      <c r="S212" s="21"/>
      <c r="T212"/>
      <c r="U212" s="6"/>
      <c r="W212" s="7"/>
      <c r="Z212" s="4"/>
    </row>
    <row r="213" spans="1:26" x14ac:dyDescent="0.3">
      <c r="A213" t="s">
        <v>584</v>
      </c>
      <c r="B213" s="22" t="s">
        <v>179</v>
      </c>
      <c r="C213" s="23" t="s">
        <v>11</v>
      </c>
      <c r="D213" s="24" t="s">
        <v>322</v>
      </c>
      <c r="E213" s="25">
        <v>29</v>
      </c>
      <c r="F213" t="s">
        <v>375</v>
      </c>
      <c r="G213" s="24" t="s">
        <v>31</v>
      </c>
      <c r="H213" s="24" t="s">
        <v>18</v>
      </c>
      <c r="I213" s="24">
        <v>6150</v>
      </c>
      <c r="J213" s="24">
        <v>2</v>
      </c>
      <c r="K213" s="25">
        <f t="shared" si="9"/>
        <v>12300</v>
      </c>
      <c r="L213" s="26">
        <v>45030</v>
      </c>
      <c r="M213" s="25" t="str">
        <f t="shared" si="10"/>
        <v>Friday</v>
      </c>
      <c r="N213" s="25" t="str">
        <f t="shared" si="11"/>
        <v>Weekend</v>
      </c>
      <c r="Q213" s="25"/>
      <c r="R213" s="24"/>
      <c r="S213" s="27"/>
      <c r="T213"/>
      <c r="U213" s="6"/>
      <c r="W213" s="7"/>
      <c r="Z213" s="4"/>
    </row>
    <row r="214" spans="1:26" x14ac:dyDescent="0.3">
      <c r="A214" t="s">
        <v>585</v>
      </c>
      <c r="B214" s="16" t="s">
        <v>61</v>
      </c>
      <c r="C214" s="17" t="s">
        <v>11</v>
      </c>
      <c r="D214" s="18" t="s">
        <v>322</v>
      </c>
      <c r="E214" s="19">
        <v>68</v>
      </c>
      <c r="F214" t="s">
        <v>370</v>
      </c>
      <c r="G214" s="18" t="s">
        <v>26</v>
      </c>
      <c r="H214" s="18" t="s">
        <v>27</v>
      </c>
      <c r="I214" s="18">
        <v>24600</v>
      </c>
      <c r="J214" s="18">
        <v>3</v>
      </c>
      <c r="K214" s="19">
        <f t="shared" si="9"/>
        <v>73800</v>
      </c>
      <c r="L214" s="20">
        <v>45099</v>
      </c>
      <c r="M214" s="19" t="str">
        <f t="shared" si="10"/>
        <v>Thursday</v>
      </c>
      <c r="N214" s="19" t="str">
        <f t="shared" si="11"/>
        <v>Weekday</v>
      </c>
      <c r="Q214" s="19"/>
      <c r="R214" s="18"/>
      <c r="S214" s="21"/>
      <c r="T214"/>
      <c r="U214" s="6"/>
      <c r="W214" s="7"/>
      <c r="Z214" s="4"/>
    </row>
    <row r="215" spans="1:26" x14ac:dyDescent="0.3">
      <c r="A215" t="s">
        <v>586</v>
      </c>
      <c r="B215" s="22" t="s">
        <v>180</v>
      </c>
      <c r="C215" s="23" t="s">
        <v>11</v>
      </c>
      <c r="D215" s="24" t="s">
        <v>325</v>
      </c>
      <c r="E215" s="25">
        <v>30</v>
      </c>
      <c r="F215" t="s">
        <v>370</v>
      </c>
      <c r="G215" s="24" t="s">
        <v>24</v>
      </c>
      <c r="H215" s="24" t="s">
        <v>14</v>
      </c>
      <c r="I215" s="24">
        <v>184500</v>
      </c>
      <c r="J215" s="24">
        <v>1</v>
      </c>
      <c r="K215" s="25">
        <f t="shared" si="9"/>
        <v>184500</v>
      </c>
      <c r="L215" s="26">
        <v>45034</v>
      </c>
      <c r="M215" s="25" t="str">
        <f t="shared" si="10"/>
        <v>Tuesday</v>
      </c>
      <c r="N215" s="25" t="str">
        <f t="shared" si="11"/>
        <v>Weekday</v>
      </c>
      <c r="Q215" s="25"/>
      <c r="R215" s="24"/>
      <c r="S215" s="27"/>
      <c r="T215"/>
      <c r="U215" s="6"/>
      <c r="W215" s="7"/>
      <c r="Z215" s="4"/>
    </row>
    <row r="216" spans="1:26" x14ac:dyDescent="0.3">
      <c r="A216" t="s">
        <v>587</v>
      </c>
      <c r="B216" s="16" t="s">
        <v>181</v>
      </c>
      <c r="C216" s="17" t="s">
        <v>20</v>
      </c>
      <c r="D216" s="18" t="s">
        <v>325</v>
      </c>
      <c r="E216" s="19">
        <v>61</v>
      </c>
      <c r="F216" t="s">
        <v>375</v>
      </c>
      <c r="G216" s="18" t="s">
        <v>32</v>
      </c>
      <c r="H216" s="18" t="s">
        <v>18</v>
      </c>
      <c r="I216" s="18">
        <v>3690</v>
      </c>
      <c r="J216" s="18">
        <v>1</v>
      </c>
      <c r="K216" s="19">
        <f t="shared" si="9"/>
        <v>3690</v>
      </c>
      <c r="L216" s="20">
        <v>44954</v>
      </c>
      <c r="M216" s="19" t="str">
        <f t="shared" si="10"/>
        <v>Saturday</v>
      </c>
      <c r="N216" s="19" t="str">
        <f t="shared" si="11"/>
        <v>Weekend</v>
      </c>
      <c r="Q216" s="19"/>
      <c r="R216" s="18"/>
      <c r="S216" s="21"/>
      <c r="T216"/>
      <c r="U216" s="6"/>
      <c r="W216" s="7"/>
      <c r="Z216" s="4"/>
    </row>
    <row r="217" spans="1:26" x14ac:dyDescent="0.3">
      <c r="A217" t="s">
        <v>588</v>
      </c>
      <c r="B217" s="22" t="s">
        <v>148</v>
      </c>
      <c r="C217" s="23" t="s">
        <v>20</v>
      </c>
      <c r="D217" s="24" t="s">
        <v>323</v>
      </c>
      <c r="E217" s="25">
        <v>68</v>
      </c>
      <c r="F217" t="s">
        <v>373</v>
      </c>
      <c r="G217" s="24" t="s">
        <v>42</v>
      </c>
      <c r="H217" s="24" t="s">
        <v>14</v>
      </c>
      <c r="I217" s="24">
        <v>98400</v>
      </c>
      <c r="J217" s="24">
        <v>4</v>
      </c>
      <c r="K217" s="25">
        <f t="shared" si="9"/>
        <v>393600</v>
      </c>
      <c r="L217" s="26">
        <v>45054</v>
      </c>
      <c r="M217" s="25" t="str">
        <f t="shared" si="10"/>
        <v>Monday</v>
      </c>
      <c r="N217" s="25" t="str">
        <f t="shared" si="11"/>
        <v>Weekday</v>
      </c>
      <c r="Q217" s="25"/>
      <c r="R217" s="24"/>
      <c r="S217" s="27"/>
      <c r="T217"/>
      <c r="U217" s="6"/>
      <c r="W217" s="7"/>
      <c r="Z217" s="4"/>
    </row>
    <row r="218" spans="1:26" x14ac:dyDescent="0.3">
      <c r="A218" t="s">
        <v>589</v>
      </c>
      <c r="B218" s="16" t="s">
        <v>182</v>
      </c>
      <c r="C218" s="17" t="s">
        <v>366</v>
      </c>
      <c r="D218" s="18" t="s">
        <v>322</v>
      </c>
      <c r="E218" s="19">
        <v>55</v>
      </c>
      <c r="F218" t="s">
        <v>373</v>
      </c>
      <c r="G218" s="18" t="s">
        <v>24</v>
      </c>
      <c r="H218" s="18" t="s">
        <v>14</v>
      </c>
      <c r="I218" s="18">
        <v>184500</v>
      </c>
      <c r="J218" s="18">
        <v>2</v>
      </c>
      <c r="K218" s="19">
        <f t="shared" si="9"/>
        <v>369000</v>
      </c>
      <c r="L218" s="20">
        <v>45084</v>
      </c>
      <c r="M218" s="19" t="str">
        <f t="shared" si="10"/>
        <v>Wednesday</v>
      </c>
      <c r="N218" s="19" t="str">
        <f t="shared" si="11"/>
        <v>Weekday</v>
      </c>
      <c r="Q218" s="19"/>
      <c r="R218" s="18"/>
      <c r="S218" s="21"/>
      <c r="T218"/>
      <c r="U218" s="6"/>
      <c r="W218" s="7"/>
      <c r="Z218" s="4"/>
    </row>
    <row r="219" spans="1:26" x14ac:dyDescent="0.3">
      <c r="A219" t="s">
        <v>590</v>
      </c>
      <c r="B219" s="22" t="s">
        <v>183</v>
      </c>
      <c r="C219" s="23" t="s">
        <v>11</v>
      </c>
      <c r="D219" s="24" t="s">
        <v>324</v>
      </c>
      <c r="E219" s="25">
        <v>29</v>
      </c>
      <c r="F219" t="s">
        <v>375</v>
      </c>
      <c r="G219" s="24" t="s">
        <v>42</v>
      </c>
      <c r="H219" s="24" t="s">
        <v>14</v>
      </c>
      <c r="I219" s="24">
        <v>98400</v>
      </c>
      <c r="J219" s="24">
        <v>5</v>
      </c>
      <c r="K219" s="25">
        <f t="shared" si="9"/>
        <v>492000</v>
      </c>
      <c r="L219" s="26">
        <v>44981</v>
      </c>
      <c r="M219" s="25" t="str">
        <f t="shared" si="10"/>
        <v>Friday</v>
      </c>
      <c r="N219" s="25" t="str">
        <f t="shared" si="11"/>
        <v>Weekend</v>
      </c>
      <c r="Q219" s="25"/>
      <c r="R219" s="24"/>
      <c r="S219" s="27"/>
      <c r="T219"/>
      <c r="U219" s="6"/>
      <c r="W219" s="7"/>
      <c r="Z219" s="4"/>
    </row>
    <row r="220" spans="1:26" x14ac:dyDescent="0.3">
      <c r="A220" t="s">
        <v>591</v>
      </c>
      <c r="B220" s="16" t="s">
        <v>174</v>
      </c>
      <c r="C220" s="17" t="s">
        <v>11</v>
      </c>
      <c r="D220" s="18" t="s">
        <v>322</v>
      </c>
      <c r="E220" s="19">
        <v>57</v>
      </c>
      <c r="F220" t="s">
        <v>375</v>
      </c>
      <c r="G220" s="18" t="s">
        <v>31</v>
      </c>
      <c r="H220" s="18" t="s">
        <v>18</v>
      </c>
      <c r="I220" s="18">
        <v>6150</v>
      </c>
      <c r="J220" s="18">
        <v>3</v>
      </c>
      <c r="K220" s="19">
        <f t="shared" si="9"/>
        <v>18450</v>
      </c>
      <c r="L220" s="20">
        <v>44973</v>
      </c>
      <c r="M220" s="19" t="str">
        <f t="shared" si="10"/>
        <v>Thursday</v>
      </c>
      <c r="N220" s="19" t="str">
        <f t="shared" si="11"/>
        <v>Weekday</v>
      </c>
      <c r="Q220" s="19"/>
      <c r="R220" s="18"/>
      <c r="S220" s="21"/>
      <c r="T220"/>
      <c r="U220" s="6"/>
      <c r="W220" s="7"/>
      <c r="Z220" s="4"/>
    </row>
    <row r="221" spans="1:26" x14ac:dyDescent="0.3">
      <c r="A221" t="s">
        <v>592</v>
      </c>
      <c r="B221" s="22" t="s">
        <v>67</v>
      </c>
      <c r="C221" s="23" t="s">
        <v>11</v>
      </c>
      <c r="D221" s="24" t="s">
        <v>327</v>
      </c>
      <c r="E221" s="25">
        <v>38</v>
      </c>
      <c r="F221" t="s">
        <v>370</v>
      </c>
      <c r="G221" s="24" t="s">
        <v>26</v>
      </c>
      <c r="H221" s="24" t="s">
        <v>27</v>
      </c>
      <c r="I221" s="24">
        <v>24600</v>
      </c>
      <c r="J221" s="24">
        <v>3</v>
      </c>
      <c r="K221" s="25">
        <f t="shared" si="9"/>
        <v>73800</v>
      </c>
      <c r="L221" s="26">
        <v>45145</v>
      </c>
      <c r="M221" s="25" t="str">
        <f t="shared" si="10"/>
        <v>Monday</v>
      </c>
      <c r="N221" s="25" t="str">
        <f t="shared" si="11"/>
        <v>Weekday</v>
      </c>
      <c r="Q221" s="25"/>
      <c r="R221" s="24"/>
      <c r="S221" s="27"/>
      <c r="T221"/>
      <c r="U221" s="6"/>
      <c r="W221" s="7"/>
      <c r="Z221" s="4"/>
    </row>
    <row r="222" spans="1:26" x14ac:dyDescent="0.3">
      <c r="A222" t="s">
        <v>593</v>
      </c>
      <c r="B222" s="16" t="s">
        <v>57</v>
      </c>
      <c r="C222" s="17" t="s">
        <v>366</v>
      </c>
      <c r="D222" s="18" t="s">
        <v>322</v>
      </c>
      <c r="E222" s="19">
        <v>58</v>
      </c>
      <c r="F222" t="s">
        <v>375</v>
      </c>
      <c r="G222" s="18" t="s">
        <v>42</v>
      </c>
      <c r="H222" s="18" t="s">
        <v>14</v>
      </c>
      <c r="I222" s="18">
        <v>98400</v>
      </c>
      <c r="J222" s="18">
        <v>4</v>
      </c>
      <c r="K222" s="19">
        <f t="shared" si="9"/>
        <v>393600</v>
      </c>
      <c r="L222" s="20">
        <v>45020</v>
      </c>
      <c r="M222" s="19" t="str">
        <f t="shared" si="10"/>
        <v>Tuesday</v>
      </c>
      <c r="N222" s="19" t="str">
        <f t="shared" si="11"/>
        <v>Weekday</v>
      </c>
      <c r="Q222" s="19"/>
      <c r="R222" s="18"/>
      <c r="S222" s="21"/>
      <c r="T222"/>
      <c r="U222" s="6"/>
      <c r="W222" s="7"/>
      <c r="Z222" s="4"/>
    </row>
    <row r="223" spans="1:26" x14ac:dyDescent="0.3">
      <c r="A223" t="s">
        <v>594</v>
      </c>
      <c r="B223" s="22" t="s">
        <v>123</v>
      </c>
      <c r="C223" s="23" t="s">
        <v>20</v>
      </c>
      <c r="D223" s="24" t="s">
        <v>328</v>
      </c>
      <c r="E223" s="25">
        <v>38</v>
      </c>
      <c r="F223" t="s">
        <v>373</v>
      </c>
      <c r="G223" s="24" t="s">
        <v>13</v>
      </c>
      <c r="H223" s="24" t="s">
        <v>14</v>
      </c>
      <c r="I223" s="24">
        <v>36900</v>
      </c>
      <c r="J223" s="24">
        <v>1</v>
      </c>
      <c r="K223" s="25">
        <f t="shared" si="9"/>
        <v>36900</v>
      </c>
      <c r="L223" s="26">
        <v>45047</v>
      </c>
      <c r="M223" s="25" t="str">
        <f t="shared" si="10"/>
        <v>Monday</v>
      </c>
      <c r="N223" s="25" t="str">
        <f t="shared" si="11"/>
        <v>Weekday</v>
      </c>
      <c r="Q223" s="25"/>
      <c r="R223" s="24"/>
      <c r="S223" s="27"/>
      <c r="T223"/>
      <c r="U223" s="6"/>
      <c r="W223" s="7"/>
      <c r="Z223" s="4"/>
    </row>
    <row r="224" spans="1:26" x14ac:dyDescent="0.3">
      <c r="A224" t="s">
        <v>595</v>
      </c>
      <c r="B224" s="16" t="s">
        <v>184</v>
      </c>
      <c r="C224" s="17" t="s">
        <v>20</v>
      </c>
      <c r="D224" s="18" t="s">
        <v>322</v>
      </c>
      <c r="E224" s="19">
        <v>32</v>
      </c>
      <c r="F224" t="s">
        <v>375</v>
      </c>
      <c r="G224" s="18" t="s">
        <v>42</v>
      </c>
      <c r="H224" s="18" t="s">
        <v>14</v>
      </c>
      <c r="I224" s="18">
        <v>98400</v>
      </c>
      <c r="J224" s="18">
        <v>3</v>
      </c>
      <c r="K224" s="19">
        <f t="shared" si="9"/>
        <v>295200</v>
      </c>
      <c r="L224" s="20">
        <v>45197</v>
      </c>
      <c r="M224" s="19" t="str">
        <f t="shared" si="10"/>
        <v>Thursday</v>
      </c>
      <c r="N224" s="19" t="str">
        <f t="shared" si="11"/>
        <v>Weekday</v>
      </c>
      <c r="Q224" s="19"/>
      <c r="R224" s="18"/>
      <c r="S224" s="21"/>
      <c r="T224"/>
      <c r="U224" s="6"/>
      <c r="W224" s="7"/>
      <c r="Z224" s="4"/>
    </row>
    <row r="225" spans="1:26" x14ac:dyDescent="0.3">
      <c r="A225" t="s">
        <v>596</v>
      </c>
      <c r="B225" s="22" t="s">
        <v>115</v>
      </c>
      <c r="C225" s="23" t="s">
        <v>366</v>
      </c>
      <c r="D225" s="24" t="s">
        <v>323</v>
      </c>
      <c r="E225" s="25">
        <v>63</v>
      </c>
      <c r="F225" t="s">
        <v>375</v>
      </c>
      <c r="G225" s="24" t="s">
        <v>17</v>
      </c>
      <c r="H225" s="24" t="s">
        <v>18</v>
      </c>
      <c r="I225" s="24">
        <v>12300</v>
      </c>
      <c r="J225" s="24">
        <v>4</v>
      </c>
      <c r="K225" s="25">
        <f t="shared" si="9"/>
        <v>49200</v>
      </c>
      <c r="L225" s="26">
        <v>45052</v>
      </c>
      <c r="M225" s="25" t="str">
        <f t="shared" si="10"/>
        <v>Saturday</v>
      </c>
      <c r="N225" s="25" t="str">
        <f t="shared" si="11"/>
        <v>Weekend</v>
      </c>
      <c r="Q225" s="25"/>
      <c r="R225" s="24"/>
      <c r="S225" s="27"/>
      <c r="T225"/>
      <c r="U225" s="6"/>
      <c r="W225" s="7"/>
      <c r="Z225" s="4"/>
    </row>
    <row r="226" spans="1:26" x14ac:dyDescent="0.3">
      <c r="A226" t="s">
        <v>597</v>
      </c>
      <c r="B226" s="16" t="s">
        <v>50</v>
      </c>
      <c r="C226" s="17" t="s">
        <v>20</v>
      </c>
      <c r="D226" s="18" t="s">
        <v>326</v>
      </c>
      <c r="E226" s="19">
        <v>59</v>
      </c>
      <c r="F226" t="s">
        <v>375</v>
      </c>
      <c r="G226" s="18" t="s">
        <v>31</v>
      </c>
      <c r="H226" s="18" t="s">
        <v>18</v>
      </c>
      <c r="I226" s="18">
        <v>6150</v>
      </c>
      <c r="J226" s="18">
        <v>4</v>
      </c>
      <c r="K226" s="19">
        <f t="shared" si="9"/>
        <v>24600</v>
      </c>
      <c r="L226" s="20">
        <v>45159</v>
      </c>
      <c r="M226" s="19" t="str">
        <f t="shared" si="10"/>
        <v>Monday</v>
      </c>
      <c r="N226" s="19" t="str">
        <f t="shared" si="11"/>
        <v>Weekday</v>
      </c>
      <c r="Q226" s="19"/>
      <c r="R226" s="18"/>
      <c r="S226" s="21"/>
      <c r="T226"/>
      <c r="U226" s="6"/>
      <c r="W226" s="7"/>
      <c r="Z226" s="4"/>
    </row>
    <row r="227" spans="1:26" x14ac:dyDescent="0.3">
      <c r="A227" t="s">
        <v>598</v>
      </c>
      <c r="B227" s="22" t="s">
        <v>162</v>
      </c>
      <c r="C227" s="23" t="s">
        <v>11</v>
      </c>
      <c r="D227" s="24" t="s">
        <v>329</v>
      </c>
      <c r="E227" s="25">
        <v>27</v>
      </c>
      <c r="F227" t="s">
        <v>370</v>
      </c>
      <c r="G227" s="24" t="s">
        <v>17</v>
      </c>
      <c r="H227" s="24" t="s">
        <v>18</v>
      </c>
      <c r="I227" s="24">
        <v>12300</v>
      </c>
      <c r="J227" s="24">
        <v>3</v>
      </c>
      <c r="K227" s="25">
        <f t="shared" si="9"/>
        <v>36900</v>
      </c>
      <c r="L227" s="26">
        <v>44998</v>
      </c>
      <c r="M227" s="25" t="str">
        <f t="shared" si="10"/>
        <v>Monday</v>
      </c>
      <c r="N227" s="25" t="str">
        <f t="shared" si="11"/>
        <v>Weekday</v>
      </c>
      <c r="Q227" s="25"/>
      <c r="R227" s="24"/>
      <c r="S227" s="27"/>
      <c r="T227"/>
      <c r="U227" s="6"/>
      <c r="W227" s="7"/>
      <c r="Z227" s="4"/>
    </row>
    <row r="228" spans="1:26" x14ac:dyDescent="0.3">
      <c r="A228" t="s">
        <v>599</v>
      </c>
      <c r="B228" s="16" t="s">
        <v>186</v>
      </c>
      <c r="C228" s="17" t="s">
        <v>20</v>
      </c>
      <c r="D228" s="18" t="s">
        <v>324</v>
      </c>
      <c r="E228" s="19">
        <v>51</v>
      </c>
      <c r="F228" t="s">
        <v>375</v>
      </c>
      <c r="G228" s="18" t="s">
        <v>24</v>
      </c>
      <c r="H228" s="18" t="s">
        <v>14</v>
      </c>
      <c r="I228" s="18">
        <v>184500</v>
      </c>
      <c r="J228" s="18">
        <v>1</v>
      </c>
      <c r="K228" s="19">
        <f t="shared" si="9"/>
        <v>184500</v>
      </c>
      <c r="L228" s="20">
        <v>44985</v>
      </c>
      <c r="M228" s="19" t="str">
        <f t="shared" si="10"/>
        <v>Tuesday</v>
      </c>
      <c r="N228" s="19" t="str">
        <f t="shared" si="11"/>
        <v>Weekday</v>
      </c>
      <c r="Q228" s="19"/>
      <c r="R228" s="18"/>
      <c r="S228" s="21"/>
      <c r="T228"/>
      <c r="U228" s="6"/>
      <c r="W228" s="7"/>
      <c r="Z228" s="4"/>
    </row>
    <row r="229" spans="1:26" x14ac:dyDescent="0.3">
      <c r="A229" t="s">
        <v>600</v>
      </c>
      <c r="B229" s="22" t="s">
        <v>183</v>
      </c>
      <c r="C229" s="23" t="s">
        <v>11</v>
      </c>
      <c r="D229" s="24" t="s">
        <v>324</v>
      </c>
      <c r="E229" s="25">
        <v>29</v>
      </c>
      <c r="F229" t="s">
        <v>381</v>
      </c>
      <c r="G229" s="24" t="s">
        <v>13</v>
      </c>
      <c r="H229" s="24" t="s">
        <v>14</v>
      </c>
      <c r="I229" s="24">
        <v>36900</v>
      </c>
      <c r="J229" s="24">
        <v>4</v>
      </c>
      <c r="K229" s="25">
        <f t="shared" si="9"/>
        <v>147600</v>
      </c>
      <c r="L229" s="26">
        <v>45133</v>
      </c>
      <c r="M229" s="25" t="str">
        <f t="shared" si="10"/>
        <v>Wednesday</v>
      </c>
      <c r="N229" s="25" t="str">
        <f t="shared" si="11"/>
        <v>Weekday</v>
      </c>
      <c r="Q229" s="25"/>
      <c r="R229" s="24"/>
      <c r="S229" s="27"/>
      <c r="T229"/>
      <c r="U229" s="6"/>
      <c r="W229" s="7"/>
      <c r="Z229" s="4"/>
    </row>
    <row r="230" spans="1:26" x14ac:dyDescent="0.3">
      <c r="A230" t="s">
        <v>601</v>
      </c>
      <c r="B230" s="16" t="s">
        <v>167</v>
      </c>
      <c r="C230" s="17" t="s">
        <v>11</v>
      </c>
      <c r="D230" s="18" t="s">
        <v>322</v>
      </c>
      <c r="E230" s="19">
        <v>66</v>
      </c>
      <c r="F230" t="s">
        <v>381</v>
      </c>
      <c r="G230" s="18" t="s">
        <v>13</v>
      </c>
      <c r="H230" s="18" t="s">
        <v>14</v>
      </c>
      <c r="I230" s="18">
        <v>36900</v>
      </c>
      <c r="J230" s="18">
        <v>2</v>
      </c>
      <c r="K230" s="19">
        <f t="shared" si="9"/>
        <v>73800</v>
      </c>
      <c r="L230" s="20">
        <v>45109</v>
      </c>
      <c r="M230" s="19" t="str">
        <f t="shared" si="10"/>
        <v>Sunday</v>
      </c>
      <c r="N230" s="19" t="str">
        <f t="shared" si="11"/>
        <v>Weekday</v>
      </c>
      <c r="Q230" s="19"/>
      <c r="R230" s="18"/>
      <c r="S230" s="21"/>
      <c r="T230"/>
      <c r="U230" s="6"/>
      <c r="W230" s="7"/>
      <c r="Z230" s="4"/>
    </row>
    <row r="231" spans="1:26" x14ac:dyDescent="0.3">
      <c r="A231" t="s">
        <v>602</v>
      </c>
      <c r="B231" s="22" t="s">
        <v>176</v>
      </c>
      <c r="C231" s="23" t="s">
        <v>11</v>
      </c>
      <c r="D231" s="24" t="s">
        <v>323</v>
      </c>
      <c r="E231" s="25">
        <v>54</v>
      </c>
      <c r="F231" t="s">
        <v>381</v>
      </c>
      <c r="G231" s="24" t="s">
        <v>26</v>
      </c>
      <c r="H231" s="24" t="s">
        <v>27</v>
      </c>
      <c r="I231" s="24">
        <v>24600</v>
      </c>
      <c r="J231" s="24">
        <v>5</v>
      </c>
      <c r="K231" s="25">
        <f t="shared" si="9"/>
        <v>123000</v>
      </c>
      <c r="L231" s="26">
        <v>45216</v>
      </c>
      <c r="M231" s="25" t="str">
        <f t="shared" si="10"/>
        <v>Tuesday</v>
      </c>
      <c r="N231" s="25" t="str">
        <f t="shared" si="11"/>
        <v>Weekday</v>
      </c>
      <c r="Q231" s="25"/>
      <c r="R231" s="24"/>
      <c r="S231" s="27"/>
      <c r="T231"/>
      <c r="U231" s="6"/>
      <c r="W231" s="7"/>
      <c r="Z231" s="4"/>
    </row>
    <row r="232" spans="1:26" x14ac:dyDescent="0.3">
      <c r="A232" t="s">
        <v>603</v>
      </c>
      <c r="B232" s="16" t="s">
        <v>187</v>
      </c>
      <c r="C232" s="17" t="s">
        <v>11</v>
      </c>
      <c r="D232" s="18" t="s">
        <v>324</v>
      </c>
      <c r="E232" s="19">
        <v>68</v>
      </c>
      <c r="F232" t="s">
        <v>373</v>
      </c>
      <c r="G232" s="18" t="s">
        <v>13</v>
      </c>
      <c r="H232" s="18" t="s">
        <v>14</v>
      </c>
      <c r="I232" s="18">
        <v>36900</v>
      </c>
      <c r="J232" s="18">
        <v>3</v>
      </c>
      <c r="K232" s="19">
        <f t="shared" si="9"/>
        <v>110700</v>
      </c>
      <c r="L232" s="20">
        <v>45217</v>
      </c>
      <c r="M232" s="19" t="str">
        <f t="shared" si="10"/>
        <v>Wednesday</v>
      </c>
      <c r="N232" s="19" t="str">
        <f t="shared" si="11"/>
        <v>Weekday</v>
      </c>
      <c r="Q232" s="19"/>
      <c r="R232" s="18"/>
      <c r="S232" s="21"/>
      <c r="T232"/>
      <c r="U232" s="6"/>
      <c r="W232" s="7"/>
      <c r="Z232" s="4"/>
    </row>
    <row r="233" spans="1:26" x14ac:dyDescent="0.3">
      <c r="A233" t="s">
        <v>604</v>
      </c>
      <c r="B233" s="22" t="s">
        <v>123</v>
      </c>
      <c r="C233" s="23" t="s">
        <v>20</v>
      </c>
      <c r="D233" s="24" t="s">
        <v>328</v>
      </c>
      <c r="E233" s="25">
        <v>38</v>
      </c>
      <c r="F233" t="s">
        <v>373</v>
      </c>
      <c r="G233" s="24" t="s">
        <v>24</v>
      </c>
      <c r="H233" s="24" t="s">
        <v>14</v>
      </c>
      <c r="I233" s="24">
        <v>184500</v>
      </c>
      <c r="J233" s="24">
        <v>3</v>
      </c>
      <c r="K233" s="25">
        <f t="shared" si="9"/>
        <v>553500</v>
      </c>
      <c r="L233" s="26">
        <v>45022</v>
      </c>
      <c r="M233" s="25" t="str">
        <f t="shared" si="10"/>
        <v>Thursday</v>
      </c>
      <c r="N233" s="25" t="str">
        <f t="shared" si="11"/>
        <v>Weekday</v>
      </c>
      <c r="Q233" s="25"/>
      <c r="R233" s="24"/>
      <c r="S233" s="27"/>
      <c r="T233"/>
      <c r="U233" s="6"/>
      <c r="W233" s="7"/>
      <c r="Z233" s="4"/>
    </row>
    <row r="234" spans="1:26" x14ac:dyDescent="0.3">
      <c r="A234" t="s">
        <v>605</v>
      </c>
      <c r="B234" s="16" t="s">
        <v>33</v>
      </c>
      <c r="C234" s="17" t="s">
        <v>11</v>
      </c>
      <c r="D234" s="18" t="s">
        <v>323</v>
      </c>
      <c r="E234" s="19">
        <v>29</v>
      </c>
      <c r="F234" t="s">
        <v>375</v>
      </c>
      <c r="G234" s="18" t="s">
        <v>13</v>
      </c>
      <c r="H234" s="18" t="s">
        <v>14</v>
      </c>
      <c r="I234" s="18">
        <v>36900</v>
      </c>
      <c r="J234" s="18">
        <v>3</v>
      </c>
      <c r="K234" s="19">
        <f t="shared" si="9"/>
        <v>110700</v>
      </c>
      <c r="L234" s="20">
        <v>45127</v>
      </c>
      <c r="M234" s="19" t="str">
        <f t="shared" si="10"/>
        <v>Thursday</v>
      </c>
      <c r="N234" s="19" t="str">
        <f t="shared" si="11"/>
        <v>Weekday</v>
      </c>
      <c r="Q234" s="19"/>
      <c r="R234" s="18"/>
      <c r="S234" s="21"/>
      <c r="T234"/>
      <c r="U234" s="6"/>
      <c r="W234" s="7"/>
      <c r="Z234" s="4"/>
    </row>
    <row r="235" spans="1:26" x14ac:dyDescent="0.3">
      <c r="A235" t="s">
        <v>606</v>
      </c>
      <c r="B235" s="22" t="s">
        <v>188</v>
      </c>
      <c r="C235" s="23" t="s">
        <v>20</v>
      </c>
      <c r="D235" s="24" t="s">
        <v>322</v>
      </c>
      <c r="E235" s="25">
        <v>40</v>
      </c>
      <c r="F235" t="s">
        <v>381</v>
      </c>
      <c r="G235" s="24" t="s">
        <v>26</v>
      </c>
      <c r="H235" s="24" t="s">
        <v>27</v>
      </c>
      <c r="I235" s="24">
        <v>24600</v>
      </c>
      <c r="J235" s="24">
        <v>1</v>
      </c>
      <c r="K235" s="25">
        <f t="shared" si="9"/>
        <v>24600</v>
      </c>
      <c r="L235" s="26">
        <v>45024</v>
      </c>
      <c r="M235" s="25" t="str">
        <f t="shared" si="10"/>
        <v>Saturday</v>
      </c>
      <c r="N235" s="25" t="str">
        <f t="shared" si="11"/>
        <v>Weekend</v>
      </c>
      <c r="Q235" s="25"/>
      <c r="R235" s="24"/>
      <c r="S235" s="27"/>
      <c r="T235"/>
      <c r="U235" s="6"/>
      <c r="W235" s="7"/>
      <c r="Z235" s="4"/>
    </row>
    <row r="236" spans="1:26" x14ac:dyDescent="0.3">
      <c r="A236" t="s">
        <v>607</v>
      </c>
      <c r="B236" s="16" t="s">
        <v>189</v>
      </c>
      <c r="C236" s="17" t="s">
        <v>20</v>
      </c>
      <c r="D236" s="18" t="s">
        <v>322</v>
      </c>
      <c r="E236" s="19">
        <v>48</v>
      </c>
      <c r="F236" t="s">
        <v>370</v>
      </c>
      <c r="G236" s="18" t="s">
        <v>31</v>
      </c>
      <c r="H236" s="18" t="s">
        <v>18</v>
      </c>
      <c r="I236" s="18">
        <v>6150</v>
      </c>
      <c r="J236" s="18">
        <v>3</v>
      </c>
      <c r="K236" s="19">
        <f t="shared" si="9"/>
        <v>18450</v>
      </c>
      <c r="L236" s="20">
        <v>44934</v>
      </c>
      <c r="M236" s="19" t="str">
        <f t="shared" si="10"/>
        <v>Sunday</v>
      </c>
      <c r="N236" s="19" t="str">
        <f t="shared" si="11"/>
        <v>Weekday</v>
      </c>
      <c r="Q236" s="19"/>
      <c r="R236" s="18"/>
      <c r="S236" s="21"/>
      <c r="T236"/>
      <c r="U236" s="6"/>
      <c r="W236" s="7"/>
      <c r="Z236" s="4"/>
    </row>
    <row r="237" spans="1:26" x14ac:dyDescent="0.3">
      <c r="A237" t="s">
        <v>608</v>
      </c>
      <c r="B237" s="22" t="s">
        <v>190</v>
      </c>
      <c r="C237" s="23" t="s">
        <v>366</v>
      </c>
      <c r="D237" s="24" t="s">
        <v>324</v>
      </c>
      <c r="E237" s="25">
        <v>52</v>
      </c>
      <c r="F237" t="s">
        <v>381</v>
      </c>
      <c r="G237" s="24" t="s">
        <v>24</v>
      </c>
      <c r="H237" s="24" t="s">
        <v>14</v>
      </c>
      <c r="I237" s="24">
        <v>184500</v>
      </c>
      <c r="J237" s="24">
        <v>5</v>
      </c>
      <c r="K237" s="25">
        <f t="shared" si="9"/>
        <v>922500</v>
      </c>
      <c r="L237" s="26">
        <v>45059</v>
      </c>
      <c r="M237" s="25" t="str">
        <f t="shared" si="10"/>
        <v>Saturday</v>
      </c>
      <c r="N237" s="25" t="str">
        <f t="shared" si="11"/>
        <v>Weekend</v>
      </c>
      <c r="Q237" s="25"/>
      <c r="R237" s="24"/>
      <c r="S237" s="27"/>
      <c r="T237"/>
      <c r="U237" s="6"/>
      <c r="W237" s="7"/>
      <c r="Z237" s="4"/>
    </row>
    <row r="238" spans="1:26" x14ac:dyDescent="0.3">
      <c r="A238" t="s">
        <v>609</v>
      </c>
      <c r="B238" s="16" t="s">
        <v>191</v>
      </c>
      <c r="C238" s="17" t="s">
        <v>11</v>
      </c>
      <c r="D238" s="18" t="s">
        <v>326</v>
      </c>
      <c r="E238" s="19">
        <v>69</v>
      </c>
      <c r="F238" t="s">
        <v>381</v>
      </c>
      <c r="G238" s="18" t="s">
        <v>13</v>
      </c>
      <c r="H238" s="18" t="s">
        <v>14</v>
      </c>
      <c r="I238" s="18">
        <v>36900</v>
      </c>
      <c r="J238" s="18">
        <v>4</v>
      </c>
      <c r="K238" s="19">
        <f t="shared" si="9"/>
        <v>147600</v>
      </c>
      <c r="L238" s="20">
        <v>45153</v>
      </c>
      <c r="M238" s="19" t="str">
        <f t="shared" si="10"/>
        <v>Tuesday</v>
      </c>
      <c r="N238" s="19" t="str">
        <f t="shared" si="11"/>
        <v>Weekday</v>
      </c>
      <c r="Q238" s="19"/>
      <c r="R238" s="18"/>
      <c r="S238" s="21"/>
      <c r="T238"/>
      <c r="U238" s="6"/>
      <c r="W238" s="7"/>
      <c r="Z238" s="4"/>
    </row>
    <row r="239" spans="1:26" x14ac:dyDescent="0.3">
      <c r="A239" t="s">
        <v>610</v>
      </c>
      <c r="B239" s="22" t="s">
        <v>71</v>
      </c>
      <c r="C239" s="23" t="s">
        <v>20</v>
      </c>
      <c r="D239" s="24" t="s">
        <v>323</v>
      </c>
      <c r="E239" s="25">
        <v>67</v>
      </c>
      <c r="F239" t="s">
        <v>373</v>
      </c>
      <c r="G239" s="24" t="s">
        <v>42</v>
      </c>
      <c r="H239" s="24" t="s">
        <v>14</v>
      </c>
      <c r="I239" s="24">
        <v>98400</v>
      </c>
      <c r="J239" s="24">
        <v>4</v>
      </c>
      <c r="K239" s="25">
        <f t="shared" si="9"/>
        <v>393600</v>
      </c>
      <c r="L239" s="26">
        <v>45187</v>
      </c>
      <c r="M239" s="25" t="str">
        <f t="shared" si="10"/>
        <v>Monday</v>
      </c>
      <c r="N239" s="25" t="str">
        <f t="shared" si="11"/>
        <v>Weekday</v>
      </c>
      <c r="Q239" s="25"/>
      <c r="R239" s="24"/>
      <c r="S239" s="27"/>
      <c r="T239"/>
      <c r="U239" s="6"/>
      <c r="W239" s="7"/>
      <c r="Z239" s="4"/>
    </row>
    <row r="240" spans="1:26" x14ac:dyDescent="0.3">
      <c r="A240" t="s">
        <v>611</v>
      </c>
      <c r="B240" s="16" t="s">
        <v>192</v>
      </c>
      <c r="C240" s="17" t="s">
        <v>20</v>
      </c>
      <c r="D240" s="18" t="s">
        <v>322</v>
      </c>
      <c r="E240" s="19">
        <v>59</v>
      </c>
      <c r="F240" t="s">
        <v>373</v>
      </c>
      <c r="G240" s="18" t="s">
        <v>32</v>
      </c>
      <c r="H240" s="18" t="s">
        <v>18</v>
      </c>
      <c r="I240" s="18">
        <v>3690</v>
      </c>
      <c r="J240" s="18">
        <v>1</v>
      </c>
      <c r="K240" s="19">
        <f t="shared" si="9"/>
        <v>3690</v>
      </c>
      <c r="L240" s="20">
        <v>44972</v>
      </c>
      <c r="M240" s="19" t="str">
        <f t="shared" si="10"/>
        <v>Wednesday</v>
      </c>
      <c r="N240" s="19" t="str">
        <f t="shared" si="11"/>
        <v>Weekday</v>
      </c>
      <c r="Q240" s="19"/>
      <c r="R240" s="18"/>
      <c r="S240" s="21"/>
      <c r="T240"/>
      <c r="U240" s="6"/>
      <c r="W240" s="7"/>
      <c r="Z240" s="4"/>
    </row>
    <row r="241" spans="1:26" x14ac:dyDescent="0.3">
      <c r="A241" t="s">
        <v>612</v>
      </c>
      <c r="B241" s="22" t="s">
        <v>193</v>
      </c>
      <c r="C241" s="23" t="s">
        <v>20</v>
      </c>
      <c r="D241" s="24" t="s">
        <v>323</v>
      </c>
      <c r="E241" s="25">
        <v>64</v>
      </c>
      <c r="F241" t="s">
        <v>370</v>
      </c>
      <c r="G241" s="24" t="s">
        <v>26</v>
      </c>
      <c r="H241" s="24" t="s">
        <v>27</v>
      </c>
      <c r="I241" s="24">
        <v>24600</v>
      </c>
      <c r="J241" s="24">
        <v>2</v>
      </c>
      <c r="K241" s="25">
        <f t="shared" si="9"/>
        <v>49200</v>
      </c>
      <c r="L241" s="26">
        <v>45258</v>
      </c>
      <c r="M241" s="25" t="str">
        <f t="shared" si="10"/>
        <v>Tuesday</v>
      </c>
      <c r="N241" s="25" t="str">
        <f t="shared" si="11"/>
        <v>Weekday</v>
      </c>
      <c r="Q241" s="25"/>
      <c r="R241" s="24"/>
      <c r="S241" s="27"/>
      <c r="T241"/>
      <c r="U241" s="6"/>
      <c r="W241" s="7"/>
      <c r="Z241" s="4"/>
    </row>
    <row r="242" spans="1:26" x14ac:dyDescent="0.3">
      <c r="A242" t="s">
        <v>613</v>
      </c>
      <c r="B242" s="16" t="s">
        <v>194</v>
      </c>
      <c r="C242" s="17" t="s">
        <v>11</v>
      </c>
      <c r="D242" s="18" t="s">
        <v>323</v>
      </c>
      <c r="E242" s="19">
        <v>28</v>
      </c>
      <c r="F242" t="s">
        <v>373</v>
      </c>
      <c r="G242" s="18" t="s">
        <v>32</v>
      </c>
      <c r="H242" s="18" t="s">
        <v>18</v>
      </c>
      <c r="I242" s="18">
        <v>3690</v>
      </c>
      <c r="J242" s="18">
        <v>3</v>
      </c>
      <c r="K242" s="19">
        <f t="shared" si="9"/>
        <v>11070</v>
      </c>
      <c r="L242" s="20">
        <v>45136</v>
      </c>
      <c r="M242" s="19" t="str">
        <f t="shared" si="10"/>
        <v>Saturday</v>
      </c>
      <c r="N242" s="19" t="str">
        <f t="shared" si="11"/>
        <v>Weekend</v>
      </c>
      <c r="Q242" s="19"/>
      <c r="R242" s="18"/>
      <c r="S242" s="21"/>
      <c r="T242"/>
      <c r="U242" s="6"/>
      <c r="W242" s="7"/>
      <c r="Z242" s="4"/>
    </row>
    <row r="243" spans="1:26" x14ac:dyDescent="0.3">
      <c r="A243" t="s">
        <v>614</v>
      </c>
      <c r="B243" s="22" t="s">
        <v>164</v>
      </c>
      <c r="C243" s="23" t="s">
        <v>11</v>
      </c>
      <c r="D243" s="24" t="s">
        <v>327</v>
      </c>
      <c r="E243" s="25">
        <v>62</v>
      </c>
      <c r="F243" t="s">
        <v>370</v>
      </c>
      <c r="G243" s="24" t="s">
        <v>42</v>
      </c>
      <c r="H243" s="24" t="s">
        <v>14</v>
      </c>
      <c r="I243" s="24">
        <v>98400</v>
      </c>
      <c r="J243" s="24">
        <v>4</v>
      </c>
      <c r="K243" s="25">
        <f t="shared" si="9"/>
        <v>393600</v>
      </c>
      <c r="L243" s="26">
        <v>45117</v>
      </c>
      <c r="M243" s="25" t="str">
        <f t="shared" si="10"/>
        <v>Monday</v>
      </c>
      <c r="N243" s="25" t="str">
        <f t="shared" si="11"/>
        <v>Weekday</v>
      </c>
      <c r="Q243" s="25"/>
      <c r="R243" s="24"/>
      <c r="S243" s="27"/>
      <c r="T243"/>
      <c r="U243" s="6"/>
      <c r="W243" s="7"/>
      <c r="Z243" s="4"/>
    </row>
    <row r="244" spans="1:26" x14ac:dyDescent="0.3">
      <c r="A244" t="s">
        <v>615</v>
      </c>
      <c r="B244" s="16" t="s">
        <v>195</v>
      </c>
      <c r="C244" s="17" t="s">
        <v>20</v>
      </c>
      <c r="D244" s="18" t="s">
        <v>323</v>
      </c>
      <c r="E244" s="19">
        <v>52</v>
      </c>
      <c r="F244" t="s">
        <v>373</v>
      </c>
      <c r="G244" s="18" t="s">
        <v>13</v>
      </c>
      <c r="H244" s="18" t="s">
        <v>14</v>
      </c>
      <c r="I244" s="18">
        <v>36900</v>
      </c>
      <c r="J244" s="18">
        <v>3</v>
      </c>
      <c r="K244" s="19">
        <f t="shared" si="9"/>
        <v>110700</v>
      </c>
      <c r="L244" s="20">
        <v>45224</v>
      </c>
      <c r="M244" s="19" t="str">
        <f t="shared" si="10"/>
        <v>Wednesday</v>
      </c>
      <c r="N244" s="19" t="str">
        <f t="shared" si="11"/>
        <v>Weekday</v>
      </c>
      <c r="Q244" s="19"/>
      <c r="R244" s="18"/>
      <c r="S244" s="21"/>
      <c r="T244"/>
      <c r="U244" s="6"/>
      <c r="W244" s="7"/>
      <c r="Z244" s="4"/>
    </row>
    <row r="245" spans="1:26" x14ac:dyDescent="0.3">
      <c r="A245" t="s">
        <v>616</v>
      </c>
      <c r="B245" s="22" t="s">
        <v>135</v>
      </c>
      <c r="C245" s="23" t="s">
        <v>366</v>
      </c>
      <c r="D245" s="24" t="s">
        <v>323</v>
      </c>
      <c r="E245" s="25">
        <v>41</v>
      </c>
      <c r="F245" t="s">
        <v>381</v>
      </c>
      <c r="G245" s="24" t="s">
        <v>17</v>
      </c>
      <c r="H245" s="24" t="s">
        <v>18</v>
      </c>
      <c r="I245" s="24">
        <v>12300</v>
      </c>
      <c r="J245" s="24">
        <v>3</v>
      </c>
      <c r="K245" s="25">
        <f t="shared" si="9"/>
        <v>36900</v>
      </c>
      <c r="L245" s="26">
        <v>45089</v>
      </c>
      <c r="M245" s="25" t="str">
        <f t="shared" si="10"/>
        <v>Monday</v>
      </c>
      <c r="N245" s="25" t="str">
        <f t="shared" si="11"/>
        <v>Weekday</v>
      </c>
      <c r="Q245" s="25"/>
      <c r="R245" s="24"/>
      <c r="S245" s="27"/>
      <c r="T245"/>
      <c r="U245" s="6"/>
      <c r="W245" s="7"/>
      <c r="Z245" s="4"/>
    </row>
    <row r="246" spans="1:26" x14ac:dyDescent="0.3">
      <c r="A246" t="s">
        <v>617</v>
      </c>
      <c r="B246" s="16" t="s">
        <v>196</v>
      </c>
      <c r="C246" s="17" t="s">
        <v>11</v>
      </c>
      <c r="D246" s="18" t="s">
        <v>324</v>
      </c>
      <c r="E246" s="19">
        <v>53</v>
      </c>
      <c r="F246" t="s">
        <v>381</v>
      </c>
      <c r="G246" s="18" t="s">
        <v>17</v>
      </c>
      <c r="H246" s="18" t="s">
        <v>18</v>
      </c>
      <c r="I246" s="18">
        <v>12300</v>
      </c>
      <c r="J246" s="18">
        <v>5</v>
      </c>
      <c r="K246" s="19">
        <f t="shared" si="9"/>
        <v>61500</v>
      </c>
      <c r="L246" s="20">
        <v>45129</v>
      </c>
      <c r="M246" s="19" t="str">
        <f t="shared" si="10"/>
        <v>Saturday</v>
      </c>
      <c r="N246" s="19" t="str">
        <f t="shared" si="11"/>
        <v>Weekend</v>
      </c>
      <c r="Q246" s="19"/>
      <c r="R246" s="18"/>
      <c r="S246" s="21"/>
      <c r="T246"/>
      <c r="U246" s="6"/>
      <c r="W246" s="7"/>
      <c r="Z246" s="4"/>
    </row>
    <row r="247" spans="1:26" x14ac:dyDescent="0.3">
      <c r="A247" t="s">
        <v>618</v>
      </c>
      <c r="B247" s="22" t="s">
        <v>196</v>
      </c>
      <c r="C247" s="23" t="s">
        <v>11</v>
      </c>
      <c r="D247" s="24" t="s">
        <v>324</v>
      </c>
      <c r="E247" s="25">
        <v>53</v>
      </c>
      <c r="F247" t="s">
        <v>370</v>
      </c>
      <c r="G247" s="24" t="s">
        <v>26</v>
      </c>
      <c r="H247" s="24" t="s">
        <v>27</v>
      </c>
      <c r="I247" s="24">
        <v>24600</v>
      </c>
      <c r="J247" s="24">
        <v>5</v>
      </c>
      <c r="K247" s="25">
        <f t="shared" si="9"/>
        <v>123000</v>
      </c>
      <c r="L247" s="26">
        <v>45102</v>
      </c>
      <c r="M247" s="25" t="str">
        <f t="shared" si="10"/>
        <v>Sunday</v>
      </c>
      <c r="N247" s="25" t="str">
        <f t="shared" si="11"/>
        <v>Weekday</v>
      </c>
      <c r="Q247" s="25"/>
      <c r="R247" s="24"/>
      <c r="S247" s="27"/>
      <c r="T247"/>
      <c r="U247" s="6"/>
      <c r="W247" s="7"/>
      <c r="Z247" s="4"/>
    </row>
    <row r="248" spans="1:26" x14ac:dyDescent="0.3">
      <c r="A248" t="s">
        <v>619</v>
      </c>
      <c r="B248" s="16" t="s">
        <v>61</v>
      </c>
      <c r="C248" s="17" t="s">
        <v>11</v>
      </c>
      <c r="D248" s="18" t="s">
        <v>322</v>
      </c>
      <c r="E248" s="19">
        <v>68</v>
      </c>
      <c r="F248" t="s">
        <v>370</v>
      </c>
      <c r="G248" s="18" t="s">
        <v>42</v>
      </c>
      <c r="H248" s="18" t="s">
        <v>14</v>
      </c>
      <c r="I248" s="18">
        <v>98400</v>
      </c>
      <c r="J248" s="18">
        <v>3</v>
      </c>
      <c r="K248" s="19">
        <f t="shared" si="9"/>
        <v>295200</v>
      </c>
      <c r="L248" s="20">
        <v>45259</v>
      </c>
      <c r="M248" s="19" t="str">
        <f t="shared" si="10"/>
        <v>Wednesday</v>
      </c>
      <c r="N248" s="19" t="str">
        <f t="shared" si="11"/>
        <v>Weekday</v>
      </c>
      <c r="Q248" s="19"/>
      <c r="R248" s="18"/>
      <c r="S248" s="21"/>
      <c r="T248"/>
      <c r="U248" s="6"/>
      <c r="W248" s="7"/>
      <c r="Z248" s="4"/>
    </row>
    <row r="249" spans="1:26" x14ac:dyDescent="0.3">
      <c r="A249" t="s">
        <v>620</v>
      </c>
      <c r="B249" s="22" t="s">
        <v>197</v>
      </c>
      <c r="C249" s="23" t="s">
        <v>20</v>
      </c>
      <c r="D249" s="24" t="s">
        <v>323</v>
      </c>
      <c r="E249" s="25">
        <v>51</v>
      </c>
      <c r="F249" t="s">
        <v>373</v>
      </c>
      <c r="G249" s="24" t="s">
        <v>42</v>
      </c>
      <c r="H249" s="24" t="s">
        <v>14</v>
      </c>
      <c r="I249" s="24">
        <v>98400</v>
      </c>
      <c r="J249" s="24">
        <v>1</v>
      </c>
      <c r="K249" s="25">
        <f t="shared" si="9"/>
        <v>98400</v>
      </c>
      <c r="L249" s="26">
        <v>45202</v>
      </c>
      <c r="M249" s="25" t="str">
        <f t="shared" si="10"/>
        <v>Tuesday</v>
      </c>
      <c r="N249" s="25" t="str">
        <f t="shared" si="11"/>
        <v>Weekday</v>
      </c>
      <c r="Q249" s="25"/>
      <c r="R249" s="24"/>
      <c r="S249" s="27"/>
      <c r="T249"/>
      <c r="U249" s="6"/>
      <c r="W249" s="7"/>
      <c r="Z249" s="4"/>
    </row>
    <row r="250" spans="1:26" x14ac:dyDescent="0.3">
      <c r="A250" t="s">
        <v>621</v>
      </c>
      <c r="B250" s="16" t="s">
        <v>198</v>
      </c>
      <c r="C250" s="17" t="s">
        <v>366</v>
      </c>
      <c r="D250" s="18" t="s">
        <v>324</v>
      </c>
      <c r="E250" s="19">
        <v>66</v>
      </c>
      <c r="F250" t="s">
        <v>373</v>
      </c>
      <c r="G250" s="18" t="s">
        <v>24</v>
      </c>
      <c r="H250" s="18" t="s">
        <v>14</v>
      </c>
      <c r="I250" s="18">
        <v>184500</v>
      </c>
      <c r="J250" s="18">
        <v>1</v>
      </c>
      <c r="K250" s="19">
        <f t="shared" si="9"/>
        <v>184500</v>
      </c>
      <c r="L250" s="20">
        <v>44963</v>
      </c>
      <c r="M250" s="19" t="str">
        <f t="shared" si="10"/>
        <v>Monday</v>
      </c>
      <c r="N250" s="19" t="str">
        <f t="shared" si="11"/>
        <v>Weekday</v>
      </c>
      <c r="Q250" s="19"/>
      <c r="R250" s="18"/>
      <c r="S250" s="21"/>
      <c r="T250"/>
      <c r="U250" s="6"/>
      <c r="W250" s="7"/>
      <c r="Z250" s="4"/>
    </row>
    <row r="251" spans="1:26" x14ac:dyDescent="0.3">
      <c r="A251" t="s">
        <v>622</v>
      </c>
      <c r="B251" s="22" t="s">
        <v>56</v>
      </c>
      <c r="C251" s="23" t="s">
        <v>20</v>
      </c>
      <c r="D251" s="24" t="s">
        <v>329</v>
      </c>
      <c r="E251" s="25">
        <v>53</v>
      </c>
      <c r="F251" t="s">
        <v>370</v>
      </c>
      <c r="G251" s="24" t="s">
        <v>13</v>
      </c>
      <c r="H251" s="24" t="s">
        <v>14</v>
      </c>
      <c r="I251" s="24">
        <v>36900</v>
      </c>
      <c r="J251" s="24">
        <v>2</v>
      </c>
      <c r="K251" s="25">
        <f t="shared" si="9"/>
        <v>73800</v>
      </c>
      <c r="L251" s="26">
        <v>45063</v>
      </c>
      <c r="M251" s="25" t="str">
        <f t="shared" si="10"/>
        <v>Wednesday</v>
      </c>
      <c r="N251" s="25" t="str">
        <f t="shared" si="11"/>
        <v>Weekday</v>
      </c>
      <c r="Q251" s="25"/>
      <c r="R251" s="24"/>
      <c r="S251" s="27"/>
      <c r="T251"/>
      <c r="U251" s="6"/>
      <c r="W251" s="7"/>
      <c r="Z251" s="4"/>
    </row>
    <row r="252" spans="1:26" x14ac:dyDescent="0.3">
      <c r="A252" t="s">
        <v>623</v>
      </c>
      <c r="B252" s="16" t="s">
        <v>199</v>
      </c>
      <c r="C252" s="17" t="s">
        <v>20</v>
      </c>
      <c r="D252" s="18" t="s">
        <v>323</v>
      </c>
      <c r="E252" s="19">
        <v>45</v>
      </c>
      <c r="F252" t="s">
        <v>370</v>
      </c>
      <c r="G252" s="18" t="s">
        <v>26</v>
      </c>
      <c r="H252" s="18" t="s">
        <v>27</v>
      </c>
      <c r="I252" s="18">
        <v>24600</v>
      </c>
      <c r="J252" s="18">
        <v>2</v>
      </c>
      <c r="K252" s="19">
        <f t="shared" si="9"/>
        <v>49200</v>
      </c>
      <c r="L252" s="20">
        <v>45192</v>
      </c>
      <c r="M252" s="19" t="str">
        <f t="shared" si="10"/>
        <v>Saturday</v>
      </c>
      <c r="N252" s="19" t="str">
        <f t="shared" si="11"/>
        <v>Weekend</v>
      </c>
      <c r="Q252" s="19"/>
      <c r="R252" s="18"/>
      <c r="S252" s="21"/>
      <c r="T252"/>
      <c r="U252" s="6"/>
      <c r="W252" s="7"/>
      <c r="Z252" s="4"/>
    </row>
    <row r="253" spans="1:26" x14ac:dyDescent="0.3">
      <c r="A253" t="s">
        <v>624</v>
      </c>
      <c r="B253" s="22" t="s">
        <v>34</v>
      </c>
      <c r="C253" s="23" t="s">
        <v>20</v>
      </c>
      <c r="D253" s="24" t="s">
        <v>323</v>
      </c>
      <c r="E253" s="25">
        <v>49</v>
      </c>
      <c r="F253" t="s">
        <v>381</v>
      </c>
      <c r="G253" s="24" t="s">
        <v>24</v>
      </c>
      <c r="H253" s="24" t="s">
        <v>14</v>
      </c>
      <c r="I253" s="24">
        <v>184500</v>
      </c>
      <c r="J253" s="24">
        <v>3</v>
      </c>
      <c r="K253" s="25">
        <f t="shared" si="9"/>
        <v>553500</v>
      </c>
      <c r="L253" s="26">
        <v>45285</v>
      </c>
      <c r="M253" s="25" t="str">
        <f t="shared" si="10"/>
        <v>Monday</v>
      </c>
      <c r="N253" s="25" t="str">
        <f t="shared" si="11"/>
        <v>Weekday</v>
      </c>
      <c r="Q253" s="25"/>
      <c r="R253" s="24"/>
      <c r="S253" s="27"/>
      <c r="T253"/>
      <c r="U253" s="6"/>
      <c r="W253" s="7"/>
      <c r="Z253" s="4"/>
    </row>
    <row r="254" spans="1:26" x14ac:dyDescent="0.3">
      <c r="A254" t="s">
        <v>625</v>
      </c>
      <c r="B254" s="16" t="s">
        <v>191</v>
      </c>
      <c r="C254" s="17" t="s">
        <v>11</v>
      </c>
      <c r="D254" s="18" t="s">
        <v>326</v>
      </c>
      <c r="E254" s="19">
        <v>69</v>
      </c>
      <c r="F254" t="s">
        <v>381</v>
      </c>
      <c r="G254" s="18" t="s">
        <v>32</v>
      </c>
      <c r="H254" s="18" t="s">
        <v>18</v>
      </c>
      <c r="I254" s="18">
        <v>3690</v>
      </c>
      <c r="J254" s="18">
        <v>5</v>
      </c>
      <c r="K254" s="19">
        <f t="shared" si="9"/>
        <v>18450</v>
      </c>
      <c r="L254" s="20">
        <v>44976</v>
      </c>
      <c r="M254" s="19" t="str">
        <f t="shared" si="10"/>
        <v>Sunday</v>
      </c>
      <c r="N254" s="19" t="str">
        <f t="shared" si="11"/>
        <v>Weekday</v>
      </c>
      <c r="Q254" s="19"/>
      <c r="R254" s="18"/>
      <c r="S254" s="21"/>
      <c r="T254"/>
      <c r="U254" s="6"/>
      <c r="W254" s="7"/>
      <c r="Z254" s="4"/>
    </row>
    <row r="255" spans="1:26" x14ac:dyDescent="0.3">
      <c r="A255" t="s">
        <v>626</v>
      </c>
      <c r="B255" s="22" t="s">
        <v>199</v>
      </c>
      <c r="C255" s="23" t="s">
        <v>20</v>
      </c>
      <c r="D255" s="24" t="s">
        <v>323</v>
      </c>
      <c r="E255" s="25">
        <v>45</v>
      </c>
      <c r="F255" t="s">
        <v>370</v>
      </c>
      <c r="G255" s="24" t="s">
        <v>31</v>
      </c>
      <c r="H255" s="24" t="s">
        <v>18</v>
      </c>
      <c r="I255" s="24">
        <v>6150</v>
      </c>
      <c r="J255" s="24">
        <v>1</v>
      </c>
      <c r="K255" s="25">
        <f t="shared" si="9"/>
        <v>6150</v>
      </c>
      <c r="L255" s="26">
        <v>45182</v>
      </c>
      <c r="M255" s="25" t="str">
        <f t="shared" si="10"/>
        <v>Wednesday</v>
      </c>
      <c r="N255" s="25" t="str">
        <f t="shared" si="11"/>
        <v>Weekday</v>
      </c>
      <c r="Q255" s="25"/>
      <c r="R255" s="24"/>
      <c r="S255" s="27"/>
      <c r="T255"/>
      <c r="U255" s="6"/>
      <c r="W255" s="7"/>
      <c r="Z255" s="4"/>
    </row>
    <row r="256" spans="1:26" x14ac:dyDescent="0.3">
      <c r="A256" t="s">
        <v>627</v>
      </c>
      <c r="B256" s="16" t="s">
        <v>161</v>
      </c>
      <c r="C256" s="17" t="s">
        <v>11</v>
      </c>
      <c r="D256" s="18" t="s">
        <v>322</v>
      </c>
      <c r="E256" s="19">
        <v>26</v>
      </c>
      <c r="F256" t="s">
        <v>381</v>
      </c>
      <c r="G256" s="18" t="s">
        <v>13</v>
      </c>
      <c r="H256" s="18" t="s">
        <v>14</v>
      </c>
      <c r="I256" s="18">
        <v>36900</v>
      </c>
      <c r="J256" s="18">
        <v>4</v>
      </c>
      <c r="K256" s="19">
        <f t="shared" si="9"/>
        <v>147600</v>
      </c>
      <c r="L256" s="20">
        <v>45235</v>
      </c>
      <c r="M256" s="19" t="str">
        <f t="shared" si="10"/>
        <v>Sunday</v>
      </c>
      <c r="N256" s="19" t="str">
        <f t="shared" si="11"/>
        <v>Weekday</v>
      </c>
      <c r="Q256" s="19"/>
      <c r="R256" s="18"/>
      <c r="S256" s="21"/>
      <c r="T256"/>
      <c r="U256" s="6"/>
      <c r="W256" s="7"/>
      <c r="Z256" s="4"/>
    </row>
    <row r="257" spans="1:26" x14ac:dyDescent="0.3">
      <c r="A257" t="s">
        <v>628</v>
      </c>
      <c r="B257" s="22" t="s">
        <v>182</v>
      </c>
      <c r="C257" s="23" t="s">
        <v>366</v>
      </c>
      <c r="D257" s="24" t="s">
        <v>322</v>
      </c>
      <c r="E257" s="25">
        <v>55</v>
      </c>
      <c r="F257" t="s">
        <v>375</v>
      </c>
      <c r="G257" s="24" t="s">
        <v>13</v>
      </c>
      <c r="H257" s="24" t="s">
        <v>14</v>
      </c>
      <c r="I257" s="24">
        <v>36900</v>
      </c>
      <c r="J257" s="24">
        <v>3</v>
      </c>
      <c r="K257" s="25">
        <f t="shared" si="9"/>
        <v>110700</v>
      </c>
      <c r="L257" s="26">
        <v>44941</v>
      </c>
      <c r="M257" s="25" t="str">
        <f t="shared" si="10"/>
        <v>Sunday</v>
      </c>
      <c r="N257" s="25" t="str">
        <f t="shared" si="11"/>
        <v>Weekday</v>
      </c>
      <c r="Q257" s="25"/>
      <c r="R257" s="24"/>
      <c r="S257" s="27"/>
      <c r="T257"/>
      <c r="U257" s="6"/>
      <c r="W257" s="7"/>
      <c r="Z257" s="4"/>
    </row>
    <row r="258" spans="1:26" x14ac:dyDescent="0.3">
      <c r="A258" t="s">
        <v>629</v>
      </c>
      <c r="B258" s="16" t="s">
        <v>97</v>
      </c>
      <c r="C258" s="17" t="s">
        <v>20</v>
      </c>
      <c r="D258" s="18" t="s">
        <v>322</v>
      </c>
      <c r="E258" s="19">
        <v>33</v>
      </c>
      <c r="F258" t="s">
        <v>373</v>
      </c>
      <c r="G258" s="18" t="s">
        <v>32</v>
      </c>
      <c r="H258" s="18" t="s">
        <v>18</v>
      </c>
      <c r="I258" s="18">
        <v>3690</v>
      </c>
      <c r="J258" s="18">
        <v>1</v>
      </c>
      <c r="K258" s="19">
        <f t="shared" ref="K258:K321" si="12">I258*J258</f>
        <v>3690</v>
      </c>
      <c r="L258" s="20">
        <v>44984</v>
      </c>
      <c r="M258" s="19" t="str">
        <f t="shared" ref="M258:M321" si="13">TEXT(L258, "dddd")</f>
        <v>Monday</v>
      </c>
      <c r="N258" s="19" t="str">
        <f t="shared" ref="N258:N321" si="14">IF(OR(WEEKDAY(L258, 2)=5, WEEKDAY(L258, 2)=6), "Weekend", "Weekday")</f>
        <v>Weekday</v>
      </c>
      <c r="Q258" s="19"/>
      <c r="R258" s="18"/>
      <c r="S258" s="21"/>
      <c r="T258"/>
      <c r="U258" s="6"/>
      <c r="W258" s="7"/>
      <c r="Z258" s="4"/>
    </row>
    <row r="259" spans="1:26" x14ac:dyDescent="0.3">
      <c r="A259" t="s">
        <v>630</v>
      </c>
      <c r="B259" s="22" t="s">
        <v>176</v>
      </c>
      <c r="C259" s="23" t="s">
        <v>11</v>
      </c>
      <c r="D259" s="24" t="s">
        <v>323</v>
      </c>
      <c r="E259" s="25">
        <v>54</v>
      </c>
      <c r="F259" t="s">
        <v>381</v>
      </c>
      <c r="G259" s="24" t="s">
        <v>24</v>
      </c>
      <c r="H259" s="24" t="s">
        <v>14</v>
      </c>
      <c r="I259" s="24">
        <v>184500</v>
      </c>
      <c r="J259" s="24">
        <v>2</v>
      </c>
      <c r="K259" s="25">
        <f t="shared" si="12"/>
        <v>369000</v>
      </c>
      <c r="L259" s="26">
        <v>45057</v>
      </c>
      <c r="M259" s="25" t="str">
        <f t="shared" si="13"/>
        <v>Thursday</v>
      </c>
      <c r="N259" s="25" t="str">
        <f t="shared" si="14"/>
        <v>Weekday</v>
      </c>
      <c r="Q259" s="25"/>
      <c r="R259" s="24"/>
      <c r="S259" s="27"/>
      <c r="T259"/>
      <c r="U259" s="6"/>
      <c r="W259" s="7"/>
      <c r="Z259" s="4"/>
    </row>
    <row r="260" spans="1:26" x14ac:dyDescent="0.3">
      <c r="A260" t="s">
        <v>631</v>
      </c>
      <c r="B260" s="16" t="s">
        <v>181</v>
      </c>
      <c r="C260" s="17" t="s">
        <v>20</v>
      </c>
      <c r="D260" s="18" t="s">
        <v>325</v>
      </c>
      <c r="E260" s="19">
        <v>61</v>
      </c>
      <c r="F260" t="s">
        <v>375</v>
      </c>
      <c r="G260" s="18" t="s">
        <v>32</v>
      </c>
      <c r="H260" s="18" t="s">
        <v>18</v>
      </c>
      <c r="I260" s="18">
        <v>3690</v>
      </c>
      <c r="J260" s="18">
        <v>1</v>
      </c>
      <c r="K260" s="19">
        <f t="shared" si="12"/>
        <v>3690</v>
      </c>
      <c r="L260" s="20">
        <v>45032</v>
      </c>
      <c r="M260" s="19" t="str">
        <f t="shared" si="13"/>
        <v>Sunday</v>
      </c>
      <c r="N260" s="19" t="str">
        <f t="shared" si="14"/>
        <v>Weekday</v>
      </c>
      <c r="Q260" s="19"/>
      <c r="R260" s="18"/>
      <c r="S260" s="21"/>
      <c r="T260"/>
      <c r="U260" s="6"/>
      <c r="W260" s="7"/>
      <c r="Z260" s="4"/>
    </row>
    <row r="261" spans="1:26" x14ac:dyDescent="0.3">
      <c r="A261" t="s">
        <v>632</v>
      </c>
      <c r="B261" s="22" t="s">
        <v>136</v>
      </c>
      <c r="C261" s="23" t="s">
        <v>366</v>
      </c>
      <c r="D261" s="24" t="s">
        <v>322</v>
      </c>
      <c r="E261" s="25">
        <v>46</v>
      </c>
      <c r="F261" t="s">
        <v>370</v>
      </c>
      <c r="G261" s="24" t="s">
        <v>42</v>
      </c>
      <c r="H261" s="24" t="s">
        <v>14</v>
      </c>
      <c r="I261" s="24">
        <v>98400</v>
      </c>
      <c r="J261" s="24">
        <v>4</v>
      </c>
      <c r="K261" s="25">
        <f t="shared" si="12"/>
        <v>393600</v>
      </c>
      <c r="L261" s="26">
        <v>45002</v>
      </c>
      <c r="M261" s="25" t="str">
        <f t="shared" si="13"/>
        <v>Friday</v>
      </c>
      <c r="N261" s="25" t="str">
        <f t="shared" si="14"/>
        <v>Weekend</v>
      </c>
      <c r="Q261" s="25"/>
      <c r="R261" s="24"/>
      <c r="S261" s="27"/>
      <c r="T261"/>
      <c r="U261" s="6"/>
      <c r="W261" s="7"/>
      <c r="Z261" s="4"/>
    </row>
    <row r="262" spans="1:26" x14ac:dyDescent="0.3">
      <c r="A262" t="s">
        <v>633</v>
      </c>
      <c r="B262" s="16" t="s">
        <v>200</v>
      </c>
      <c r="C262" s="17" t="s">
        <v>366</v>
      </c>
      <c r="D262" s="18" t="s">
        <v>322</v>
      </c>
      <c r="E262" s="19">
        <v>46</v>
      </c>
      <c r="F262" t="s">
        <v>381</v>
      </c>
      <c r="G262" s="18" t="s">
        <v>32</v>
      </c>
      <c r="H262" s="18" t="s">
        <v>18</v>
      </c>
      <c r="I262" s="18">
        <v>3690</v>
      </c>
      <c r="J262" s="18">
        <v>4</v>
      </c>
      <c r="K262" s="19">
        <f t="shared" si="12"/>
        <v>14760</v>
      </c>
      <c r="L262" s="20">
        <v>45027</v>
      </c>
      <c r="M262" s="19" t="str">
        <f t="shared" si="13"/>
        <v>Tuesday</v>
      </c>
      <c r="N262" s="19" t="str">
        <f t="shared" si="14"/>
        <v>Weekday</v>
      </c>
      <c r="Q262" s="19"/>
      <c r="R262" s="18"/>
      <c r="S262" s="21"/>
      <c r="T262"/>
      <c r="U262" s="6"/>
      <c r="W262" s="7"/>
      <c r="Z262" s="4"/>
    </row>
    <row r="263" spans="1:26" x14ac:dyDescent="0.3">
      <c r="A263" t="s">
        <v>634</v>
      </c>
      <c r="B263" s="22" t="s">
        <v>147</v>
      </c>
      <c r="C263" s="23" t="s">
        <v>11</v>
      </c>
      <c r="D263" s="24" t="s">
        <v>322</v>
      </c>
      <c r="E263" s="25">
        <v>30</v>
      </c>
      <c r="F263" t="s">
        <v>370</v>
      </c>
      <c r="G263" s="24" t="s">
        <v>31</v>
      </c>
      <c r="H263" s="24" t="s">
        <v>18</v>
      </c>
      <c r="I263" s="24">
        <v>6150</v>
      </c>
      <c r="J263" s="24">
        <v>4</v>
      </c>
      <c r="K263" s="25">
        <f t="shared" si="12"/>
        <v>24600</v>
      </c>
      <c r="L263" s="26">
        <v>45215</v>
      </c>
      <c r="M263" s="25" t="str">
        <f t="shared" si="13"/>
        <v>Monday</v>
      </c>
      <c r="N263" s="25" t="str">
        <f t="shared" si="14"/>
        <v>Weekday</v>
      </c>
      <c r="Q263" s="25"/>
      <c r="R263" s="24"/>
      <c r="S263" s="27"/>
      <c r="T263"/>
      <c r="U263" s="6"/>
      <c r="W263" s="7"/>
      <c r="Z263" s="4"/>
    </row>
    <row r="264" spans="1:26" x14ac:dyDescent="0.3">
      <c r="A264" t="s">
        <v>635</v>
      </c>
      <c r="B264" s="16" t="s">
        <v>182</v>
      </c>
      <c r="C264" s="17" t="s">
        <v>366</v>
      </c>
      <c r="D264" s="18" t="s">
        <v>322</v>
      </c>
      <c r="E264" s="19">
        <v>55</v>
      </c>
      <c r="F264" t="s">
        <v>373</v>
      </c>
      <c r="G264" s="18" t="s">
        <v>17</v>
      </c>
      <c r="H264" s="18" t="s">
        <v>18</v>
      </c>
      <c r="I264" s="18">
        <v>12300</v>
      </c>
      <c r="J264" s="18">
        <v>4</v>
      </c>
      <c r="K264" s="19">
        <f t="shared" si="12"/>
        <v>49200</v>
      </c>
      <c r="L264" s="20">
        <v>45215</v>
      </c>
      <c r="M264" s="19" t="str">
        <f t="shared" si="13"/>
        <v>Monday</v>
      </c>
      <c r="N264" s="19" t="str">
        <f t="shared" si="14"/>
        <v>Weekday</v>
      </c>
      <c r="Q264" s="19"/>
      <c r="R264" s="18"/>
      <c r="S264" s="21"/>
      <c r="T264"/>
      <c r="U264" s="6"/>
      <c r="W264" s="7"/>
      <c r="Z264" s="4"/>
    </row>
    <row r="265" spans="1:26" x14ac:dyDescent="0.3">
      <c r="A265" t="s">
        <v>636</v>
      </c>
      <c r="B265" s="22" t="s">
        <v>45</v>
      </c>
      <c r="C265" s="23" t="s">
        <v>20</v>
      </c>
      <c r="D265" s="24" t="s">
        <v>323</v>
      </c>
      <c r="E265" s="25">
        <v>37</v>
      </c>
      <c r="F265" t="s">
        <v>370</v>
      </c>
      <c r="G265" s="24" t="s">
        <v>17</v>
      </c>
      <c r="H265" s="24" t="s">
        <v>18</v>
      </c>
      <c r="I265" s="24">
        <v>12300</v>
      </c>
      <c r="J265" s="24">
        <v>4</v>
      </c>
      <c r="K265" s="25">
        <f t="shared" si="12"/>
        <v>49200</v>
      </c>
      <c r="L265" s="26">
        <v>44979</v>
      </c>
      <c r="M265" s="25" t="str">
        <f t="shared" si="13"/>
        <v>Wednesday</v>
      </c>
      <c r="N265" s="25" t="str">
        <f t="shared" si="14"/>
        <v>Weekday</v>
      </c>
      <c r="Q265" s="25"/>
      <c r="R265" s="24"/>
      <c r="S265" s="27"/>
      <c r="T265"/>
      <c r="U265" s="6"/>
      <c r="W265" s="7"/>
      <c r="Z265" s="4"/>
    </row>
    <row r="266" spans="1:26" x14ac:dyDescent="0.3">
      <c r="A266" t="s">
        <v>637</v>
      </c>
      <c r="B266" s="16" t="s">
        <v>131</v>
      </c>
      <c r="C266" s="17" t="s">
        <v>20</v>
      </c>
      <c r="D266" s="18" t="s">
        <v>323</v>
      </c>
      <c r="E266" s="19">
        <v>62</v>
      </c>
      <c r="F266" t="s">
        <v>375</v>
      </c>
      <c r="G266" s="18" t="s">
        <v>32</v>
      </c>
      <c r="H266" s="18" t="s">
        <v>18</v>
      </c>
      <c r="I266" s="18">
        <v>3690</v>
      </c>
      <c r="J266" s="18">
        <v>2</v>
      </c>
      <c r="K266" s="19">
        <f t="shared" si="12"/>
        <v>7380</v>
      </c>
      <c r="L266" s="20">
        <v>45124</v>
      </c>
      <c r="M266" s="19" t="str">
        <f t="shared" si="13"/>
        <v>Monday</v>
      </c>
      <c r="N266" s="19" t="str">
        <f t="shared" si="14"/>
        <v>Weekday</v>
      </c>
      <c r="Q266" s="19"/>
      <c r="R266" s="18"/>
      <c r="S266" s="21"/>
      <c r="T266"/>
      <c r="U266" s="6"/>
      <c r="W266" s="7"/>
      <c r="Z266" s="4"/>
    </row>
    <row r="267" spans="1:26" x14ac:dyDescent="0.3">
      <c r="A267" t="s">
        <v>638</v>
      </c>
      <c r="B267" s="22" t="s">
        <v>201</v>
      </c>
      <c r="C267" s="23" t="s">
        <v>20</v>
      </c>
      <c r="D267" s="24" t="s">
        <v>322</v>
      </c>
      <c r="E267" s="25">
        <v>50</v>
      </c>
      <c r="F267" t="s">
        <v>370</v>
      </c>
      <c r="G267" s="24" t="s">
        <v>32</v>
      </c>
      <c r="H267" s="24" t="s">
        <v>18</v>
      </c>
      <c r="I267" s="24">
        <v>3690</v>
      </c>
      <c r="J267" s="24">
        <v>5</v>
      </c>
      <c r="K267" s="25">
        <f t="shared" si="12"/>
        <v>18450</v>
      </c>
      <c r="L267" s="26">
        <v>45107</v>
      </c>
      <c r="M267" s="25" t="str">
        <f t="shared" si="13"/>
        <v>Friday</v>
      </c>
      <c r="N267" s="25" t="str">
        <f t="shared" si="14"/>
        <v>Weekend</v>
      </c>
      <c r="Q267" s="25"/>
      <c r="R267" s="24"/>
      <c r="S267" s="27"/>
      <c r="T267"/>
      <c r="U267" s="6"/>
      <c r="W267" s="7"/>
      <c r="Z267" s="4"/>
    </row>
    <row r="268" spans="1:26" x14ac:dyDescent="0.3">
      <c r="A268" t="s">
        <v>639</v>
      </c>
      <c r="B268" s="16" t="s">
        <v>95</v>
      </c>
      <c r="C268" s="17" t="s">
        <v>11</v>
      </c>
      <c r="D268" s="18" t="s">
        <v>322</v>
      </c>
      <c r="E268" s="19">
        <v>47</v>
      </c>
      <c r="F268" t="s">
        <v>375</v>
      </c>
      <c r="G268" s="18" t="s">
        <v>17</v>
      </c>
      <c r="H268" s="18" t="s">
        <v>18</v>
      </c>
      <c r="I268" s="18">
        <v>12300</v>
      </c>
      <c r="J268" s="18">
        <v>3</v>
      </c>
      <c r="K268" s="19">
        <f t="shared" si="12"/>
        <v>36900</v>
      </c>
      <c r="L268" s="20">
        <v>45116</v>
      </c>
      <c r="M268" s="19" t="str">
        <f t="shared" si="13"/>
        <v>Sunday</v>
      </c>
      <c r="N268" s="19" t="str">
        <f t="shared" si="14"/>
        <v>Weekday</v>
      </c>
      <c r="Q268" s="19"/>
      <c r="R268" s="18"/>
      <c r="S268" s="21"/>
      <c r="T268"/>
      <c r="U268" s="6"/>
      <c r="W268" s="7"/>
      <c r="Z268" s="4"/>
    </row>
    <row r="269" spans="1:26" x14ac:dyDescent="0.3">
      <c r="A269" t="s">
        <v>640</v>
      </c>
      <c r="B269" s="22" t="s">
        <v>28</v>
      </c>
      <c r="C269" s="23" t="s">
        <v>11</v>
      </c>
      <c r="D269" s="24" t="s">
        <v>328</v>
      </c>
      <c r="E269" s="25">
        <v>27</v>
      </c>
      <c r="F269" t="s">
        <v>381</v>
      </c>
      <c r="G269" s="24" t="s">
        <v>32</v>
      </c>
      <c r="H269" s="24" t="s">
        <v>18</v>
      </c>
      <c r="I269" s="24">
        <v>3690</v>
      </c>
      <c r="J269" s="24">
        <v>4</v>
      </c>
      <c r="K269" s="25">
        <f t="shared" si="12"/>
        <v>14760</v>
      </c>
      <c r="L269" s="26">
        <v>45053</v>
      </c>
      <c r="M269" s="25" t="str">
        <f t="shared" si="13"/>
        <v>Sunday</v>
      </c>
      <c r="N269" s="25" t="str">
        <f t="shared" si="14"/>
        <v>Weekday</v>
      </c>
      <c r="Q269" s="25"/>
      <c r="R269" s="24"/>
      <c r="S269" s="27"/>
      <c r="T269"/>
      <c r="U269" s="6"/>
      <c r="W269" s="7"/>
      <c r="Z269" s="4"/>
    </row>
    <row r="270" spans="1:26" x14ac:dyDescent="0.3">
      <c r="A270" t="s">
        <v>641</v>
      </c>
      <c r="B270" s="16" t="s">
        <v>202</v>
      </c>
      <c r="C270" s="17" t="s">
        <v>11</v>
      </c>
      <c r="D270" s="18" t="s">
        <v>324</v>
      </c>
      <c r="E270" s="19">
        <v>44</v>
      </c>
      <c r="F270" t="s">
        <v>381</v>
      </c>
      <c r="G270" s="18" t="s">
        <v>31</v>
      </c>
      <c r="H270" s="18" t="s">
        <v>18</v>
      </c>
      <c r="I270" s="18">
        <v>6150</v>
      </c>
      <c r="J270" s="18">
        <v>4</v>
      </c>
      <c r="K270" s="19">
        <f t="shared" si="12"/>
        <v>24600</v>
      </c>
      <c r="L270" s="20">
        <v>45007</v>
      </c>
      <c r="M270" s="19" t="str">
        <f t="shared" si="13"/>
        <v>Wednesday</v>
      </c>
      <c r="N270" s="19" t="str">
        <f t="shared" si="14"/>
        <v>Weekday</v>
      </c>
      <c r="Q270" s="19"/>
      <c r="R270" s="18"/>
      <c r="S270" s="21"/>
      <c r="T270"/>
      <c r="U270" s="6"/>
      <c r="W270" s="7"/>
      <c r="Z270" s="4"/>
    </row>
    <row r="271" spans="1:26" x14ac:dyDescent="0.3">
      <c r="A271" t="s">
        <v>642</v>
      </c>
      <c r="B271" s="22" t="s">
        <v>203</v>
      </c>
      <c r="C271" s="23" t="s">
        <v>11</v>
      </c>
      <c r="D271" s="24" t="s">
        <v>323</v>
      </c>
      <c r="E271" s="25">
        <v>36</v>
      </c>
      <c r="F271" t="s">
        <v>375</v>
      </c>
      <c r="G271" s="24" t="s">
        <v>26</v>
      </c>
      <c r="H271" s="24" t="s">
        <v>27</v>
      </c>
      <c r="I271" s="24">
        <v>24600</v>
      </c>
      <c r="J271" s="24">
        <v>2</v>
      </c>
      <c r="K271" s="25">
        <f t="shared" si="12"/>
        <v>49200</v>
      </c>
      <c r="L271" s="26">
        <v>45166</v>
      </c>
      <c r="M271" s="25" t="str">
        <f t="shared" si="13"/>
        <v>Monday</v>
      </c>
      <c r="N271" s="25" t="str">
        <f t="shared" si="14"/>
        <v>Weekday</v>
      </c>
      <c r="Q271" s="25"/>
      <c r="R271" s="24"/>
      <c r="S271" s="27"/>
      <c r="T271"/>
      <c r="U271" s="6"/>
      <c r="W271" s="7"/>
      <c r="Z271" s="4"/>
    </row>
    <row r="272" spans="1:26" x14ac:dyDescent="0.3">
      <c r="A272" t="s">
        <v>643</v>
      </c>
      <c r="B272" s="16" t="s">
        <v>204</v>
      </c>
      <c r="C272" s="17" t="s">
        <v>366</v>
      </c>
      <c r="D272" s="18" t="s">
        <v>322</v>
      </c>
      <c r="E272" s="19">
        <v>66</v>
      </c>
      <c r="F272" t="s">
        <v>373</v>
      </c>
      <c r="G272" s="18" t="s">
        <v>32</v>
      </c>
      <c r="H272" s="18" t="s">
        <v>18</v>
      </c>
      <c r="I272" s="18">
        <v>3690</v>
      </c>
      <c r="J272" s="18">
        <v>3</v>
      </c>
      <c r="K272" s="19">
        <f t="shared" si="12"/>
        <v>11070</v>
      </c>
      <c r="L272" s="20">
        <v>44943</v>
      </c>
      <c r="M272" s="19" t="str">
        <f t="shared" si="13"/>
        <v>Tuesday</v>
      </c>
      <c r="N272" s="19" t="str">
        <f t="shared" si="14"/>
        <v>Weekday</v>
      </c>
      <c r="Q272" s="19"/>
      <c r="R272" s="18"/>
      <c r="S272" s="21"/>
      <c r="T272"/>
      <c r="U272" s="6"/>
      <c r="W272" s="7"/>
      <c r="Z272" s="4"/>
    </row>
    <row r="273" spans="1:26" x14ac:dyDescent="0.3">
      <c r="A273" t="s">
        <v>644</v>
      </c>
      <c r="B273" s="22" t="s">
        <v>152</v>
      </c>
      <c r="C273" s="23" t="s">
        <v>20</v>
      </c>
      <c r="D273" s="24" t="s">
        <v>327</v>
      </c>
      <c r="E273" s="25">
        <v>36</v>
      </c>
      <c r="F273" t="s">
        <v>373</v>
      </c>
      <c r="G273" s="24" t="s">
        <v>24</v>
      </c>
      <c r="H273" s="24" t="s">
        <v>14</v>
      </c>
      <c r="I273" s="24">
        <v>184500</v>
      </c>
      <c r="J273" s="24">
        <v>4</v>
      </c>
      <c r="K273" s="25">
        <f t="shared" si="12"/>
        <v>738000</v>
      </c>
      <c r="L273" s="26">
        <v>45215</v>
      </c>
      <c r="M273" s="25" t="str">
        <f t="shared" si="13"/>
        <v>Monday</v>
      </c>
      <c r="N273" s="25" t="str">
        <f t="shared" si="14"/>
        <v>Weekday</v>
      </c>
      <c r="Q273" s="25"/>
      <c r="R273" s="24"/>
      <c r="S273" s="27"/>
      <c r="T273"/>
      <c r="U273" s="6"/>
      <c r="W273" s="7"/>
      <c r="Z273" s="4"/>
    </row>
    <row r="274" spans="1:26" x14ac:dyDescent="0.3">
      <c r="A274" t="s">
        <v>645</v>
      </c>
      <c r="B274" s="16" t="s">
        <v>205</v>
      </c>
      <c r="C274" s="17" t="s">
        <v>20</v>
      </c>
      <c r="D274" s="18" t="s">
        <v>328</v>
      </c>
      <c r="E274" s="19">
        <v>61</v>
      </c>
      <c r="F274" t="s">
        <v>373</v>
      </c>
      <c r="G274" s="18" t="s">
        <v>42</v>
      </c>
      <c r="H274" s="18" t="s">
        <v>14</v>
      </c>
      <c r="I274" s="18">
        <v>98400</v>
      </c>
      <c r="J274" s="18">
        <v>1</v>
      </c>
      <c r="K274" s="19">
        <f t="shared" si="12"/>
        <v>98400</v>
      </c>
      <c r="L274" s="20">
        <v>44936</v>
      </c>
      <c r="M274" s="19" t="str">
        <f t="shared" si="13"/>
        <v>Tuesday</v>
      </c>
      <c r="N274" s="19" t="str">
        <f t="shared" si="14"/>
        <v>Weekday</v>
      </c>
      <c r="Q274" s="19"/>
      <c r="R274" s="18"/>
      <c r="S274" s="21"/>
      <c r="T274"/>
      <c r="U274" s="6"/>
      <c r="W274" s="7"/>
      <c r="Z274" s="4"/>
    </row>
    <row r="275" spans="1:26" x14ac:dyDescent="0.3">
      <c r="A275" t="s">
        <v>646</v>
      </c>
      <c r="B275" s="22" t="s">
        <v>206</v>
      </c>
      <c r="C275" s="23" t="s">
        <v>11</v>
      </c>
      <c r="D275" s="24" t="s">
        <v>322</v>
      </c>
      <c r="E275" s="25">
        <v>69</v>
      </c>
      <c r="F275" t="s">
        <v>381</v>
      </c>
      <c r="G275" s="24" t="s">
        <v>42</v>
      </c>
      <c r="H275" s="24" t="s">
        <v>14</v>
      </c>
      <c r="I275" s="24">
        <v>98400</v>
      </c>
      <c r="J275" s="24">
        <v>3</v>
      </c>
      <c r="K275" s="25">
        <f t="shared" si="12"/>
        <v>295200</v>
      </c>
      <c r="L275" s="26">
        <v>45010</v>
      </c>
      <c r="M275" s="25" t="str">
        <f t="shared" si="13"/>
        <v>Saturday</v>
      </c>
      <c r="N275" s="25" t="str">
        <f t="shared" si="14"/>
        <v>Weekend</v>
      </c>
      <c r="Q275" s="25"/>
      <c r="R275" s="24"/>
      <c r="S275" s="27"/>
      <c r="T275"/>
      <c r="U275" s="6"/>
      <c r="W275" s="7"/>
      <c r="Z275" s="4"/>
    </row>
    <row r="276" spans="1:26" x14ac:dyDescent="0.3">
      <c r="A276" t="s">
        <v>647</v>
      </c>
      <c r="B276" s="16" t="s">
        <v>207</v>
      </c>
      <c r="C276" s="17" t="s">
        <v>20</v>
      </c>
      <c r="D276" s="18" t="s">
        <v>329</v>
      </c>
      <c r="E276" s="19">
        <v>52</v>
      </c>
      <c r="F276" t="s">
        <v>381</v>
      </c>
      <c r="G276" s="18" t="s">
        <v>26</v>
      </c>
      <c r="H276" s="18" t="s">
        <v>27</v>
      </c>
      <c r="I276" s="18">
        <v>24600</v>
      </c>
      <c r="J276" s="18">
        <v>3</v>
      </c>
      <c r="K276" s="19">
        <f t="shared" si="12"/>
        <v>73800</v>
      </c>
      <c r="L276" s="20">
        <v>44955</v>
      </c>
      <c r="M276" s="19" t="str">
        <f t="shared" si="13"/>
        <v>Sunday</v>
      </c>
      <c r="N276" s="19" t="str">
        <f t="shared" si="14"/>
        <v>Weekday</v>
      </c>
      <c r="Q276" s="19"/>
      <c r="R276" s="18"/>
      <c r="S276" s="21"/>
      <c r="T276"/>
      <c r="U276" s="6"/>
      <c r="W276" s="7"/>
      <c r="Z276" s="4"/>
    </row>
    <row r="277" spans="1:26" x14ac:dyDescent="0.3">
      <c r="A277" t="s">
        <v>648</v>
      </c>
      <c r="B277" s="22" t="s">
        <v>175</v>
      </c>
      <c r="C277" s="23" t="s">
        <v>20</v>
      </c>
      <c r="D277" s="24" t="s">
        <v>322</v>
      </c>
      <c r="E277" s="25">
        <v>60</v>
      </c>
      <c r="F277" t="s">
        <v>373</v>
      </c>
      <c r="G277" s="24" t="s">
        <v>42</v>
      </c>
      <c r="H277" s="24" t="s">
        <v>14</v>
      </c>
      <c r="I277" s="24">
        <v>98400</v>
      </c>
      <c r="J277" s="24">
        <v>5</v>
      </c>
      <c r="K277" s="25">
        <f t="shared" si="12"/>
        <v>492000</v>
      </c>
      <c r="L277" s="26">
        <v>44945</v>
      </c>
      <c r="M277" s="25" t="str">
        <f t="shared" si="13"/>
        <v>Thursday</v>
      </c>
      <c r="N277" s="25" t="str">
        <f t="shared" si="14"/>
        <v>Weekday</v>
      </c>
      <c r="Q277" s="25"/>
      <c r="R277" s="24"/>
      <c r="S277" s="27"/>
      <c r="T277"/>
      <c r="U277" s="6"/>
      <c r="W277" s="7"/>
      <c r="Z277" s="4"/>
    </row>
    <row r="278" spans="1:26" x14ac:dyDescent="0.3">
      <c r="A278" t="s">
        <v>649</v>
      </c>
      <c r="B278" s="16" t="s">
        <v>208</v>
      </c>
      <c r="C278" s="17" t="s">
        <v>366</v>
      </c>
      <c r="D278" s="18" t="s">
        <v>326</v>
      </c>
      <c r="E278" s="19">
        <v>45</v>
      </c>
      <c r="F278" t="s">
        <v>370</v>
      </c>
      <c r="G278" s="18" t="s">
        <v>13</v>
      </c>
      <c r="H278" s="18" t="s">
        <v>14</v>
      </c>
      <c r="I278" s="18">
        <v>36900</v>
      </c>
      <c r="J278" s="18">
        <v>1</v>
      </c>
      <c r="K278" s="19">
        <f t="shared" si="12"/>
        <v>36900</v>
      </c>
      <c r="L278" s="20">
        <v>45185</v>
      </c>
      <c r="M278" s="19" t="str">
        <f t="shared" si="13"/>
        <v>Saturday</v>
      </c>
      <c r="N278" s="19" t="str">
        <f t="shared" si="14"/>
        <v>Weekend</v>
      </c>
      <c r="Q278" s="19"/>
      <c r="R278" s="18"/>
      <c r="S278" s="21"/>
      <c r="T278"/>
      <c r="U278" s="6"/>
      <c r="W278" s="7"/>
      <c r="Z278" s="4"/>
    </row>
    <row r="279" spans="1:26" x14ac:dyDescent="0.3">
      <c r="A279" t="s">
        <v>650</v>
      </c>
      <c r="B279" s="22" t="s">
        <v>195</v>
      </c>
      <c r="C279" s="23" t="s">
        <v>20</v>
      </c>
      <c r="D279" s="24" t="s">
        <v>323</v>
      </c>
      <c r="E279" s="25">
        <v>52</v>
      </c>
      <c r="F279" t="s">
        <v>373</v>
      </c>
      <c r="G279" s="24" t="s">
        <v>13</v>
      </c>
      <c r="H279" s="24" t="s">
        <v>14</v>
      </c>
      <c r="I279" s="24">
        <v>36900</v>
      </c>
      <c r="J279" s="24">
        <v>1</v>
      </c>
      <c r="K279" s="25">
        <f t="shared" si="12"/>
        <v>36900</v>
      </c>
      <c r="L279" s="26">
        <v>45128</v>
      </c>
      <c r="M279" s="25" t="str">
        <f t="shared" si="13"/>
        <v>Friday</v>
      </c>
      <c r="N279" s="25" t="str">
        <f t="shared" si="14"/>
        <v>Weekend</v>
      </c>
      <c r="Q279" s="25"/>
      <c r="R279" s="24"/>
      <c r="S279" s="27"/>
      <c r="T279"/>
      <c r="U279" s="6"/>
      <c r="W279" s="7"/>
      <c r="Z279" s="4"/>
    </row>
    <row r="280" spans="1:26" x14ac:dyDescent="0.3">
      <c r="A280" t="s">
        <v>651</v>
      </c>
      <c r="B280" s="16" t="s">
        <v>209</v>
      </c>
      <c r="C280" s="17" t="s">
        <v>11</v>
      </c>
      <c r="D280" s="18" t="s">
        <v>329</v>
      </c>
      <c r="E280" s="19">
        <v>63</v>
      </c>
      <c r="F280" t="s">
        <v>370</v>
      </c>
      <c r="G280" s="18" t="s">
        <v>13</v>
      </c>
      <c r="H280" s="18" t="s">
        <v>14</v>
      </c>
      <c r="I280" s="18">
        <v>36900</v>
      </c>
      <c r="J280" s="18">
        <v>5</v>
      </c>
      <c r="K280" s="19">
        <f t="shared" si="12"/>
        <v>184500</v>
      </c>
      <c r="L280" s="20">
        <v>45006</v>
      </c>
      <c r="M280" s="19" t="str">
        <f t="shared" si="13"/>
        <v>Tuesday</v>
      </c>
      <c r="N280" s="19" t="str">
        <f t="shared" si="14"/>
        <v>Weekday</v>
      </c>
      <c r="Q280" s="19"/>
      <c r="R280" s="18"/>
      <c r="S280" s="21"/>
      <c r="T280"/>
      <c r="U280" s="6"/>
      <c r="W280" s="7"/>
      <c r="Z280" s="4"/>
    </row>
    <row r="281" spans="1:26" x14ac:dyDescent="0.3">
      <c r="A281" t="s">
        <v>652</v>
      </c>
      <c r="B281" s="22" t="s">
        <v>35</v>
      </c>
      <c r="C281" s="23" t="s">
        <v>20</v>
      </c>
      <c r="D281" s="24" t="s">
        <v>326</v>
      </c>
      <c r="E281" s="25">
        <v>67</v>
      </c>
      <c r="F281" t="s">
        <v>373</v>
      </c>
      <c r="G281" s="24" t="s">
        <v>31</v>
      </c>
      <c r="H281" s="24" t="s">
        <v>18</v>
      </c>
      <c r="I281" s="24">
        <v>6150</v>
      </c>
      <c r="J281" s="24">
        <v>5</v>
      </c>
      <c r="K281" s="25">
        <f t="shared" si="12"/>
        <v>30750</v>
      </c>
      <c r="L281" s="26">
        <v>45049</v>
      </c>
      <c r="M281" s="25" t="str">
        <f t="shared" si="13"/>
        <v>Wednesday</v>
      </c>
      <c r="N281" s="25" t="str">
        <f t="shared" si="14"/>
        <v>Weekday</v>
      </c>
      <c r="Q281" s="25"/>
      <c r="R281" s="24"/>
      <c r="S281" s="27"/>
      <c r="T281"/>
      <c r="U281" s="6"/>
      <c r="W281" s="7"/>
      <c r="Z281" s="4"/>
    </row>
    <row r="282" spans="1:26" x14ac:dyDescent="0.3">
      <c r="A282" t="s">
        <v>653</v>
      </c>
      <c r="B282" s="16" t="s">
        <v>210</v>
      </c>
      <c r="C282" s="17" t="s">
        <v>11</v>
      </c>
      <c r="D282" s="18" t="s">
        <v>322</v>
      </c>
      <c r="E282" s="19">
        <v>26</v>
      </c>
      <c r="F282" t="s">
        <v>370</v>
      </c>
      <c r="G282" s="18" t="s">
        <v>31</v>
      </c>
      <c r="H282" s="18" t="s">
        <v>18</v>
      </c>
      <c r="I282" s="18">
        <v>6150</v>
      </c>
      <c r="J282" s="18">
        <v>4</v>
      </c>
      <c r="K282" s="19">
        <f t="shared" si="12"/>
        <v>24600</v>
      </c>
      <c r="L282" s="20">
        <v>44950</v>
      </c>
      <c r="M282" s="19" t="str">
        <f t="shared" si="13"/>
        <v>Tuesday</v>
      </c>
      <c r="N282" s="19" t="str">
        <f t="shared" si="14"/>
        <v>Weekday</v>
      </c>
      <c r="Q282" s="19"/>
      <c r="R282" s="18"/>
      <c r="S282" s="21"/>
      <c r="T282"/>
      <c r="U282" s="6"/>
      <c r="W282" s="7"/>
      <c r="Z282" s="4"/>
    </row>
    <row r="283" spans="1:26" x14ac:dyDescent="0.3">
      <c r="A283" t="s">
        <v>654</v>
      </c>
      <c r="B283" s="22" t="s">
        <v>303</v>
      </c>
      <c r="C283" s="23" t="s">
        <v>20</v>
      </c>
      <c r="D283" s="24" t="s">
        <v>322</v>
      </c>
      <c r="E283" s="25">
        <v>60</v>
      </c>
      <c r="F283" t="s">
        <v>381</v>
      </c>
      <c r="G283" s="24" t="s">
        <v>26</v>
      </c>
      <c r="H283" s="24" t="s">
        <v>27</v>
      </c>
      <c r="I283" s="24">
        <v>24600</v>
      </c>
      <c r="J283" s="24">
        <v>4</v>
      </c>
      <c r="K283" s="25">
        <f t="shared" si="12"/>
        <v>98400</v>
      </c>
      <c r="L283" s="26">
        <v>45577</v>
      </c>
      <c r="M283" s="25" t="str">
        <f t="shared" si="13"/>
        <v>Saturday</v>
      </c>
      <c r="N283" s="25" t="str">
        <f t="shared" si="14"/>
        <v>Weekend</v>
      </c>
      <c r="Q283" s="25"/>
      <c r="R283" s="24"/>
      <c r="S283" s="27"/>
      <c r="T283"/>
      <c r="U283" s="6"/>
      <c r="W283" s="7"/>
      <c r="Z283" s="4"/>
    </row>
    <row r="284" spans="1:26" x14ac:dyDescent="0.3">
      <c r="A284" t="s">
        <v>655</v>
      </c>
      <c r="B284" s="16" t="s">
        <v>212</v>
      </c>
      <c r="C284" s="17" t="s">
        <v>20</v>
      </c>
      <c r="D284" s="18" t="s">
        <v>322</v>
      </c>
      <c r="E284" s="19">
        <v>54</v>
      </c>
      <c r="F284" t="s">
        <v>373</v>
      </c>
      <c r="G284" s="18" t="s">
        <v>42</v>
      </c>
      <c r="H284" s="18" t="s">
        <v>14</v>
      </c>
      <c r="I284" s="18">
        <v>98400</v>
      </c>
      <c r="J284" s="18">
        <v>5</v>
      </c>
      <c r="K284" s="19">
        <f t="shared" si="12"/>
        <v>492000</v>
      </c>
      <c r="L284" s="20">
        <v>45261</v>
      </c>
      <c r="M284" s="19" t="str">
        <f t="shared" si="13"/>
        <v>Friday</v>
      </c>
      <c r="N284" s="19" t="str">
        <f t="shared" si="14"/>
        <v>Weekend</v>
      </c>
      <c r="Q284" s="19"/>
      <c r="R284" s="18"/>
      <c r="S284" s="21"/>
      <c r="T284"/>
      <c r="U284" s="6"/>
      <c r="W284" s="7"/>
      <c r="Z284" s="4"/>
    </row>
    <row r="285" spans="1:26" x14ac:dyDescent="0.3">
      <c r="A285" t="s">
        <v>656</v>
      </c>
      <c r="B285" s="22" t="s">
        <v>177</v>
      </c>
      <c r="C285" s="23" t="s">
        <v>11</v>
      </c>
      <c r="D285" s="24" t="s">
        <v>324</v>
      </c>
      <c r="E285" s="25">
        <v>58</v>
      </c>
      <c r="F285" t="s">
        <v>373</v>
      </c>
      <c r="G285" s="24" t="s">
        <v>13</v>
      </c>
      <c r="H285" s="24" t="s">
        <v>14</v>
      </c>
      <c r="I285" s="24">
        <v>36900</v>
      </c>
      <c r="J285" s="24">
        <v>5</v>
      </c>
      <c r="K285" s="25">
        <f t="shared" si="12"/>
        <v>184500</v>
      </c>
      <c r="L285" s="26">
        <v>45062</v>
      </c>
      <c r="M285" s="25" t="str">
        <f t="shared" si="13"/>
        <v>Tuesday</v>
      </c>
      <c r="N285" s="25" t="str">
        <f t="shared" si="14"/>
        <v>Weekday</v>
      </c>
      <c r="Q285" s="25"/>
      <c r="R285" s="24"/>
      <c r="S285" s="27"/>
      <c r="T285"/>
      <c r="U285" s="6"/>
      <c r="W285" s="7"/>
      <c r="Z285" s="4"/>
    </row>
    <row r="286" spans="1:26" x14ac:dyDescent="0.3">
      <c r="A286" t="s">
        <v>657</v>
      </c>
      <c r="B286" s="16" t="s">
        <v>213</v>
      </c>
      <c r="C286" s="17" t="s">
        <v>11</v>
      </c>
      <c r="D286" s="18" t="s">
        <v>326</v>
      </c>
      <c r="E286" s="19">
        <v>66</v>
      </c>
      <c r="F286" t="s">
        <v>375</v>
      </c>
      <c r="G286" s="18" t="s">
        <v>32</v>
      </c>
      <c r="H286" s="18" t="s">
        <v>18</v>
      </c>
      <c r="I286" s="18">
        <v>3690</v>
      </c>
      <c r="J286" s="18">
        <v>2</v>
      </c>
      <c r="K286" s="19">
        <f t="shared" si="12"/>
        <v>7380</v>
      </c>
      <c r="L286" s="20">
        <v>45053</v>
      </c>
      <c r="M286" s="19" t="str">
        <f t="shared" si="13"/>
        <v>Sunday</v>
      </c>
      <c r="N286" s="19" t="str">
        <f t="shared" si="14"/>
        <v>Weekday</v>
      </c>
      <c r="Q286" s="19"/>
      <c r="R286" s="18"/>
      <c r="S286" s="21"/>
      <c r="T286"/>
      <c r="U286" s="6"/>
      <c r="W286" s="7"/>
      <c r="Z286" s="4"/>
    </row>
    <row r="287" spans="1:26" x14ac:dyDescent="0.3">
      <c r="A287" t="s">
        <v>658</v>
      </c>
      <c r="B287" s="22" t="s">
        <v>214</v>
      </c>
      <c r="C287" s="23" t="s">
        <v>11</v>
      </c>
      <c r="D287" s="24" t="s">
        <v>325</v>
      </c>
      <c r="E287" s="25">
        <v>67</v>
      </c>
      <c r="F287" t="s">
        <v>373</v>
      </c>
      <c r="G287" s="24" t="s">
        <v>17</v>
      </c>
      <c r="H287" s="24" t="s">
        <v>18</v>
      </c>
      <c r="I287" s="24">
        <v>12300</v>
      </c>
      <c r="J287" s="24">
        <v>2</v>
      </c>
      <c r="K287" s="25">
        <f t="shared" si="12"/>
        <v>24600</v>
      </c>
      <c r="L287" s="26">
        <v>45078</v>
      </c>
      <c r="M287" s="25" t="str">
        <f t="shared" si="13"/>
        <v>Thursday</v>
      </c>
      <c r="N287" s="25" t="str">
        <f t="shared" si="14"/>
        <v>Weekday</v>
      </c>
      <c r="Q287" s="25"/>
      <c r="R287" s="24"/>
      <c r="S287" s="27"/>
      <c r="T287"/>
      <c r="U287" s="6"/>
      <c r="W287" s="7"/>
      <c r="Z287" s="4"/>
    </row>
    <row r="288" spans="1:26" x14ac:dyDescent="0.3">
      <c r="A288" t="s">
        <v>659</v>
      </c>
      <c r="B288" s="16" t="s">
        <v>58</v>
      </c>
      <c r="C288" s="17" t="s">
        <v>366</v>
      </c>
      <c r="D288" s="18" t="s">
        <v>322</v>
      </c>
      <c r="E288" s="19">
        <v>35</v>
      </c>
      <c r="F288" t="s">
        <v>370</v>
      </c>
      <c r="G288" s="18" t="s">
        <v>42</v>
      </c>
      <c r="H288" s="18" t="s">
        <v>14</v>
      </c>
      <c r="I288" s="18">
        <v>98400</v>
      </c>
      <c r="J288" s="18">
        <v>5</v>
      </c>
      <c r="K288" s="19">
        <f t="shared" si="12"/>
        <v>492000</v>
      </c>
      <c r="L288" s="20">
        <v>44953</v>
      </c>
      <c r="M288" s="19" t="str">
        <f t="shared" si="13"/>
        <v>Friday</v>
      </c>
      <c r="N288" s="19" t="str">
        <f t="shared" si="14"/>
        <v>Weekend</v>
      </c>
      <c r="Q288" s="19"/>
      <c r="R288" s="18"/>
      <c r="S288" s="21"/>
      <c r="T288"/>
      <c r="U288" s="6"/>
      <c r="W288" s="7"/>
      <c r="Z288" s="4"/>
    </row>
    <row r="289" spans="1:26" x14ac:dyDescent="0.3">
      <c r="A289" t="s">
        <v>660</v>
      </c>
      <c r="B289" s="22" t="s">
        <v>190</v>
      </c>
      <c r="C289" s="23" t="s">
        <v>366</v>
      </c>
      <c r="D289" s="24" t="s">
        <v>324</v>
      </c>
      <c r="E289" s="25">
        <v>52</v>
      </c>
      <c r="F289" t="s">
        <v>375</v>
      </c>
      <c r="G289" s="24" t="s">
        <v>31</v>
      </c>
      <c r="H289" s="24" t="s">
        <v>18</v>
      </c>
      <c r="I289" s="24">
        <v>6150</v>
      </c>
      <c r="J289" s="24">
        <v>2</v>
      </c>
      <c r="K289" s="25">
        <f t="shared" si="12"/>
        <v>12300</v>
      </c>
      <c r="L289" s="26">
        <v>45173</v>
      </c>
      <c r="M289" s="25" t="str">
        <f t="shared" si="13"/>
        <v>Monday</v>
      </c>
      <c r="N289" s="25" t="str">
        <f t="shared" si="14"/>
        <v>Weekday</v>
      </c>
      <c r="Q289" s="25"/>
      <c r="R289" s="24"/>
      <c r="S289" s="27"/>
      <c r="T289"/>
      <c r="U289" s="6"/>
      <c r="W289" s="7"/>
      <c r="Z289" s="4"/>
    </row>
    <row r="290" spans="1:26" x14ac:dyDescent="0.3">
      <c r="A290" t="s">
        <v>661</v>
      </c>
      <c r="B290" s="16" t="s">
        <v>184</v>
      </c>
      <c r="C290" s="17" t="s">
        <v>20</v>
      </c>
      <c r="D290" s="18" t="s">
        <v>322</v>
      </c>
      <c r="E290" s="19">
        <v>32</v>
      </c>
      <c r="F290" t="s">
        <v>373</v>
      </c>
      <c r="G290" s="18" t="s">
        <v>32</v>
      </c>
      <c r="H290" s="18" t="s">
        <v>18</v>
      </c>
      <c r="I290" s="18">
        <v>3690</v>
      </c>
      <c r="J290" s="18">
        <v>5</v>
      </c>
      <c r="K290" s="19">
        <f t="shared" si="12"/>
        <v>18450</v>
      </c>
      <c r="L290" s="20">
        <v>45236</v>
      </c>
      <c r="M290" s="19" t="str">
        <f t="shared" si="13"/>
        <v>Monday</v>
      </c>
      <c r="N290" s="19" t="str">
        <f t="shared" si="14"/>
        <v>Weekday</v>
      </c>
      <c r="Q290" s="19"/>
      <c r="R290" s="18"/>
      <c r="S290" s="21"/>
      <c r="T290"/>
      <c r="U290" s="6"/>
      <c r="W290" s="7"/>
      <c r="Z290" s="4"/>
    </row>
    <row r="291" spans="1:26" x14ac:dyDescent="0.3">
      <c r="A291" t="s">
        <v>662</v>
      </c>
      <c r="B291" s="22" t="s">
        <v>116</v>
      </c>
      <c r="C291" s="23" t="s">
        <v>20</v>
      </c>
      <c r="D291" s="24" t="s">
        <v>322</v>
      </c>
      <c r="E291" s="25">
        <v>33</v>
      </c>
      <c r="F291" t="s">
        <v>373</v>
      </c>
      <c r="G291" s="24" t="s">
        <v>26</v>
      </c>
      <c r="H291" s="24" t="s">
        <v>27</v>
      </c>
      <c r="I291" s="24">
        <v>24600</v>
      </c>
      <c r="J291" s="24">
        <v>1</v>
      </c>
      <c r="K291" s="25">
        <f t="shared" si="12"/>
        <v>24600</v>
      </c>
      <c r="L291" s="26">
        <v>45193</v>
      </c>
      <c r="M291" s="25" t="str">
        <f t="shared" si="13"/>
        <v>Sunday</v>
      </c>
      <c r="N291" s="25" t="str">
        <f t="shared" si="14"/>
        <v>Weekday</v>
      </c>
      <c r="Q291" s="25"/>
      <c r="R291" s="24"/>
      <c r="S291" s="27"/>
      <c r="T291"/>
      <c r="U291" s="6"/>
      <c r="W291" s="7"/>
      <c r="Z291" s="4"/>
    </row>
    <row r="292" spans="1:26" x14ac:dyDescent="0.3">
      <c r="A292" t="s">
        <v>663</v>
      </c>
      <c r="B292" s="16" t="s">
        <v>174</v>
      </c>
      <c r="C292" s="17" t="s">
        <v>11</v>
      </c>
      <c r="D292" s="18" t="s">
        <v>322</v>
      </c>
      <c r="E292" s="19">
        <v>57</v>
      </c>
      <c r="F292" t="s">
        <v>381</v>
      </c>
      <c r="G292" s="18" t="s">
        <v>26</v>
      </c>
      <c r="H292" s="18" t="s">
        <v>27</v>
      </c>
      <c r="I292" s="18">
        <v>24600</v>
      </c>
      <c r="J292" s="18">
        <v>1</v>
      </c>
      <c r="K292" s="19">
        <f t="shared" si="12"/>
        <v>24600</v>
      </c>
      <c r="L292" s="20">
        <v>45177</v>
      </c>
      <c r="M292" s="19" t="str">
        <f t="shared" si="13"/>
        <v>Friday</v>
      </c>
      <c r="N292" s="19" t="str">
        <f t="shared" si="14"/>
        <v>Weekend</v>
      </c>
      <c r="Q292" s="19"/>
      <c r="R292" s="18"/>
      <c r="S292" s="21"/>
      <c r="T292"/>
      <c r="U292" s="6"/>
      <c r="W292" s="7"/>
      <c r="Z292" s="4"/>
    </row>
    <row r="293" spans="1:26" x14ac:dyDescent="0.3">
      <c r="A293" t="s">
        <v>664</v>
      </c>
      <c r="B293" s="22" t="s">
        <v>176</v>
      </c>
      <c r="C293" s="23" t="s">
        <v>11</v>
      </c>
      <c r="D293" s="24" t="s">
        <v>323</v>
      </c>
      <c r="E293" s="25">
        <v>54</v>
      </c>
      <c r="F293" t="s">
        <v>375</v>
      </c>
      <c r="G293" s="24" t="s">
        <v>24</v>
      </c>
      <c r="H293" s="24" t="s">
        <v>14</v>
      </c>
      <c r="I293" s="24">
        <v>184500</v>
      </c>
      <c r="J293" s="24">
        <v>5</v>
      </c>
      <c r="K293" s="25">
        <f t="shared" si="12"/>
        <v>922500</v>
      </c>
      <c r="L293" s="26">
        <v>45166</v>
      </c>
      <c r="M293" s="25" t="str">
        <f t="shared" si="13"/>
        <v>Monday</v>
      </c>
      <c r="N293" s="25" t="str">
        <f t="shared" si="14"/>
        <v>Weekday</v>
      </c>
      <c r="Q293" s="25"/>
      <c r="R293" s="24"/>
      <c r="S293" s="27"/>
      <c r="T293"/>
      <c r="U293" s="6"/>
      <c r="W293" s="7"/>
      <c r="Z293" s="4"/>
    </row>
    <row r="294" spans="1:26" x14ac:dyDescent="0.3">
      <c r="A294" t="s">
        <v>665</v>
      </c>
      <c r="B294" s="16" t="s">
        <v>215</v>
      </c>
      <c r="C294" s="17" t="s">
        <v>20</v>
      </c>
      <c r="D294" s="18" t="s">
        <v>326</v>
      </c>
      <c r="E294" s="19">
        <v>49</v>
      </c>
      <c r="F294" t="s">
        <v>370</v>
      </c>
      <c r="G294" s="18" t="s">
        <v>26</v>
      </c>
      <c r="H294" s="18" t="s">
        <v>27</v>
      </c>
      <c r="I294" s="18">
        <v>24600</v>
      </c>
      <c r="J294" s="18">
        <v>4</v>
      </c>
      <c r="K294" s="19">
        <f t="shared" si="12"/>
        <v>98400</v>
      </c>
      <c r="L294" s="20">
        <v>45003</v>
      </c>
      <c r="M294" s="19" t="str">
        <f t="shared" si="13"/>
        <v>Saturday</v>
      </c>
      <c r="N294" s="19" t="str">
        <f t="shared" si="14"/>
        <v>Weekend</v>
      </c>
      <c r="Q294" s="19"/>
      <c r="R294" s="18"/>
      <c r="S294" s="21"/>
      <c r="T294"/>
      <c r="U294" s="6"/>
      <c r="W294" s="7"/>
      <c r="Z294" s="4"/>
    </row>
    <row r="295" spans="1:26" x14ac:dyDescent="0.3">
      <c r="A295" t="s">
        <v>666</v>
      </c>
      <c r="B295" s="22" t="s">
        <v>114</v>
      </c>
      <c r="C295" s="23" t="s">
        <v>20</v>
      </c>
      <c r="D295" s="24" t="s">
        <v>324</v>
      </c>
      <c r="E295" s="25">
        <v>40</v>
      </c>
      <c r="F295" t="s">
        <v>373</v>
      </c>
      <c r="G295" s="24" t="s">
        <v>17</v>
      </c>
      <c r="H295" s="24" t="s">
        <v>18</v>
      </c>
      <c r="I295" s="24">
        <v>12300</v>
      </c>
      <c r="J295" s="24">
        <v>5</v>
      </c>
      <c r="K295" s="25">
        <f t="shared" si="12"/>
        <v>61500</v>
      </c>
      <c r="L295" s="26">
        <v>44959</v>
      </c>
      <c r="M295" s="25" t="str">
        <f t="shared" si="13"/>
        <v>Thursday</v>
      </c>
      <c r="N295" s="25" t="str">
        <f t="shared" si="14"/>
        <v>Weekday</v>
      </c>
      <c r="Q295" s="25"/>
      <c r="R295" s="24"/>
      <c r="S295" s="27"/>
      <c r="T295"/>
      <c r="U295" s="6"/>
      <c r="W295" s="7"/>
      <c r="Z295" s="4"/>
    </row>
    <row r="296" spans="1:26" x14ac:dyDescent="0.3">
      <c r="A296" t="s">
        <v>667</v>
      </c>
      <c r="B296" s="16" t="s">
        <v>216</v>
      </c>
      <c r="C296" s="17" t="s">
        <v>11</v>
      </c>
      <c r="D296" s="18" t="s">
        <v>323</v>
      </c>
      <c r="E296" s="19">
        <v>67</v>
      </c>
      <c r="F296" t="s">
        <v>381</v>
      </c>
      <c r="G296" s="18" t="s">
        <v>17</v>
      </c>
      <c r="H296" s="18" t="s">
        <v>18</v>
      </c>
      <c r="I296" s="18">
        <v>12300</v>
      </c>
      <c r="J296" s="18">
        <v>5</v>
      </c>
      <c r="K296" s="19">
        <f t="shared" si="12"/>
        <v>61500</v>
      </c>
      <c r="L296" s="20">
        <v>45000</v>
      </c>
      <c r="M296" s="19" t="str">
        <f t="shared" si="13"/>
        <v>Wednesday</v>
      </c>
      <c r="N296" s="19" t="str">
        <f t="shared" si="14"/>
        <v>Weekday</v>
      </c>
      <c r="Q296" s="19"/>
      <c r="R296" s="18"/>
      <c r="S296" s="21"/>
      <c r="T296"/>
      <c r="U296" s="6"/>
      <c r="W296" s="7"/>
      <c r="Z296" s="4"/>
    </row>
    <row r="297" spans="1:26" x14ac:dyDescent="0.3">
      <c r="A297" t="s">
        <v>668</v>
      </c>
      <c r="B297" s="22" t="s">
        <v>281</v>
      </c>
      <c r="C297" s="23" t="s">
        <v>366</v>
      </c>
      <c r="D297" s="24" t="s">
        <v>323</v>
      </c>
      <c r="E297" s="25">
        <v>38</v>
      </c>
      <c r="F297" t="s">
        <v>373</v>
      </c>
      <c r="G297" s="24" t="s">
        <v>32</v>
      </c>
      <c r="H297" s="24" t="s">
        <v>18</v>
      </c>
      <c r="I297" s="24">
        <v>3690</v>
      </c>
      <c r="J297" s="24">
        <v>4</v>
      </c>
      <c r="K297" s="25">
        <f t="shared" si="12"/>
        <v>14760</v>
      </c>
      <c r="L297" s="26">
        <v>45421</v>
      </c>
      <c r="M297" s="25" t="str">
        <f t="shared" si="13"/>
        <v>Thursday</v>
      </c>
      <c r="N297" s="25" t="str">
        <f t="shared" si="14"/>
        <v>Weekday</v>
      </c>
      <c r="Q297" s="25"/>
      <c r="R297" s="24"/>
      <c r="S297" s="27"/>
      <c r="T297"/>
      <c r="U297" s="6"/>
      <c r="W297" s="7"/>
      <c r="Z297" s="4"/>
    </row>
    <row r="298" spans="1:26" x14ac:dyDescent="0.3">
      <c r="A298" t="s">
        <v>669</v>
      </c>
      <c r="B298" s="16" t="s">
        <v>94</v>
      </c>
      <c r="C298" s="17" t="s">
        <v>11</v>
      </c>
      <c r="D298" s="18" t="s">
        <v>326</v>
      </c>
      <c r="E298" s="19">
        <v>63</v>
      </c>
      <c r="F298" t="s">
        <v>375</v>
      </c>
      <c r="G298" s="18" t="s">
        <v>42</v>
      </c>
      <c r="H298" s="18" t="s">
        <v>14</v>
      </c>
      <c r="I298" s="18">
        <v>98400</v>
      </c>
      <c r="J298" s="18">
        <v>2</v>
      </c>
      <c r="K298" s="19">
        <f t="shared" si="12"/>
        <v>196800</v>
      </c>
      <c r="L298" s="20">
        <v>45287</v>
      </c>
      <c r="M298" s="19" t="str">
        <f t="shared" si="13"/>
        <v>Wednesday</v>
      </c>
      <c r="N298" s="19" t="str">
        <f t="shared" si="14"/>
        <v>Weekday</v>
      </c>
      <c r="Q298" s="19"/>
      <c r="R298" s="18"/>
      <c r="S298" s="21"/>
      <c r="T298"/>
      <c r="U298" s="6"/>
      <c r="W298" s="7"/>
      <c r="Z298" s="4"/>
    </row>
    <row r="299" spans="1:26" x14ac:dyDescent="0.3">
      <c r="A299" t="s">
        <v>670</v>
      </c>
      <c r="B299" s="22" t="s">
        <v>110</v>
      </c>
      <c r="C299" s="23" t="s">
        <v>11</v>
      </c>
      <c r="D299" s="24" t="s">
        <v>323</v>
      </c>
      <c r="E299" s="25">
        <v>25</v>
      </c>
      <c r="F299" t="s">
        <v>370</v>
      </c>
      <c r="G299" s="24" t="s">
        <v>42</v>
      </c>
      <c r="H299" s="24" t="s">
        <v>14</v>
      </c>
      <c r="I299" s="24">
        <v>98400</v>
      </c>
      <c r="J299" s="24">
        <v>1</v>
      </c>
      <c r="K299" s="25">
        <f t="shared" si="12"/>
        <v>98400</v>
      </c>
      <c r="L299" s="26">
        <v>45192</v>
      </c>
      <c r="M299" s="25" t="str">
        <f t="shared" si="13"/>
        <v>Saturday</v>
      </c>
      <c r="N299" s="25" t="str">
        <f t="shared" si="14"/>
        <v>Weekend</v>
      </c>
      <c r="Q299" s="25"/>
      <c r="R299" s="24"/>
      <c r="S299" s="27"/>
      <c r="T299"/>
      <c r="U299" s="6"/>
      <c r="W299" s="7"/>
      <c r="Z299" s="4"/>
    </row>
    <row r="300" spans="1:26" x14ac:dyDescent="0.3">
      <c r="A300" t="s">
        <v>671</v>
      </c>
      <c r="B300" s="16" t="s">
        <v>201</v>
      </c>
      <c r="C300" s="17" t="s">
        <v>20</v>
      </c>
      <c r="D300" s="18" t="s">
        <v>322</v>
      </c>
      <c r="E300" s="19">
        <v>50</v>
      </c>
      <c r="F300" t="s">
        <v>381</v>
      </c>
      <c r="G300" s="18" t="s">
        <v>24</v>
      </c>
      <c r="H300" s="18" t="s">
        <v>14</v>
      </c>
      <c r="I300" s="18">
        <v>184500</v>
      </c>
      <c r="J300" s="18">
        <v>5</v>
      </c>
      <c r="K300" s="19">
        <f t="shared" si="12"/>
        <v>922500</v>
      </c>
      <c r="L300" s="20">
        <v>45085</v>
      </c>
      <c r="M300" s="19" t="str">
        <f t="shared" si="13"/>
        <v>Thursday</v>
      </c>
      <c r="N300" s="19" t="str">
        <f t="shared" si="14"/>
        <v>Weekday</v>
      </c>
      <c r="Q300" s="19"/>
      <c r="R300" s="18"/>
      <c r="S300" s="21"/>
      <c r="T300"/>
      <c r="U300" s="6"/>
      <c r="W300" s="7"/>
      <c r="Z300" s="4"/>
    </row>
    <row r="301" spans="1:26" x14ac:dyDescent="0.3">
      <c r="A301" t="s">
        <v>672</v>
      </c>
      <c r="B301" s="22" t="s">
        <v>148</v>
      </c>
      <c r="C301" s="23" t="s">
        <v>20</v>
      </c>
      <c r="D301" s="24" t="s">
        <v>323</v>
      </c>
      <c r="E301" s="25">
        <v>68</v>
      </c>
      <c r="F301" t="s">
        <v>373</v>
      </c>
      <c r="G301" s="24" t="s">
        <v>32</v>
      </c>
      <c r="H301" s="24" t="s">
        <v>18</v>
      </c>
      <c r="I301" s="24">
        <v>3690</v>
      </c>
      <c r="J301" s="24">
        <v>4</v>
      </c>
      <c r="K301" s="25">
        <f t="shared" si="12"/>
        <v>14760</v>
      </c>
      <c r="L301" s="26">
        <v>45182</v>
      </c>
      <c r="M301" s="25" t="str">
        <f t="shared" si="13"/>
        <v>Wednesday</v>
      </c>
      <c r="N301" s="25" t="str">
        <f t="shared" si="14"/>
        <v>Weekday</v>
      </c>
      <c r="Q301" s="25"/>
      <c r="R301" s="24"/>
      <c r="S301" s="27"/>
      <c r="T301"/>
      <c r="U301" s="6"/>
      <c r="W301" s="7"/>
      <c r="Z301" s="4"/>
    </row>
    <row r="302" spans="1:26" x14ac:dyDescent="0.3">
      <c r="A302" t="s">
        <v>673</v>
      </c>
      <c r="B302" s="16" t="s">
        <v>217</v>
      </c>
      <c r="C302" s="17" t="s">
        <v>11</v>
      </c>
      <c r="D302" s="18" t="s">
        <v>324</v>
      </c>
      <c r="E302" s="19">
        <v>62</v>
      </c>
      <c r="F302" t="s">
        <v>370</v>
      </c>
      <c r="G302" s="18" t="s">
        <v>26</v>
      </c>
      <c r="H302" s="18" t="s">
        <v>27</v>
      </c>
      <c r="I302" s="18">
        <v>24600</v>
      </c>
      <c r="J302" s="18">
        <v>3</v>
      </c>
      <c r="K302" s="19">
        <f t="shared" si="12"/>
        <v>73800</v>
      </c>
      <c r="L302" s="20">
        <v>44929</v>
      </c>
      <c r="M302" s="19" t="str">
        <f t="shared" si="13"/>
        <v>Tuesday</v>
      </c>
      <c r="N302" s="19" t="str">
        <f t="shared" si="14"/>
        <v>Weekday</v>
      </c>
      <c r="Q302" s="19"/>
      <c r="R302" s="18"/>
      <c r="S302" s="21"/>
      <c r="T302"/>
      <c r="U302" s="6"/>
      <c r="W302" s="7"/>
      <c r="Z302" s="4"/>
    </row>
    <row r="303" spans="1:26" x14ac:dyDescent="0.3">
      <c r="A303" t="s">
        <v>674</v>
      </c>
      <c r="B303" s="22" t="s">
        <v>176</v>
      </c>
      <c r="C303" s="23" t="s">
        <v>11</v>
      </c>
      <c r="D303" s="24" t="s">
        <v>323</v>
      </c>
      <c r="E303" s="25">
        <v>54</v>
      </c>
      <c r="F303" t="s">
        <v>373</v>
      </c>
      <c r="G303" s="24" t="s">
        <v>42</v>
      </c>
      <c r="H303" s="24" t="s">
        <v>14</v>
      </c>
      <c r="I303" s="24">
        <v>98400</v>
      </c>
      <c r="J303" s="24">
        <v>1</v>
      </c>
      <c r="K303" s="25">
        <f t="shared" si="12"/>
        <v>98400</v>
      </c>
      <c r="L303" s="26">
        <v>45130</v>
      </c>
      <c r="M303" s="25" t="str">
        <f t="shared" si="13"/>
        <v>Sunday</v>
      </c>
      <c r="N303" s="25" t="str">
        <f t="shared" si="14"/>
        <v>Weekday</v>
      </c>
      <c r="Q303" s="25"/>
      <c r="R303" s="24"/>
      <c r="S303" s="27"/>
      <c r="T303"/>
      <c r="U303" s="6"/>
      <c r="W303" s="7"/>
      <c r="Z303" s="4"/>
    </row>
    <row r="304" spans="1:26" x14ac:dyDescent="0.3">
      <c r="A304" t="s">
        <v>675</v>
      </c>
      <c r="B304" s="16" t="s">
        <v>155</v>
      </c>
      <c r="C304" s="17" t="s">
        <v>11</v>
      </c>
      <c r="D304" s="18" t="s">
        <v>328</v>
      </c>
      <c r="E304" s="19">
        <v>43</v>
      </c>
      <c r="F304" t="s">
        <v>373</v>
      </c>
      <c r="G304" s="18" t="s">
        <v>26</v>
      </c>
      <c r="H304" s="18" t="s">
        <v>27</v>
      </c>
      <c r="I304" s="18">
        <v>24600</v>
      </c>
      <c r="J304" s="18">
        <v>2</v>
      </c>
      <c r="K304" s="19">
        <f t="shared" si="12"/>
        <v>49200</v>
      </c>
      <c r="L304" s="20">
        <v>45207</v>
      </c>
      <c r="M304" s="19" t="str">
        <f t="shared" si="13"/>
        <v>Sunday</v>
      </c>
      <c r="N304" s="19" t="str">
        <f t="shared" si="14"/>
        <v>Weekday</v>
      </c>
      <c r="Q304" s="19"/>
      <c r="R304" s="18"/>
      <c r="S304" s="21"/>
      <c r="T304"/>
      <c r="U304" s="6"/>
      <c r="W304" s="7"/>
      <c r="Z304" s="4"/>
    </row>
    <row r="305" spans="1:26" x14ac:dyDescent="0.3">
      <c r="A305" t="s">
        <v>676</v>
      </c>
      <c r="B305" s="22" t="s">
        <v>157</v>
      </c>
      <c r="C305" s="23" t="s">
        <v>11</v>
      </c>
      <c r="D305" s="24" t="s">
        <v>322</v>
      </c>
      <c r="E305" s="25">
        <v>60</v>
      </c>
      <c r="F305" t="s">
        <v>375</v>
      </c>
      <c r="G305" s="24" t="s">
        <v>31</v>
      </c>
      <c r="H305" s="24" t="s">
        <v>18</v>
      </c>
      <c r="I305" s="24">
        <v>6150</v>
      </c>
      <c r="J305" s="24">
        <v>1</v>
      </c>
      <c r="K305" s="25">
        <f t="shared" si="12"/>
        <v>6150</v>
      </c>
      <c r="L305" s="26">
        <v>44963</v>
      </c>
      <c r="M305" s="25" t="str">
        <f t="shared" si="13"/>
        <v>Monday</v>
      </c>
      <c r="N305" s="25" t="str">
        <f t="shared" si="14"/>
        <v>Weekday</v>
      </c>
      <c r="Q305" s="25"/>
      <c r="R305" s="24"/>
      <c r="S305" s="27"/>
      <c r="T305"/>
      <c r="U305" s="6"/>
      <c r="W305" s="7"/>
      <c r="Z305" s="4"/>
    </row>
    <row r="306" spans="1:26" x14ac:dyDescent="0.3">
      <c r="A306" t="s">
        <v>677</v>
      </c>
      <c r="B306" s="16" t="s">
        <v>218</v>
      </c>
      <c r="C306" s="17" t="s">
        <v>11</v>
      </c>
      <c r="D306" s="18" t="s">
        <v>326</v>
      </c>
      <c r="E306" s="19">
        <v>25</v>
      </c>
      <c r="F306" t="s">
        <v>375</v>
      </c>
      <c r="G306" s="18" t="s">
        <v>13</v>
      </c>
      <c r="H306" s="18" t="s">
        <v>14</v>
      </c>
      <c r="I306" s="18">
        <v>36900</v>
      </c>
      <c r="J306" s="18">
        <v>3</v>
      </c>
      <c r="K306" s="19">
        <f t="shared" si="12"/>
        <v>110700</v>
      </c>
      <c r="L306" s="20">
        <v>45220</v>
      </c>
      <c r="M306" s="19" t="str">
        <f t="shared" si="13"/>
        <v>Saturday</v>
      </c>
      <c r="N306" s="19" t="str">
        <f t="shared" si="14"/>
        <v>Weekend</v>
      </c>
      <c r="Q306" s="19"/>
      <c r="R306" s="18"/>
      <c r="S306" s="21"/>
      <c r="T306"/>
      <c r="U306" s="6"/>
      <c r="W306" s="7"/>
      <c r="Z306" s="4"/>
    </row>
    <row r="307" spans="1:26" x14ac:dyDescent="0.3">
      <c r="A307" t="s">
        <v>678</v>
      </c>
      <c r="B307" s="22" t="s">
        <v>145</v>
      </c>
      <c r="C307" s="23" t="s">
        <v>11</v>
      </c>
      <c r="D307" s="24" t="s">
        <v>325</v>
      </c>
      <c r="E307" s="25">
        <v>50</v>
      </c>
      <c r="F307" t="s">
        <v>373</v>
      </c>
      <c r="G307" s="24" t="s">
        <v>42</v>
      </c>
      <c r="H307" s="24" t="s">
        <v>14</v>
      </c>
      <c r="I307" s="24">
        <v>98400</v>
      </c>
      <c r="J307" s="24">
        <v>1</v>
      </c>
      <c r="K307" s="25">
        <f t="shared" si="12"/>
        <v>98400</v>
      </c>
      <c r="L307" s="26">
        <v>45071</v>
      </c>
      <c r="M307" s="25" t="str">
        <f t="shared" si="13"/>
        <v>Thursday</v>
      </c>
      <c r="N307" s="25" t="str">
        <f t="shared" si="14"/>
        <v>Weekday</v>
      </c>
      <c r="Q307" s="25"/>
      <c r="R307" s="24"/>
      <c r="S307" s="27"/>
      <c r="T307"/>
      <c r="U307" s="6"/>
      <c r="W307" s="7"/>
      <c r="Z307" s="4"/>
    </row>
    <row r="308" spans="1:26" x14ac:dyDescent="0.3">
      <c r="A308" t="s">
        <v>679</v>
      </c>
      <c r="B308" s="16" t="s">
        <v>160</v>
      </c>
      <c r="C308" s="17" t="s">
        <v>11</v>
      </c>
      <c r="D308" s="18" t="s">
        <v>323</v>
      </c>
      <c r="E308" s="19">
        <v>32</v>
      </c>
      <c r="F308" t="s">
        <v>381</v>
      </c>
      <c r="G308" s="18" t="s">
        <v>42</v>
      </c>
      <c r="H308" s="18" t="s">
        <v>14</v>
      </c>
      <c r="I308" s="18">
        <v>98400</v>
      </c>
      <c r="J308" s="18">
        <v>1</v>
      </c>
      <c r="K308" s="19">
        <f t="shared" si="12"/>
        <v>98400</v>
      </c>
      <c r="L308" s="20">
        <v>45044</v>
      </c>
      <c r="M308" s="19" t="str">
        <f t="shared" si="13"/>
        <v>Friday</v>
      </c>
      <c r="N308" s="19" t="str">
        <f t="shared" si="14"/>
        <v>Weekend</v>
      </c>
      <c r="Q308" s="19"/>
      <c r="R308" s="18"/>
      <c r="S308" s="21"/>
      <c r="T308"/>
      <c r="U308" s="6"/>
      <c r="W308" s="7"/>
      <c r="Z308" s="4"/>
    </row>
    <row r="309" spans="1:26" x14ac:dyDescent="0.3">
      <c r="A309" t="s">
        <v>680</v>
      </c>
      <c r="B309" s="22" t="s">
        <v>205</v>
      </c>
      <c r="C309" s="23" t="s">
        <v>20</v>
      </c>
      <c r="D309" s="24" t="s">
        <v>328</v>
      </c>
      <c r="E309" s="25">
        <v>61</v>
      </c>
      <c r="F309" t="s">
        <v>375</v>
      </c>
      <c r="G309" s="24" t="s">
        <v>42</v>
      </c>
      <c r="H309" s="24" t="s">
        <v>14</v>
      </c>
      <c r="I309" s="24">
        <v>98400</v>
      </c>
      <c r="J309" s="24">
        <v>2</v>
      </c>
      <c r="K309" s="25">
        <f t="shared" si="12"/>
        <v>196800</v>
      </c>
      <c r="L309" s="26">
        <v>45202</v>
      </c>
      <c r="M309" s="25" t="str">
        <f t="shared" si="13"/>
        <v>Tuesday</v>
      </c>
      <c r="N309" s="25" t="str">
        <f t="shared" si="14"/>
        <v>Weekday</v>
      </c>
      <c r="Q309" s="25"/>
      <c r="R309" s="24"/>
      <c r="S309" s="27"/>
      <c r="T309"/>
      <c r="U309" s="6"/>
      <c r="W309" s="7"/>
      <c r="Z309" s="4"/>
    </row>
    <row r="310" spans="1:26" x14ac:dyDescent="0.3">
      <c r="A310" t="s">
        <v>681</v>
      </c>
      <c r="B310" s="16" t="s">
        <v>33</v>
      </c>
      <c r="C310" s="17" t="s">
        <v>11</v>
      </c>
      <c r="D310" s="18" t="s">
        <v>323</v>
      </c>
      <c r="E310" s="19">
        <v>29</v>
      </c>
      <c r="F310" t="s">
        <v>375</v>
      </c>
      <c r="G310" s="18" t="s">
        <v>31</v>
      </c>
      <c r="H310" s="18" t="s">
        <v>18</v>
      </c>
      <c r="I310" s="18">
        <v>6150</v>
      </c>
      <c r="J310" s="18">
        <v>5</v>
      </c>
      <c r="K310" s="19">
        <f t="shared" si="12"/>
        <v>30750</v>
      </c>
      <c r="L310" s="20">
        <v>45231</v>
      </c>
      <c r="M310" s="19" t="str">
        <f t="shared" si="13"/>
        <v>Wednesday</v>
      </c>
      <c r="N310" s="19" t="str">
        <f t="shared" si="14"/>
        <v>Weekday</v>
      </c>
      <c r="Q310" s="19"/>
      <c r="R310" s="18"/>
      <c r="S310" s="21"/>
      <c r="T310"/>
      <c r="U310" s="6"/>
      <c r="W310" s="7"/>
      <c r="Z310" s="4"/>
    </row>
    <row r="311" spans="1:26" x14ac:dyDescent="0.3">
      <c r="A311" t="s">
        <v>682</v>
      </c>
      <c r="B311" s="22" t="s">
        <v>121</v>
      </c>
      <c r="C311" s="23" t="s">
        <v>20</v>
      </c>
      <c r="D311" s="24" t="s">
        <v>327</v>
      </c>
      <c r="E311" s="25">
        <v>18</v>
      </c>
      <c r="F311" t="s">
        <v>375</v>
      </c>
      <c r="G311" s="24" t="s">
        <v>32</v>
      </c>
      <c r="H311" s="24" t="s">
        <v>18</v>
      </c>
      <c r="I311" s="24">
        <v>3690</v>
      </c>
      <c r="J311" s="24">
        <v>4</v>
      </c>
      <c r="K311" s="25">
        <f t="shared" si="12"/>
        <v>14760</v>
      </c>
      <c r="L311" s="26">
        <v>45107</v>
      </c>
      <c r="M311" s="25" t="str">
        <f t="shared" si="13"/>
        <v>Friday</v>
      </c>
      <c r="N311" s="25" t="str">
        <f t="shared" si="14"/>
        <v>Weekend</v>
      </c>
      <c r="Q311" s="25"/>
      <c r="R311" s="24"/>
      <c r="S311" s="27"/>
      <c r="T311"/>
      <c r="U311" s="6"/>
      <c r="W311" s="7"/>
      <c r="Z311" s="4"/>
    </row>
    <row r="312" spans="1:26" x14ac:dyDescent="0.3">
      <c r="A312" t="s">
        <v>683</v>
      </c>
      <c r="B312" s="16" t="s">
        <v>10</v>
      </c>
      <c r="C312" s="17" t="s">
        <v>11</v>
      </c>
      <c r="D312" s="18" t="s">
        <v>322</v>
      </c>
      <c r="E312" s="19">
        <v>21</v>
      </c>
      <c r="F312" t="s">
        <v>375</v>
      </c>
      <c r="G312" s="18" t="s">
        <v>13</v>
      </c>
      <c r="H312" s="18" t="s">
        <v>14</v>
      </c>
      <c r="I312" s="18">
        <v>36900</v>
      </c>
      <c r="J312" s="18">
        <v>2</v>
      </c>
      <c r="K312" s="19">
        <f t="shared" si="12"/>
        <v>73800</v>
      </c>
      <c r="L312" s="20">
        <v>45141</v>
      </c>
      <c r="M312" s="19" t="str">
        <f t="shared" si="13"/>
        <v>Thursday</v>
      </c>
      <c r="N312" s="19" t="str">
        <f t="shared" si="14"/>
        <v>Weekday</v>
      </c>
      <c r="Q312" s="19"/>
      <c r="R312" s="18"/>
      <c r="S312" s="21"/>
      <c r="T312"/>
      <c r="U312" s="6"/>
      <c r="W312" s="7"/>
      <c r="Z312" s="4"/>
    </row>
    <row r="313" spans="1:26" x14ac:dyDescent="0.3">
      <c r="A313" t="s">
        <v>684</v>
      </c>
      <c r="B313" s="22" t="s">
        <v>219</v>
      </c>
      <c r="C313" s="23" t="s">
        <v>11</v>
      </c>
      <c r="D313" s="24" t="s">
        <v>328</v>
      </c>
      <c r="E313" s="25">
        <v>69</v>
      </c>
      <c r="F313" t="s">
        <v>370</v>
      </c>
      <c r="G313" s="24" t="s">
        <v>17</v>
      </c>
      <c r="H313" s="24" t="s">
        <v>18</v>
      </c>
      <c r="I313" s="24">
        <v>12300</v>
      </c>
      <c r="J313" s="24">
        <v>1</v>
      </c>
      <c r="K313" s="25">
        <f t="shared" si="12"/>
        <v>12300</v>
      </c>
      <c r="L313" s="26">
        <v>45072</v>
      </c>
      <c r="M313" s="25" t="str">
        <f t="shared" si="13"/>
        <v>Friday</v>
      </c>
      <c r="N313" s="25" t="str">
        <f t="shared" si="14"/>
        <v>Weekend</v>
      </c>
      <c r="Q313" s="25"/>
      <c r="R313" s="24"/>
      <c r="S313" s="27"/>
      <c r="T313"/>
      <c r="U313" s="6"/>
      <c r="W313" s="7"/>
      <c r="Z313" s="4"/>
    </row>
    <row r="314" spans="1:26" x14ac:dyDescent="0.3">
      <c r="A314" t="s">
        <v>685</v>
      </c>
      <c r="B314" s="16" t="s">
        <v>220</v>
      </c>
      <c r="C314" s="17" t="s">
        <v>20</v>
      </c>
      <c r="D314" s="18" t="s">
        <v>325</v>
      </c>
      <c r="E314" s="19">
        <v>66</v>
      </c>
      <c r="F314" t="s">
        <v>373</v>
      </c>
      <c r="G314" s="18" t="s">
        <v>26</v>
      </c>
      <c r="H314" s="18" t="s">
        <v>27</v>
      </c>
      <c r="I314" s="18">
        <v>24600</v>
      </c>
      <c r="J314" s="18">
        <v>5</v>
      </c>
      <c r="K314" s="19">
        <f t="shared" si="12"/>
        <v>123000</v>
      </c>
      <c r="L314" s="20">
        <v>45188</v>
      </c>
      <c r="M314" s="19" t="str">
        <f t="shared" si="13"/>
        <v>Tuesday</v>
      </c>
      <c r="N314" s="19" t="str">
        <f t="shared" si="14"/>
        <v>Weekday</v>
      </c>
      <c r="Q314" s="19"/>
      <c r="R314" s="18"/>
      <c r="S314" s="21"/>
      <c r="T314"/>
      <c r="U314" s="6"/>
      <c r="W314" s="7"/>
      <c r="Z314" s="4"/>
    </row>
    <row r="315" spans="1:26" x14ac:dyDescent="0.3">
      <c r="A315" t="s">
        <v>686</v>
      </c>
      <c r="B315" s="22" t="s">
        <v>221</v>
      </c>
      <c r="C315" s="23" t="s">
        <v>20</v>
      </c>
      <c r="D315" s="24" t="s">
        <v>323</v>
      </c>
      <c r="E315" s="25">
        <v>41</v>
      </c>
      <c r="F315" t="s">
        <v>370</v>
      </c>
      <c r="G315" s="24" t="s">
        <v>26</v>
      </c>
      <c r="H315" s="24" t="s">
        <v>27</v>
      </c>
      <c r="I315" s="24">
        <v>24600</v>
      </c>
      <c r="J315" s="24">
        <v>3</v>
      </c>
      <c r="K315" s="25">
        <f t="shared" si="12"/>
        <v>73800</v>
      </c>
      <c r="L315" s="26">
        <v>45095</v>
      </c>
      <c r="M315" s="25" t="str">
        <f t="shared" si="13"/>
        <v>Sunday</v>
      </c>
      <c r="N315" s="25" t="str">
        <f t="shared" si="14"/>
        <v>Weekday</v>
      </c>
      <c r="Q315" s="25"/>
      <c r="R315" s="24"/>
      <c r="S315" s="27"/>
      <c r="T315"/>
      <c r="U315" s="6"/>
      <c r="W315" s="7"/>
      <c r="Z315" s="4"/>
    </row>
    <row r="316" spans="1:26" x14ac:dyDescent="0.3">
      <c r="A316" t="s">
        <v>687</v>
      </c>
      <c r="B316" s="16" t="s">
        <v>214</v>
      </c>
      <c r="C316" s="17" t="s">
        <v>11</v>
      </c>
      <c r="D316" s="18" t="s">
        <v>325</v>
      </c>
      <c r="E316" s="19">
        <v>67</v>
      </c>
      <c r="F316" t="s">
        <v>370</v>
      </c>
      <c r="G316" s="18" t="s">
        <v>31</v>
      </c>
      <c r="H316" s="18" t="s">
        <v>18</v>
      </c>
      <c r="I316" s="18">
        <v>6150</v>
      </c>
      <c r="J316" s="18">
        <v>5</v>
      </c>
      <c r="K316" s="19">
        <f t="shared" si="12"/>
        <v>30750</v>
      </c>
      <c r="L316" s="20">
        <v>44988</v>
      </c>
      <c r="M316" s="19" t="str">
        <f t="shared" si="13"/>
        <v>Friday</v>
      </c>
      <c r="N316" s="19" t="str">
        <f t="shared" si="14"/>
        <v>Weekend</v>
      </c>
      <c r="Q316" s="19"/>
      <c r="R316" s="18"/>
      <c r="S316" s="21"/>
      <c r="T316"/>
      <c r="U316" s="6"/>
      <c r="W316" s="7"/>
      <c r="Z316" s="4"/>
    </row>
    <row r="317" spans="1:26" x14ac:dyDescent="0.3">
      <c r="A317" t="s">
        <v>688</v>
      </c>
      <c r="B317" s="22" t="s">
        <v>108</v>
      </c>
      <c r="C317" s="23" t="s">
        <v>11</v>
      </c>
      <c r="D317" s="24" t="s">
        <v>329</v>
      </c>
      <c r="E317" s="25">
        <v>42</v>
      </c>
      <c r="F317" t="s">
        <v>373</v>
      </c>
      <c r="G317" s="24" t="s">
        <v>42</v>
      </c>
      <c r="H317" s="24" t="s">
        <v>14</v>
      </c>
      <c r="I317" s="24">
        <v>98400</v>
      </c>
      <c r="J317" s="24">
        <v>3</v>
      </c>
      <c r="K317" s="25">
        <f t="shared" si="12"/>
        <v>295200</v>
      </c>
      <c r="L317" s="26">
        <v>45248</v>
      </c>
      <c r="M317" s="25" t="str">
        <f t="shared" si="13"/>
        <v>Saturday</v>
      </c>
      <c r="N317" s="25" t="str">
        <f t="shared" si="14"/>
        <v>Weekend</v>
      </c>
      <c r="Q317" s="25"/>
      <c r="R317" s="24"/>
      <c r="S317" s="27"/>
      <c r="T317"/>
      <c r="U317" s="6"/>
      <c r="W317" s="7"/>
      <c r="Z317" s="4"/>
    </row>
    <row r="318" spans="1:26" x14ac:dyDescent="0.3">
      <c r="A318" t="s">
        <v>689</v>
      </c>
      <c r="B318" s="16" t="s">
        <v>128</v>
      </c>
      <c r="C318" s="17" t="s">
        <v>11</v>
      </c>
      <c r="D318" s="18" t="s">
        <v>323</v>
      </c>
      <c r="E318" s="19">
        <v>50</v>
      </c>
      <c r="F318" t="s">
        <v>375</v>
      </c>
      <c r="G318" s="18" t="s">
        <v>13</v>
      </c>
      <c r="H318" s="18" t="s">
        <v>14</v>
      </c>
      <c r="I318" s="18">
        <v>36900</v>
      </c>
      <c r="J318" s="18">
        <v>1</v>
      </c>
      <c r="K318" s="19">
        <f t="shared" si="12"/>
        <v>36900</v>
      </c>
      <c r="L318" s="20">
        <v>45143</v>
      </c>
      <c r="M318" s="19" t="str">
        <f t="shared" si="13"/>
        <v>Saturday</v>
      </c>
      <c r="N318" s="19" t="str">
        <f t="shared" si="14"/>
        <v>Weekend</v>
      </c>
      <c r="Q318" s="19"/>
      <c r="R318" s="18"/>
      <c r="S318" s="21"/>
      <c r="T318"/>
      <c r="U318" s="6"/>
      <c r="W318" s="7"/>
      <c r="Z318" s="4"/>
    </row>
    <row r="319" spans="1:26" x14ac:dyDescent="0.3">
      <c r="A319" t="s">
        <v>690</v>
      </c>
      <c r="B319" s="22" t="s">
        <v>148</v>
      </c>
      <c r="C319" s="23" t="s">
        <v>20</v>
      </c>
      <c r="D319" s="24" t="s">
        <v>323</v>
      </c>
      <c r="E319" s="25">
        <v>68</v>
      </c>
      <c r="F319" t="s">
        <v>381</v>
      </c>
      <c r="G319" s="24" t="s">
        <v>17</v>
      </c>
      <c r="H319" s="24" t="s">
        <v>18</v>
      </c>
      <c r="I319" s="24">
        <v>12300</v>
      </c>
      <c r="J319" s="24">
        <v>4</v>
      </c>
      <c r="K319" s="25">
        <f t="shared" si="12"/>
        <v>49200</v>
      </c>
      <c r="L319" s="26">
        <v>45230</v>
      </c>
      <c r="M319" s="25" t="str">
        <f t="shared" si="13"/>
        <v>Tuesday</v>
      </c>
      <c r="N319" s="25" t="str">
        <f t="shared" si="14"/>
        <v>Weekday</v>
      </c>
      <c r="Q319" s="25"/>
      <c r="R319" s="24"/>
      <c r="S319" s="27"/>
      <c r="T319"/>
      <c r="U319" s="6"/>
      <c r="W319" s="7"/>
      <c r="Z319" s="4"/>
    </row>
    <row r="320" spans="1:26" x14ac:dyDescent="0.3">
      <c r="A320" t="s">
        <v>691</v>
      </c>
      <c r="B320" s="16" t="s">
        <v>90</v>
      </c>
      <c r="C320" s="17" t="s">
        <v>20</v>
      </c>
      <c r="D320" s="18" t="s">
        <v>323</v>
      </c>
      <c r="E320" s="19">
        <v>50</v>
      </c>
      <c r="F320" t="s">
        <v>375</v>
      </c>
      <c r="G320" s="18" t="s">
        <v>42</v>
      </c>
      <c r="H320" s="18" t="s">
        <v>14</v>
      </c>
      <c r="I320" s="18">
        <v>98400</v>
      </c>
      <c r="J320" s="18">
        <v>5</v>
      </c>
      <c r="K320" s="19">
        <f t="shared" si="12"/>
        <v>492000</v>
      </c>
      <c r="L320" s="20">
        <v>45149</v>
      </c>
      <c r="M320" s="19" t="str">
        <f t="shared" si="13"/>
        <v>Friday</v>
      </c>
      <c r="N320" s="19" t="str">
        <f t="shared" si="14"/>
        <v>Weekend</v>
      </c>
      <c r="Q320" s="19"/>
      <c r="R320" s="18"/>
      <c r="S320" s="21"/>
      <c r="T320"/>
      <c r="U320" s="6"/>
      <c r="W320" s="7"/>
      <c r="Z320" s="4"/>
    </row>
    <row r="321" spans="1:26" x14ac:dyDescent="0.3">
      <c r="A321" t="s">
        <v>692</v>
      </c>
      <c r="B321" s="22" t="s">
        <v>222</v>
      </c>
      <c r="C321" s="23" t="s">
        <v>11</v>
      </c>
      <c r="D321" s="24" t="s">
        <v>323</v>
      </c>
      <c r="E321" s="25">
        <v>18</v>
      </c>
      <c r="F321" t="s">
        <v>375</v>
      </c>
      <c r="G321" s="24" t="s">
        <v>42</v>
      </c>
      <c r="H321" s="24" t="s">
        <v>14</v>
      </c>
      <c r="I321" s="24">
        <v>98400</v>
      </c>
      <c r="J321" s="24">
        <v>1</v>
      </c>
      <c r="K321" s="25">
        <f t="shared" si="12"/>
        <v>98400</v>
      </c>
      <c r="L321" s="26">
        <v>45255</v>
      </c>
      <c r="M321" s="25" t="str">
        <f t="shared" si="13"/>
        <v>Saturday</v>
      </c>
      <c r="N321" s="25" t="str">
        <f t="shared" si="14"/>
        <v>Weekend</v>
      </c>
      <c r="Q321" s="25"/>
      <c r="R321" s="24"/>
      <c r="S321" s="27"/>
      <c r="T321"/>
      <c r="U321" s="6"/>
      <c r="W321" s="7"/>
      <c r="Z321" s="4"/>
    </row>
    <row r="322" spans="1:26" x14ac:dyDescent="0.3">
      <c r="A322" t="s">
        <v>693</v>
      </c>
      <c r="B322" s="16" t="s">
        <v>140</v>
      </c>
      <c r="C322" s="17" t="s">
        <v>20</v>
      </c>
      <c r="D322" s="18" t="s">
        <v>327</v>
      </c>
      <c r="E322" s="19">
        <v>44</v>
      </c>
      <c r="F322" t="s">
        <v>375</v>
      </c>
      <c r="G322" s="18" t="s">
        <v>24</v>
      </c>
      <c r="H322" s="18" t="s">
        <v>14</v>
      </c>
      <c r="I322" s="18">
        <v>184500</v>
      </c>
      <c r="J322" s="18">
        <v>5</v>
      </c>
      <c r="K322" s="19">
        <f t="shared" ref="K322:K385" si="15">I322*J322</f>
        <v>922500</v>
      </c>
      <c r="L322" s="20">
        <v>45251</v>
      </c>
      <c r="M322" s="19" t="str">
        <f t="shared" ref="M322:M385" si="16">TEXT(L322, "dddd")</f>
        <v>Tuesday</v>
      </c>
      <c r="N322" s="19" t="str">
        <f t="shared" ref="N322:N385" si="17">IF(OR(WEEKDAY(L322, 2)=5, WEEKDAY(L322, 2)=6), "Weekend", "Weekday")</f>
        <v>Weekday</v>
      </c>
      <c r="Q322" s="19"/>
      <c r="R322" s="18"/>
      <c r="S322" s="21"/>
      <c r="T322"/>
      <c r="U322" s="6"/>
      <c r="W322" s="7"/>
      <c r="Z322" s="4"/>
    </row>
    <row r="323" spans="1:26" x14ac:dyDescent="0.3">
      <c r="A323" t="s">
        <v>694</v>
      </c>
      <c r="B323" s="22" t="s">
        <v>223</v>
      </c>
      <c r="C323" s="23" t="s">
        <v>366</v>
      </c>
      <c r="D323" s="24" t="s">
        <v>326</v>
      </c>
      <c r="E323" s="25">
        <v>37</v>
      </c>
      <c r="F323" t="s">
        <v>375</v>
      </c>
      <c r="G323" s="24" t="s">
        <v>17</v>
      </c>
      <c r="H323" s="24" t="s">
        <v>18</v>
      </c>
      <c r="I323" s="24">
        <v>12300</v>
      </c>
      <c r="J323" s="24">
        <v>3</v>
      </c>
      <c r="K323" s="25">
        <f t="shared" si="15"/>
        <v>36900</v>
      </c>
      <c r="L323" s="26">
        <v>45012</v>
      </c>
      <c r="M323" s="25" t="str">
        <f t="shared" si="16"/>
        <v>Monday</v>
      </c>
      <c r="N323" s="25" t="str">
        <f t="shared" si="17"/>
        <v>Weekday</v>
      </c>
      <c r="Q323" s="25"/>
      <c r="R323" s="24"/>
      <c r="S323" s="27"/>
      <c r="T323"/>
      <c r="U323" s="6"/>
      <c r="W323" s="7"/>
      <c r="Z323" s="4"/>
    </row>
    <row r="324" spans="1:26" x14ac:dyDescent="0.3">
      <c r="A324" t="s">
        <v>695</v>
      </c>
      <c r="B324" s="16" t="s">
        <v>173</v>
      </c>
      <c r="C324" s="17" t="s">
        <v>20</v>
      </c>
      <c r="D324" s="18" t="s">
        <v>325</v>
      </c>
      <c r="E324" s="19">
        <v>55</v>
      </c>
      <c r="F324" t="s">
        <v>381</v>
      </c>
      <c r="G324" s="18" t="s">
        <v>24</v>
      </c>
      <c r="H324" s="18" t="s">
        <v>14</v>
      </c>
      <c r="I324" s="18">
        <v>184500</v>
      </c>
      <c r="J324" s="18">
        <v>1</v>
      </c>
      <c r="K324" s="19">
        <f t="shared" si="15"/>
        <v>184500</v>
      </c>
      <c r="L324" s="20">
        <v>45219</v>
      </c>
      <c r="M324" s="19" t="str">
        <f t="shared" si="16"/>
        <v>Friday</v>
      </c>
      <c r="N324" s="19" t="str">
        <f t="shared" si="17"/>
        <v>Weekend</v>
      </c>
      <c r="Q324" s="19"/>
      <c r="R324" s="18"/>
      <c r="S324" s="21"/>
      <c r="T324"/>
      <c r="U324" s="6"/>
      <c r="W324" s="7"/>
      <c r="Z324" s="4"/>
    </row>
    <row r="325" spans="1:26" x14ac:dyDescent="0.3">
      <c r="A325" t="s">
        <v>696</v>
      </c>
      <c r="B325" s="22" t="s">
        <v>140</v>
      </c>
      <c r="C325" s="23" t="s">
        <v>20</v>
      </c>
      <c r="D325" s="24" t="s">
        <v>327</v>
      </c>
      <c r="E325" s="25">
        <v>44</v>
      </c>
      <c r="F325" t="s">
        <v>370</v>
      </c>
      <c r="G325" s="24" t="s">
        <v>24</v>
      </c>
      <c r="H325" s="24" t="s">
        <v>14</v>
      </c>
      <c r="I325" s="24">
        <v>184500</v>
      </c>
      <c r="J325" s="24">
        <v>2</v>
      </c>
      <c r="K325" s="25">
        <f t="shared" si="15"/>
        <v>369000</v>
      </c>
      <c r="L325" s="26">
        <v>45257</v>
      </c>
      <c r="M325" s="25" t="str">
        <f t="shared" si="16"/>
        <v>Monday</v>
      </c>
      <c r="N325" s="25" t="str">
        <f t="shared" si="17"/>
        <v>Weekday</v>
      </c>
      <c r="Q325" s="25"/>
      <c r="R325" s="24"/>
      <c r="S325" s="27"/>
      <c r="T325"/>
      <c r="U325" s="6"/>
      <c r="W325" s="7"/>
      <c r="Z325" s="4"/>
    </row>
    <row r="326" spans="1:26" x14ac:dyDescent="0.3">
      <c r="A326" t="s">
        <v>697</v>
      </c>
      <c r="B326" s="16" t="s">
        <v>224</v>
      </c>
      <c r="C326" s="17" t="s">
        <v>11</v>
      </c>
      <c r="D326" s="18" t="s">
        <v>323</v>
      </c>
      <c r="E326" s="19">
        <v>67</v>
      </c>
      <c r="F326" t="s">
        <v>381</v>
      </c>
      <c r="G326" s="18" t="s">
        <v>42</v>
      </c>
      <c r="H326" s="18" t="s">
        <v>14</v>
      </c>
      <c r="I326" s="18">
        <v>98400</v>
      </c>
      <c r="J326" s="18">
        <v>5</v>
      </c>
      <c r="K326" s="19">
        <f t="shared" si="15"/>
        <v>492000</v>
      </c>
      <c r="L326" s="20">
        <v>45221</v>
      </c>
      <c r="M326" s="19" t="str">
        <f t="shared" si="16"/>
        <v>Sunday</v>
      </c>
      <c r="N326" s="19" t="str">
        <f t="shared" si="17"/>
        <v>Weekday</v>
      </c>
      <c r="Q326" s="19"/>
      <c r="R326" s="18"/>
      <c r="S326" s="21"/>
      <c r="T326"/>
      <c r="U326" s="6"/>
      <c r="W326" s="7"/>
      <c r="Z326" s="4"/>
    </row>
    <row r="327" spans="1:26" x14ac:dyDescent="0.3">
      <c r="A327" t="s">
        <v>698</v>
      </c>
      <c r="B327" s="22" t="s">
        <v>169</v>
      </c>
      <c r="C327" s="23" t="s">
        <v>366</v>
      </c>
      <c r="D327" s="24" t="s">
        <v>328</v>
      </c>
      <c r="E327" s="25">
        <v>64</v>
      </c>
      <c r="F327" t="s">
        <v>373</v>
      </c>
      <c r="G327" s="24" t="s">
        <v>17</v>
      </c>
      <c r="H327" s="24" t="s">
        <v>18</v>
      </c>
      <c r="I327" s="24">
        <v>12300</v>
      </c>
      <c r="J327" s="24">
        <v>3</v>
      </c>
      <c r="K327" s="25">
        <f t="shared" si="15"/>
        <v>36900</v>
      </c>
      <c r="L327" s="26">
        <v>44967</v>
      </c>
      <c r="M327" s="25" t="str">
        <f t="shared" si="16"/>
        <v>Friday</v>
      </c>
      <c r="N327" s="25" t="str">
        <f t="shared" si="17"/>
        <v>Weekend</v>
      </c>
      <c r="Q327" s="25"/>
      <c r="R327" s="24"/>
      <c r="S327" s="27"/>
      <c r="T327"/>
      <c r="U327" s="6"/>
      <c r="W327" s="7"/>
      <c r="Z327" s="4"/>
    </row>
    <row r="328" spans="1:26" x14ac:dyDescent="0.3">
      <c r="A328" t="s">
        <v>699</v>
      </c>
      <c r="B328" s="16" t="s">
        <v>37</v>
      </c>
      <c r="C328" s="17" t="s">
        <v>11</v>
      </c>
      <c r="D328" s="18" t="s">
        <v>323</v>
      </c>
      <c r="E328" s="19">
        <v>60</v>
      </c>
      <c r="F328" t="s">
        <v>375</v>
      </c>
      <c r="G328" s="18" t="s">
        <v>42</v>
      </c>
      <c r="H328" s="18" t="s">
        <v>14</v>
      </c>
      <c r="I328" s="18">
        <v>98400</v>
      </c>
      <c r="J328" s="18">
        <v>2</v>
      </c>
      <c r="K328" s="19">
        <f t="shared" si="15"/>
        <v>196800</v>
      </c>
      <c r="L328" s="20">
        <v>45149</v>
      </c>
      <c r="M328" s="19" t="str">
        <f t="shared" si="16"/>
        <v>Friday</v>
      </c>
      <c r="N328" s="19" t="str">
        <f t="shared" si="17"/>
        <v>Weekend</v>
      </c>
      <c r="Q328" s="19"/>
      <c r="R328" s="18"/>
      <c r="S328" s="21"/>
      <c r="T328"/>
      <c r="U328" s="6"/>
      <c r="W328" s="7"/>
      <c r="Z328" s="4"/>
    </row>
    <row r="329" spans="1:26" x14ac:dyDescent="0.3">
      <c r="A329" t="s">
        <v>700</v>
      </c>
      <c r="B329" s="22" t="s">
        <v>225</v>
      </c>
      <c r="C329" s="23" t="s">
        <v>11</v>
      </c>
      <c r="D329" s="24" t="s">
        <v>322</v>
      </c>
      <c r="E329" s="25">
        <v>20</v>
      </c>
      <c r="F329" t="s">
        <v>381</v>
      </c>
      <c r="G329" s="24" t="s">
        <v>31</v>
      </c>
      <c r="H329" s="24" t="s">
        <v>18</v>
      </c>
      <c r="I329" s="24">
        <v>6150</v>
      </c>
      <c r="J329" s="24">
        <v>1</v>
      </c>
      <c r="K329" s="25">
        <f t="shared" si="15"/>
        <v>6150</v>
      </c>
      <c r="L329" s="26">
        <v>45151</v>
      </c>
      <c r="M329" s="25" t="str">
        <f t="shared" si="16"/>
        <v>Sunday</v>
      </c>
      <c r="N329" s="25" t="str">
        <f t="shared" si="17"/>
        <v>Weekday</v>
      </c>
      <c r="Q329" s="25"/>
      <c r="R329" s="24"/>
      <c r="S329" s="27"/>
      <c r="T329"/>
      <c r="U329" s="6"/>
      <c r="W329" s="7"/>
      <c r="Z329" s="4"/>
    </row>
    <row r="330" spans="1:26" x14ac:dyDescent="0.3">
      <c r="A330" t="s">
        <v>701</v>
      </c>
      <c r="B330" s="16" t="s">
        <v>226</v>
      </c>
      <c r="C330" s="17" t="s">
        <v>366</v>
      </c>
      <c r="D330" s="18" t="s">
        <v>329</v>
      </c>
      <c r="E330" s="19">
        <v>34</v>
      </c>
      <c r="F330" t="s">
        <v>373</v>
      </c>
      <c r="G330" s="18" t="s">
        <v>26</v>
      </c>
      <c r="H330" s="18" t="s">
        <v>27</v>
      </c>
      <c r="I330" s="18">
        <v>24600</v>
      </c>
      <c r="J330" s="18">
        <v>1</v>
      </c>
      <c r="K330" s="19">
        <f t="shared" si="15"/>
        <v>24600</v>
      </c>
      <c r="L330" s="20">
        <v>45067</v>
      </c>
      <c r="M330" s="19" t="str">
        <f t="shared" si="16"/>
        <v>Sunday</v>
      </c>
      <c r="N330" s="19" t="str">
        <f t="shared" si="17"/>
        <v>Weekday</v>
      </c>
      <c r="Q330" s="19"/>
      <c r="R330" s="18"/>
      <c r="S330" s="21"/>
      <c r="T330"/>
      <c r="U330" s="6"/>
      <c r="W330" s="7"/>
      <c r="Z330" s="4"/>
    </row>
    <row r="331" spans="1:26" x14ac:dyDescent="0.3">
      <c r="A331" t="s">
        <v>702</v>
      </c>
      <c r="B331" s="22" t="s">
        <v>227</v>
      </c>
      <c r="C331" s="23" t="s">
        <v>20</v>
      </c>
      <c r="D331" s="24" t="s">
        <v>325</v>
      </c>
      <c r="E331" s="25">
        <v>19</v>
      </c>
      <c r="F331" t="s">
        <v>381</v>
      </c>
      <c r="G331" s="24" t="s">
        <v>24</v>
      </c>
      <c r="H331" s="24" t="s">
        <v>14</v>
      </c>
      <c r="I331" s="24">
        <v>184500</v>
      </c>
      <c r="J331" s="24">
        <v>4</v>
      </c>
      <c r="K331" s="25">
        <f t="shared" si="15"/>
        <v>738000</v>
      </c>
      <c r="L331" s="26">
        <v>45238</v>
      </c>
      <c r="M331" s="25" t="str">
        <f t="shared" si="16"/>
        <v>Wednesday</v>
      </c>
      <c r="N331" s="25" t="str">
        <f t="shared" si="17"/>
        <v>Weekday</v>
      </c>
      <c r="Q331" s="25"/>
      <c r="R331" s="24"/>
      <c r="S331" s="27"/>
      <c r="T331"/>
      <c r="U331" s="6"/>
      <c r="W331" s="7"/>
      <c r="Z331" s="4"/>
    </row>
    <row r="332" spans="1:26" x14ac:dyDescent="0.3">
      <c r="A332" t="s">
        <v>703</v>
      </c>
      <c r="B332" s="16" t="s">
        <v>56</v>
      </c>
      <c r="C332" s="17" t="s">
        <v>20</v>
      </c>
      <c r="D332" s="18" t="s">
        <v>329</v>
      </c>
      <c r="E332" s="19">
        <v>53</v>
      </c>
      <c r="F332" t="s">
        <v>375</v>
      </c>
      <c r="G332" s="18" t="s">
        <v>42</v>
      </c>
      <c r="H332" s="18" t="s">
        <v>14</v>
      </c>
      <c r="I332" s="18">
        <v>98400</v>
      </c>
      <c r="J332" s="18">
        <v>4</v>
      </c>
      <c r="K332" s="19">
        <f t="shared" si="15"/>
        <v>393600</v>
      </c>
      <c r="L332" s="20">
        <v>45094</v>
      </c>
      <c r="M332" s="19" t="str">
        <f t="shared" si="16"/>
        <v>Saturday</v>
      </c>
      <c r="N332" s="19" t="str">
        <f t="shared" si="17"/>
        <v>Weekend</v>
      </c>
      <c r="Q332" s="19"/>
      <c r="R332" s="18"/>
      <c r="S332" s="21"/>
      <c r="T332"/>
      <c r="U332" s="6"/>
      <c r="W332" s="7"/>
      <c r="Z332" s="4"/>
    </row>
    <row r="333" spans="1:26" x14ac:dyDescent="0.3">
      <c r="A333" t="s">
        <v>704</v>
      </c>
      <c r="B333" s="22" t="s">
        <v>60</v>
      </c>
      <c r="C333" s="23" t="s">
        <v>20</v>
      </c>
      <c r="D333" s="24" t="s">
        <v>322</v>
      </c>
      <c r="E333" s="25">
        <v>64</v>
      </c>
      <c r="F333" t="s">
        <v>375</v>
      </c>
      <c r="G333" s="24" t="s">
        <v>13</v>
      </c>
      <c r="H333" s="24" t="s">
        <v>14</v>
      </c>
      <c r="I333" s="24">
        <v>36900</v>
      </c>
      <c r="J333" s="24">
        <v>3</v>
      </c>
      <c r="K333" s="25">
        <f t="shared" si="15"/>
        <v>110700</v>
      </c>
      <c r="L333" s="26">
        <v>45094</v>
      </c>
      <c r="M333" s="25" t="str">
        <f t="shared" si="16"/>
        <v>Saturday</v>
      </c>
      <c r="N333" s="25" t="str">
        <f t="shared" si="17"/>
        <v>Weekend</v>
      </c>
      <c r="Q333" s="25"/>
      <c r="R333" s="24"/>
      <c r="S333" s="27"/>
      <c r="T333"/>
      <c r="U333" s="6"/>
      <c r="W333" s="7"/>
      <c r="Z333" s="4"/>
    </row>
    <row r="334" spans="1:26" x14ac:dyDescent="0.3">
      <c r="A334" t="s">
        <v>705</v>
      </c>
      <c r="B334" s="16" t="s">
        <v>223</v>
      </c>
      <c r="C334" s="17" t="s">
        <v>366</v>
      </c>
      <c r="D334" s="18" t="s">
        <v>326</v>
      </c>
      <c r="E334" s="19">
        <v>37</v>
      </c>
      <c r="F334" t="s">
        <v>373</v>
      </c>
      <c r="G334" s="18" t="s">
        <v>13</v>
      </c>
      <c r="H334" s="18" t="s">
        <v>14</v>
      </c>
      <c r="I334" s="18">
        <v>36900</v>
      </c>
      <c r="J334" s="18">
        <v>1</v>
      </c>
      <c r="K334" s="19">
        <f t="shared" si="15"/>
        <v>36900</v>
      </c>
      <c r="L334" s="20">
        <v>45015</v>
      </c>
      <c r="M334" s="19" t="str">
        <f t="shared" si="16"/>
        <v>Thursday</v>
      </c>
      <c r="N334" s="19" t="str">
        <f t="shared" si="17"/>
        <v>Weekday</v>
      </c>
      <c r="Q334" s="19"/>
      <c r="R334" s="18"/>
      <c r="S334" s="21"/>
      <c r="T334"/>
      <c r="U334" s="6"/>
      <c r="W334" s="7"/>
      <c r="Z334" s="4"/>
    </row>
    <row r="335" spans="1:26" x14ac:dyDescent="0.3">
      <c r="A335" t="s">
        <v>706</v>
      </c>
      <c r="B335" s="22" t="s">
        <v>38</v>
      </c>
      <c r="C335" s="23" t="s">
        <v>11</v>
      </c>
      <c r="D335" s="24" t="s">
        <v>322</v>
      </c>
      <c r="E335" s="25">
        <v>66</v>
      </c>
      <c r="F335" t="s">
        <v>381</v>
      </c>
      <c r="G335" s="24" t="s">
        <v>13</v>
      </c>
      <c r="H335" s="24" t="s">
        <v>14</v>
      </c>
      <c r="I335" s="24">
        <v>36900</v>
      </c>
      <c r="J335" s="24">
        <v>1</v>
      </c>
      <c r="K335" s="25">
        <f t="shared" si="15"/>
        <v>36900</v>
      </c>
      <c r="L335" s="26">
        <v>45231</v>
      </c>
      <c r="M335" s="25" t="str">
        <f t="shared" si="16"/>
        <v>Wednesday</v>
      </c>
      <c r="N335" s="25" t="str">
        <f t="shared" si="17"/>
        <v>Weekday</v>
      </c>
      <c r="Q335" s="25"/>
      <c r="R335" s="24"/>
      <c r="S335" s="27"/>
      <c r="T335"/>
      <c r="U335" s="6"/>
      <c r="W335" s="7"/>
      <c r="Z335" s="4"/>
    </row>
    <row r="336" spans="1:26" x14ac:dyDescent="0.3">
      <c r="A336" t="s">
        <v>707</v>
      </c>
      <c r="B336" s="16" t="s">
        <v>191</v>
      </c>
      <c r="C336" s="17" t="s">
        <v>11</v>
      </c>
      <c r="D336" s="18" t="s">
        <v>326</v>
      </c>
      <c r="E336" s="19">
        <v>69</v>
      </c>
      <c r="F336" t="s">
        <v>375</v>
      </c>
      <c r="G336" s="18" t="s">
        <v>42</v>
      </c>
      <c r="H336" s="18" t="s">
        <v>14</v>
      </c>
      <c r="I336" s="18">
        <v>98400</v>
      </c>
      <c r="J336" s="18">
        <v>3</v>
      </c>
      <c r="K336" s="19">
        <f t="shared" si="15"/>
        <v>295200</v>
      </c>
      <c r="L336" s="20">
        <v>45206</v>
      </c>
      <c r="M336" s="19" t="str">
        <f t="shared" si="16"/>
        <v>Saturday</v>
      </c>
      <c r="N336" s="19" t="str">
        <f t="shared" si="17"/>
        <v>Weekend</v>
      </c>
      <c r="Q336" s="19"/>
      <c r="R336" s="18"/>
      <c r="S336" s="21"/>
      <c r="T336"/>
      <c r="U336" s="6"/>
      <c r="W336" s="7"/>
      <c r="Z336" s="4"/>
    </row>
    <row r="337" spans="1:26" x14ac:dyDescent="0.3">
      <c r="A337" t="s">
        <v>708</v>
      </c>
      <c r="B337" s="22" t="s">
        <v>228</v>
      </c>
      <c r="C337" s="23" t="s">
        <v>11</v>
      </c>
      <c r="D337" s="24" t="s">
        <v>325</v>
      </c>
      <c r="E337" s="25">
        <v>33</v>
      </c>
      <c r="F337" t="s">
        <v>373</v>
      </c>
      <c r="G337" s="24" t="s">
        <v>32</v>
      </c>
      <c r="H337" s="24" t="s">
        <v>18</v>
      </c>
      <c r="I337" s="24">
        <v>3690</v>
      </c>
      <c r="J337" s="24">
        <v>2</v>
      </c>
      <c r="K337" s="25">
        <f t="shared" si="15"/>
        <v>7380</v>
      </c>
      <c r="L337" s="26">
        <v>45220</v>
      </c>
      <c r="M337" s="25" t="str">
        <f t="shared" si="16"/>
        <v>Saturday</v>
      </c>
      <c r="N337" s="25" t="str">
        <f t="shared" si="17"/>
        <v>Weekend</v>
      </c>
      <c r="Q337" s="25"/>
      <c r="R337" s="24"/>
      <c r="S337" s="27"/>
      <c r="T337"/>
      <c r="U337" s="6"/>
      <c r="W337" s="7"/>
      <c r="Z337" s="4"/>
    </row>
    <row r="338" spans="1:26" x14ac:dyDescent="0.3">
      <c r="A338" t="s">
        <v>709</v>
      </c>
      <c r="B338" s="16" t="s">
        <v>155</v>
      </c>
      <c r="C338" s="17" t="s">
        <v>11</v>
      </c>
      <c r="D338" s="18" t="s">
        <v>328</v>
      </c>
      <c r="E338" s="19">
        <v>43</v>
      </c>
      <c r="F338" t="s">
        <v>381</v>
      </c>
      <c r="G338" s="18" t="s">
        <v>13</v>
      </c>
      <c r="H338" s="18" t="s">
        <v>14</v>
      </c>
      <c r="I338" s="18">
        <v>36900</v>
      </c>
      <c r="J338" s="18">
        <v>3</v>
      </c>
      <c r="K338" s="19">
        <f t="shared" si="15"/>
        <v>110700</v>
      </c>
      <c r="L338" s="20">
        <v>45232</v>
      </c>
      <c r="M338" s="19" t="str">
        <f t="shared" si="16"/>
        <v>Thursday</v>
      </c>
      <c r="N338" s="19" t="str">
        <f t="shared" si="17"/>
        <v>Weekday</v>
      </c>
      <c r="Q338" s="19"/>
      <c r="R338" s="18"/>
      <c r="S338" s="21"/>
      <c r="T338"/>
      <c r="U338" s="6"/>
      <c r="W338" s="7"/>
      <c r="Z338" s="4"/>
    </row>
    <row r="339" spans="1:26" x14ac:dyDescent="0.3">
      <c r="A339" t="s">
        <v>710</v>
      </c>
      <c r="B339" s="22" t="s">
        <v>102</v>
      </c>
      <c r="C339" s="23" t="s">
        <v>20</v>
      </c>
      <c r="D339" s="24" t="s">
        <v>322</v>
      </c>
      <c r="E339" s="25">
        <v>48</v>
      </c>
      <c r="F339" t="s">
        <v>381</v>
      </c>
      <c r="G339" s="24" t="s">
        <v>17</v>
      </c>
      <c r="H339" s="24" t="s">
        <v>18</v>
      </c>
      <c r="I339" s="24">
        <v>12300</v>
      </c>
      <c r="J339" s="24">
        <v>1</v>
      </c>
      <c r="K339" s="25">
        <f t="shared" si="15"/>
        <v>12300</v>
      </c>
      <c r="L339" s="26">
        <v>44949</v>
      </c>
      <c r="M339" s="25" t="str">
        <f t="shared" si="16"/>
        <v>Monday</v>
      </c>
      <c r="N339" s="25" t="str">
        <f t="shared" si="17"/>
        <v>Weekday</v>
      </c>
      <c r="Q339" s="25"/>
      <c r="R339" s="24"/>
      <c r="S339" s="27"/>
      <c r="T339"/>
      <c r="U339" s="6"/>
      <c r="W339" s="7"/>
      <c r="Z339" s="4"/>
    </row>
    <row r="340" spans="1:26" x14ac:dyDescent="0.3">
      <c r="A340" t="s">
        <v>711</v>
      </c>
      <c r="B340" s="16" t="s">
        <v>51</v>
      </c>
      <c r="C340" s="17" t="s">
        <v>20</v>
      </c>
      <c r="D340" s="18" t="s">
        <v>324</v>
      </c>
      <c r="E340" s="19">
        <v>25</v>
      </c>
      <c r="F340" t="s">
        <v>373</v>
      </c>
      <c r="G340" s="18" t="s">
        <v>31</v>
      </c>
      <c r="H340" s="18" t="s">
        <v>18</v>
      </c>
      <c r="I340" s="18">
        <v>6150</v>
      </c>
      <c r="J340" s="18">
        <v>3</v>
      </c>
      <c r="K340" s="19">
        <f t="shared" si="15"/>
        <v>18450</v>
      </c>
      <c r="L340" s="20">
        <v>45217</v>
      </c>
      <c r="M340" s="19" t="str">
        <f t="shared" si="16"/>
        <v>Wednesday</v>
      </c>
      <c r="N340" s="19" t="str">
        <f t="shared" si="17"/>
        <v>Weekday</v>
      </c>
      <c r="Q340" s="19"/>
      <c r="R340" s="18"/>
      <c r="S340" s="21"/>
      <c r="T340"/>
      <c r="U340" s="6"/>
      <c r="W340" s="7"/>
      <c r="Z340" s="4"/>
    </row>
    <row r="341" spans="1:26" x14ac:dyDescent="0.3">
      <c r="A341" t="s">
        <v>712</v>
      </c>
      <c r="B341" s="22" t="s">
        <v>212</v>
      </c>
      <c r="C341" s="23" t="s">
        <v>20</v>
      </c>
      <c r="D341" s="24" t="s">
        <v>322</v>
      </c>
      <c r="E341" s="25">
        <v>54</v>
      </c>
      <c r="F341" t="s">
        <v>381</v>
      </c>
      <c r="G341" s="24" t="s">
        <v>42</v>
      </c>
      <c r="H341" s="24" t="s">
        <v>14</v>
      </c>
      <c r="I341" s="24">
        <v>98400</v>
      </c>
      <c r="J341" s="24">
        <v>4</v>
      </c>
      <c r="K341" s="25">
        <f t="shared" si="15"/>
        <v>393600</v>
      </c>
      <c r="L341" s="26">
        <v>45145</v>
      </c>
      <c r="M341" s="25" t="str">
        <f t="shared" si="16"/>
        <v>Monday</v>
      </c>
      <c r="N341" s="25" t="str">
        <f t="shared" si="17"/>
        <v>Weekday</v>
      </c>
      <c r="Q341" s="25"/>
      <c r="R341" s="24"/>
      <c r="S341" s="27"/>
      <c r="T341"/>
      <c r="U341" s="6"/>
      <c r="W341" s="7"/>
      <c r="Z341" s="4"/>
    </row>
    <row r="342" spans="1:26" x14ac:dyDescent="0.3">
      <c r="A342" t="s">
        <v>713</v>
      </c>
      <c r="B342" s="16" t="s">
        <v>67</v>
      </c>
      <c r="C342" s="17" t="s">
        <v>11</v>
      </c>
      <c r="D342" s="18" t="s">
        <v>327</v>
      </c>
      <c r="E342" s="19">
        <v>38</v>
      </c>
      <c r="F342" t="s">
        <v>381</v>
      </c>
      <c r="G342" s="18" t="s">
        <v>13</v>
      </c>
      <c r="H342" s="18" t="s">
        <v>14</v>
      </c>
      <c r="I342" s="18">
        <v>36900</v>
      </c>
      <c r="J342" s="18">
        <v>5</v>
      </c>
      <c r="K342" s="19">
        <f t="shared" si="15"/>
        <v>184500</v>
      </c>
      <c r="L342" s="20">
        <v>44931</v>
      </c>
      <c r="M342" s="19" t="str">
        <f t="shared" si="16"/>
        <v>Thursday</v>
      </c>
      <c r="N342" s="19" t="str">
        <f t="shared" si="17"/>
        <v>Weekday</v>
      </c>
      <c r="Q342" s="19"/>
      <c r="R342" s="18"/>
      <c r="S342" s="21"/>
      <c r="T342"/>
      <c r="U342" s="6"/>
      <c r="W342" s="7"/>
      <c r="Z342" s="4"/>
    </row>
    <row r="343" spans="1:26" x14ac:dyDescent="0.3">
      <c r="A343" t="s">
        <v>714</v>
      </c>
      <c r="B343" s="22" t="s">
        <v>147</v>
      </c>
      <c r="C343" s="23" t="s">
        <v>11</v>
      </c>
      <c r="D343" s="24" t="s">
        <v>322</v>
      </c>
      <c r="E343" s="25">
        <v>30</v>
      </c>
      <c r="F343" t="s">
        <v>375</v>
      </c>
      <c r="G343" s="24" t="s">
        <v>13</v>
      </c>
      <c r="H343" s="24" t="s">
        <v>14</v>
      </c>
      <c r="I343" s="24">
        <v>36900</v>
      </c>
      <c r="J343" s="24">
        <v>2</v>
      </c>
      <c r="K343" s="25">
        <f t="shared" si="15"/>
        <v>73800</v>
      </c>
      <c r="L343" s="26">
        <v>45132</v>
      </c>
      <c r="M343" s="25" t="str">
        <f t="shared" si="16"/>
        <v>Tuesday</v>
      </c>
      <c r="N343" s="25" t="str">
        <f t="shared" si="17"/>
        <v>Weekday</v>
      </c>
      <c r="Q343" s="25"/>
      <c r="R343" s="24"/>
      <c r="S343" s="27"/>
      <c r="T343"/>
      <c r="U343" s="6"/>
      <c r="W343" s="7"/>
      <c r="Z343" s="4"/>
    </row>
    <row r="344" spans="1:26" x14ac:dyDescent="0.3">
      <c r="A344" t="s">
        <v>715</v>
      </c>
      <c r="B344" s="16" t="s">
        <v>199</v>
      </c>
      <c r="C344" s="17" t="s">
        <v>20</v>
      </c>
      <c r="D344" s="18" t="s">
        <v>323</v>
      </c>
      <c r="E344" s="19">
        <v>45</v>
      </c>
      <c r="F344" t="s">
        <v>375</v>
      </c>
      <c r="G344" s="18" t="s">
        <v>26</v>
      </c>
      <c r="H344" s="18" t="s">
        <v>27</v>
      </c>
      <c r="I344" s="18">
        <v>24600</v>
      </c>
      <c r="J344" s="18">
        <v>3</v>
      </c>
      <c r="K344" s="19">
        <f t="shared" si="15"/>
        <v>73800</v>
      </c>
      <c r="L344" s="20">
        <v>45255</v>
      </c>
      <c r="M344" s="19" t="str">
        <f t="shared" si="16"/>
        <v>Saturday</v>
      </c>
      <c r="N344" s="19" t="str">
        <f t="shared" si="17"/>
        <v>Weekend</v>
      </c>
      <c r="Q344" s="19"/>
      <c r="R344" s="18"/>
      <c r="S344" s="21"/>
      <c r="T344"/>
      <c r="U344" s="6"/>
      <c r="W344" s="7"/>
      <c r="Z344" s="4"/>
    </row>
    <row r="345" spans="1:26" x14ac:dyDescent="0.3">
      <c r="A345" t="s">
        <v>716</v>
      </c>
      <c r="B345" s="22" t="s">
        <v>190</v>
      </c>
      <c r="C345" s="23" t="s">
        <v>366</v>
      </c>
      <c r="D345" s="24" t="s">
        <v>324</v>
      </c>
      <c r="E345" s="25">
        <v>52</v>
      </c>
      <c r="F345" t="s">
        <v>375</v>
      </c>
      <c r="G345" s="24" t="s">
        <v>32</v>
      </c>
      <c r="H345" s="24" t="s">
        <v>18</v>
      </c>
      <c r="I345" s="24">
        <v>3690</v>
      </c>
      <c r="J345" s="24">
        <v>3</v>
      </c>
      <c r="K345" s="25">
        <f t="shared" si="15"/>
        <v>11070</v>
      </c>
      <c r="L345" s="26">
        <v>45064</v>
      </c>
      <c r="M345" s="25" t="str">
        <f t="shared" si="16"/>
        <v>Thursday</v>
      </c>
      <c r="N345" s="25" t="str">
        <f t="shared" si="17"/>
        <v>Weekday</v>
      </c>
      <c r="Q345" s="25"/>
      <c r="R345" s="24"/>
      <c r="S345" s="27"/>
      <c r="T345"/>
      <c r="U345" s="6"/>
      <c r="W345" s="7"/>
      <c r="Z345" s="4"/>
    </row>
    <row r="346" spans="1:26" x14ac:dyDescent="0.3">
      <c r="A346" t="s">
        <v>717</v>
      </c>
      <c r="B346" s="16" t="s">
        <v>229</v>
      </c>
      <c r="C346" s="17" t="s">
        <v>11</v>
      </c>
      <c r="D346" s="18" t="s">
        <v>324</v>
      </c>
      <c r="E346" s="19">
        <v>66</v>
      </c>
      <c r="F346" t="s">
        <v>373</v>
      </c>
      <c r="G346" s="18" t="s">
        <v>32</v>
      </c>
      <c r="H346" s="18" t="s">
        <v>18</v>
      </c>
      <c r="I346" s="18">
        <v>3690</v>
      </c>
      <c r="J346" s="18">
        <v>2</v>
      </c>
      <c r="K346" s="19">
        <f t="shared" si="15"/>
        <v>7380</v>
      </c>
      <c r="L346" s="20">
        <v>45215</v>
      </c>
      <c r="M346" s="19" t="str">
        <f t="shared" si="16"/>
        <v>Monday</v>
      </c>
      <c r="N346" s="19" t="str">
        <f t="shared" si="17"/>
        <v>Weekday</v>
      </c>
      <c r="Q346" s="19"/>
      <c r="R346" s="18"/>
      <c r="S346" s="21"/>
      <c r="T346"/>
      <c r="U346" s="6"/>
      <c r="W346" s="7"/>
      <c r="Z346" s="4"/>
    </row>
    <row r="347" spans="1:26" x14ac:dyDescent="0.3">
      <c r="A347" t="s">
        <v>718</v>
      </c>
      <c r="B347" s="22" t="s">
        <v>80</v>
      </c>
      <c r="C347" s="23" t="s">
        <v>366</v>
      </c>
      <c r="D347" s="24" t="s">
        <v>325</v>
      </c>
      <c r="E347" s="25">
        <v>67</v>
      </c>
      <c r="F347" t="s">
        <v>370</v>
      </c>
      <c r="G347" s="24" t="s">
        <v>26</v>
      </c>
      <c r="H347" s="24" t="s">
        <v>27</v>
      </c>
      <c r="I347" s="24">
        <v>24600</v>
      </c>
      <c r="J347" s="24">
        <v>3</v>
      </c>
      <c r="K347" s="25">
        <f t="shared" si="15"/>
        <v>73800</v>
      </c>
      <c r="L347" s="26">
        <v>45012</v>
      </c>
      <c r="M347" s="25" t="str">
        <f t="shared" si="16"/>
        <v>Monday</v>
      </c>
      <c r="N347" s="25" t="str">
        <f t="shared" si="17"/>
        <v>Weekday</v>
      </c>
      <c r="Q347" s="25"/>
      <c r="R347" s="24"/>
      <c r="S347" s="27"/>
      <c r="T347"/>
      <c r="U347" s="6"/>
      <c r="W347" s="7"/>
      <c r="Z347" s="4"/>
    </row>
    <row r="348" spans="1:26" x14ac:dyDescent="0.3">
      <c r="A348" t="s">
        <v>719</v>
      </c>
      <c r="B348" s="16" t="s">
        <v>230</v>
      </c>
      <c r="C348" s="17" t="s">
        <v>11</v>
      </c>
      <c r="D348" s="18" t="s">
        <v>328</v>
      </c>
      <c r="E348" s="19">
        <v>22</v>
      </c>
      <c r="F348" t="s">
        <v>381</v>
      </c>
      <c r="G348" s="18" t="s">
        <v>32</v>
      </c>
      <c r="H348" s="18" t="s">
        <v>18</v>
      </c>
      <c r="I348" s="18">
        <v>3690</v>
      </c>
      <c r="J348" s="18">
        <v>4</v>
      </c>
      <c r="K348" s="19">
        <f t="shared" si="15"/>
        <v>14760</v>
      </c>
      <c r="L348" s="20">
        <v>45224</v>
      </c>
      <c r="M348" s="19" t="str">
        <f t="shared" si="16"/>
        <v>Wednesday</v>
      </c>
      <c r="N348" s="19" t="str">
        <f t="shared" si="17"/>
        <v>Weekday</v>
      </c>
      <c r="Q348" s="19"/>
      <c r="R348" s="18"/>
      <c r="S348" s="21"/>
      <c r="T348"/>
      <c r="U348" s="6"/>
      <c r="W348" s="7"/>
      <c r="Z348" s="4"/>
    </row>
    <row r="349" spans="1:26" x14ac:dyDescent="0.3">
      <c r="A349" t="s">
        <v>720</v>
      </c>
      <c r="B349" s="22" t="s">
        <v>34</v>
      </c>
      <c r="C349" s="23" t="s">
        <v>20</v>
      </c>
      <c r="D349" s="24" t="s">
        <v>323</v>
      </c>
      <c r="E349" s="25">
        <v>49</v>
      </c>
      <c r="F349" t="s">
        <v>373</v>
      </c>
      <c r="G349" s="24" t="s">
        <v>13</v>
      </c>
      <c r="H349" s="24" t="s">
        <v>14</v>
      </c>
      <c r="I349" s="24">
        <v>36900</v>
      </c>
      <c r="J349" s="24">
        <v>2</v>
      </c>
      <c r="K349" s="25">
        <f t="shared" si="15"/>
        <v>73800</v>
      </c>
      <c r="L349" s="26">
        <v>45190</v>
      </c>
      <c r="M349" s="25" t="str">
        <f t="shared" si="16"/>
        <v>Thursday</v>
      </c>
      <c r="N349" s="25" t="str">
        <f t="shared" si="17"/>
        <v>Weekday</v>
      </c>
      <c r="Q349" s="25"/>
      <c r="R349" s="24"/>
      <c r="S349" s="27"/>
      <c r="T349"/>
      <c r="U349" s="6"/>
      <c r="W349" s="7"/>
      <c r="Z349" s="4"/>
    </row>
    <row r="350" spans="1:26" x14ac:dyDescent="0.3">
      <c r="A350" t="s">
        <v>721</v>
      </c>
      <c r="B350" s="16" t="s">
        <v>307</v>
      </c>
      <c r="C350" s="17" t="s">
        <v>11</v>
      </c>
      <c r="D350" s="18" t="s">
        <v>322</v>
      </c>
      <c r="E350" s="19">
        <v>24</v>
      </c>
      <c r="F350" t="s">
        <v>370</v>
      </c>
      <c r="G350" s="18" t="s">
        <v>17</v>
      </c>
      <c r="H350" s="18" t="s">
        <v>18</v>
      </c>
      <c r="I350" s="18">
        <v>12300</v>
      </c>
      <c r="J350" s="18">
        <v>3</v>
      </c>
      <c r="K350" s="19">
        <f t="shared" si="15"/>
        <v>36900</v>
      </c>
      <c r="L350" s="20">
        <v>45489</v>
      </c>
      <c r="M350" s="19" t="str">
        <f t="shared" si="16"/>
        <v>Tuesday</v>
      </c>
      <c r="N350" s="19" t="str">
        <f t="shared" si="17"/>
        <v>Weekday</v>
      </c>
      <c r="Q350" s="19"/>
      <c r="R350" s="18"/>
      <c r="S350" s="21"/>
      <c r="T350"/>
      <c r="U350" s="6"/>
      <c r="W350" s="7"/>
      <c r="Z350" s="4"/>
    </row>
    <row r="351" spans="1:26" x14ac:dyDescent="0.3">
      <c r="A351" t="s">
        <v>722</v>
      </c>
      <c r="B351" s="22" t="s">
        <v>128</v>
      </c>
      <c r="C351" s="23" t="s">
        <v>11</v>
      </c>
      <c r="D351" s="24" t="s">
        <v>323</v>
      </c>
      <c r="E351" s="25">
        <v>50</v>
      </c>
      <c r="F351" t="s">
        <v>370</v>
      </c>
      <c r="G351" s="24" t="s">
        <v>24</v>
      </c>
      <c r="H351" s="24" t="s">
        <v>14</v>
      </c>
      <c r="I351" s="24">
        <v>184500</v>
      </c>
      <c r="J351" s="24">
        <v>1</v>
      </c>
      <c r="K351" s="25">
        <f t="shared" si="15"/>
        <v>184500</v>
      </c>
      <c r="L351" s="26">
        <v>44979</v>
      </c>
      <c r="M351" s="25" t="str">
        <f t="shared" si="16"/>
        <v>Wednesday</v>
      </c>
      <c r="N351" s="25" t="str">
        <f t="shared" si="17"/>
        <v>Weekday</v>
      </c>
      <c r="Q351" s="25"/>
      <c r="R351" s="24"/>
      <c r="S351" s="27"/>
      <c r="T351"/>
      <c r="U351" s="6"/>
      <c r="W351" s="7"/>
      <c r="Z351" s="4"/>
    </row>
    <row r="352" spans="1:26" x14ac:dyDescent="0.3">
      <c r="A352" t="s">
        <v>723</v>
      </c>
      <c r="B352" s="16" t="s">
        <v>115</v>
      </c>
      <c r="C352" s="17" t="s">
        <v>366</v>
      </c>
      <c r="D352" s="18" t="s">
        <v>323</v>
      </c>
      <c r="E352" s="19">
        <v>63</v>
      </c>
      <c r="F352" t="s">
        <v>373</v>
      </c>
      <c r="G352" s="18" t="s">
        <v>13</v>
      </c>
      <c r="H352" s="18" t="s">
        <v>14</v>
      </c>
      <c r="I352" s="18">
        <v>36900</v>
      </c>
      <c r="J352" s="18">
        <v>3</v>
      </c>
      <c r="K352" s="19">
        <f t="shared" si="15"/>
        <v>110700</v>
      </c>
      <c r="L352" s="20">
        <v>45161</v>
      </c>
      <c r="M352" s="19" t="str">
        <f t="shared" si="16"/>
        <v>Wednesday</v>
      </c>
      <c r="N352" s="19" t="str">
        <f t="shared" si="17"/>
        <v>Weekday</v>
      </c>
      <c r="Q352" s="19"/>
      <c r="R352" s="18"/>
      <c r="S352" s="21"/>
      <c r="T352"/>
      <c r="U352" s="6"/>
      <c r="W352" s="7"/>
      <c r="Z352" s="4"/>
    </row>
    <row r="353" spans="1:26" x14ac:dyDescent="0.3">
      <c r="A353" t="s">
        <v>724</v>
      </c>
      <c r="B353" s="22" t="s">
        <v>68</v>
      </c>
      <c r="C353" s="23" t="s">
        <v>11</v>
      </c>
      <c r="D353" s="24" t="s">
        <v>323</v>
      </c>
      <c r="E353" s="25">
        <v>44</v>
      </c>
      <c r="F353" t="s">
        <v>370</v>
      </c>
      <c r="G353" s="24" t="s">
        <v>31</v>
      </c>
      <c r="H353" s="24" t="s">
        <v>18</v>
      </c>
      <c r="I353" s="24">
        <v>6150</v>
      </c>
      <c r="J353" s="24">
        <v>2</v>
      </c>
      <c r="K353" s="25">
        <f t="shared" si="15"/>
        <v>12300</v>
      </c>
      <c r="L353" s="26">
        <v>45139</v>
      </c>
      <c r="M353" s="25" t="str">
        <f t="shared" si="16"/>
        <v>Tuesday</v>
      </c>
      <c r="N353" s="25" t="str">
        <f t="shared" si="17"/>
        <v>Weekday</v>
      </c>
      <c r="Q353" s="25"/>
      <c r="R353" s="24"/>
      <c r="S353" s="27"/>
      <c r="T353"/>
      <c r="U353" s="6"/>
      <c r="W353" s="7"/>
      <c r="Z353" s="4"/>
    </row>
    <row r="354" spans="1:26" x14ac:dyDescent="0.3">
      <c r="A354" t="s">
        <v>725</v>
      </c>
      <c r="B354" s="16" t="s">
        <v>232</v>
      </c>
      <c r="C354" s="17" t="s">
        <v>366</v>
      </c>
      <c r="D354" s="18" t="s">
        <v>323</v>
      </c>
      <c r="E354" s="19">
        <v>42</v>
      </c>
      <c r="F354" t="s">
        <v>375</v>
      </c>
      <c r="G354" s="18" t="s">
        <v>13</v>
      </c>
      <c r="H354" s="18" t="s">
        <v>14</v>
      </c>
      <c r="I354" s="18">
        <v>36900</v>
      </c>
      <c r="J354" s="18">
        <v>2</v>
      </c>
      <c r="K354" s="19">
        <f t="shared" si="15"/>
        <v>73800</v>
      </c>
      <c r="L354" s="20">
        <v>45144</v>
      </c>
      <c r="M354" s="19" t="str">
        <f t="shared" si="16"/>
        <v>Sunday</v>
      </c>
      <c r="N354" s="19" t="str">
        <f t="shared" si="17"/>
        <v>Weekday</v>
      </c>
      <c r="Q354" s="19"/>
      <c r="R354" s="18"/>
      <c r="S354" s="21"/>
      <c r="T354"/>
      <c r="U354" s="6"/>
      <c r="W354" s="7"/>
      <c r="Z354" s="4"/>
    </row>
    <row r="355" spans="1:26" x14ac:dyDescent="0.3">
      <c r="A355" t="s">
        <v>726</v>
      </c>
      <c r="B355" s="22" t="s">
        <v>140</v>
      </c>
      <c r="C355" s="23" t="s">
        <v>20</v>
      </c>
      <c r="D355" s="24" t="s">
        <v>327</v>
      </c>
      <c r="E355" s="25">
        <v>44</v>
      </c>
      <c r="F355" t="s">
        <v>373</v>
      </c>
      <c r="G355" s="24" t="s">
        <v>24</v>
      </c>
      <c r="H355" s="24" t="s">
        <v>14</v>
      </c>
      <c r="I355" s="24">
        <v>184500</v>
      </c>
      <c r="J355" s="24">
        <v>4</v>
      </c>
      <c r="K355" s="25">
        <f t="shared" si="15"/>
        <v>738000</v>
      </c>
      <c r="L355" s="26">
        <v>44927</v>
      </c>
      <c r="M355" s="25" t="str">
        <f t="shared" si="16"/>
        <v>Sunday</v>
      </c>
      <c r="N355" s="25" t="str">
        <f t="shared" si="17"/>
        <v>Weekday</v>
      </c>
      <c r="Q355" s="25"/>
      <c r="R355" s="24"/>
      <c r="S355" s="27"/>
      <c r="T355"/>
      <c r="U355" s="6"/>
      <c r="W355" s="7"/>
      <c r="Z355" s="4"/>
    </row>
    <row r="356" spans="1:26" x14ac:dyDescent="0.3">
      <c r="A356" t="s">
        <v>727</v>
      </c>
      <c r="B356" s="16" t="s">
        <v>82</v>
      </c>
      <c r="C356" s="17" t="s">
        <v>11</v>
      </c>
      <c r="D356" s="18" t="s">
        <v>322</v>
      </c>
      <c r="E356" s="19">
        <v>64</v>
      </c>
      <c r="F356" t="s">
        <v>381</v>
      </c>
      <c r="G356" s="18" t="s">
        <v>42</v>
      </c>
      <c r="H356" s="18" t="s">
        <v>14</v>
      </c>
      <c r="I356" s="18">
        <v>98400</v>
      </c>
      <c r="J356" s="18">
        <v>4</v>
      </c>
      <c r="K356" s="19">
        <f t="shared" si="15"/>
        <v>393600</v>
      </c>
      <c r="L356" s="20">
        <v>45201</v>
      </c>
      <c r="M356" s="19" t="str">
        <f t="shared" si="16"/>
        <v>Monday</v>
      </c>
      <c r="N356" s="19" t="str">
        <f t="shared" si="17"/>
        <v>Weekday</v>
      </c>
      <c r="Q356" s="19"/>
      <c r="R356" s="18"/>
      <c r="S356" s="21"/>
      <c r="T356"/>
      <c r="U356" s="6"/>
      <c r="W356" s="7"/>
      <c r="Z356" s="4"/>
    </row>
    <row r="357" spans="1:26" x14ac:dyDescent="0.3">
      <c r="A357" t="s">
        <v>728</v>
      </c>
      <c r="B357" s="22" t="s">
        <v>176</v>
      </c>
      <c r="C357" s="23" t="s">
        <v>11</v>
      </c>
      <c r="D357" s="24" t="s">
        <v>323</v>
      </c>
      <c r="E357" s="25">
        <v>54</v>
      </c>
      <c r="F357" t="s">
        <v>375</v>
      </c>
      <c r="G357" s="24" t="s">
        <v>13</v>
      </c>
      <c r="H357" s="24" t="s">
        <v>14</v>
      </c>
      <c r="I357" s="24">
        <v>36900</v>
      </c>
      <c r="J357" s="24">
        <v>4</v>
      </c>
      <c r="K357" s="25">
        <f t="shared" si="15"/>
        <v>147600</v>
      </c>
      <c r="L357" s="26">
        <v>45045</v>
      </c>
      <c r="M357" s="25" t="str">
        <f t="shared" si="16"/>
        <v>Saturday</v>
      </c>
      <c r="N357" s="25" t="str">
        <f t="shared" si="17"/>
        <v>Weekend</v>
      </c>
      <c r="Q357" s="25"/>
      <c r="R357" s="24"/>
      <c r="S357" s="27"/>
      <c r="T357"/>
      <c r="U357" s="6"/>
      <c r="W357" s="7"/>
      <c r="Z357" s="4"/>
    </row>
    <row r="358" spans="1:26" x14ac:dyDescent="0.3">
      <c r="A358" t="s">
        <v>729</v>
      </c>
      <c r="B358" s="16" t="s">
        <v>175</v>
      </c>
      <c r="C358" s="17" t="s">
        <v>20</v>
      </c>
      <c r="D358" s="18" t="s">
        <v>322</v>
      </c>
      <c r="E358" s="19">
        <v>60</v>
      </c>
      <c r="F358" t="s">
        <v>381</v>
      </c>
      <c r="G358" s="18" t="s">
        <v>26</v>
      </c>
      <c r="H358" s="18" t="s">
        <v>27</v>
      </c>
      <c r="I358" s="18">
        <v>24600</v>
      </c>
      <c r="J358" s="18">
        <v>2</v>
      </c>
      <c r="K358" s="19">
        <f t="shared" si="15"/>
        <v>49200</v>
      </c>
      <c r="L358" s="20">
        <v>45131</v>
      </c>
      <c r="M358" s="19" t="str">
        <f t="shared" si="16"/>
        <v>Monday</v>
      </c>
      <c r="N358" s="19" t="str">
        <f t="shared" si="17"/>
        <v>Weekday</v>
      </c>
      <c r="Q358" s="19"/>
      <c r="R358" s="18"/>
      <c r="S358" s="21"/>
      <c r="T358"/>
      <c r="U358" s="6"/>
      <c r="W358" s="7"/>
      <c r="Z358" s="4"/>
    </row>
    <row r="359" spans="1:26" x14ac:dyDescent="0.3">
      <c r="A359" t="s">
        <v>730</v>
      </c>
      <c r="B359" s="22" t="s">
        <v>190</v>
      </c>
      <c r="C359" s="23" t="s">
        <v>366</v>
      </c>
      <c r="D359" s="24" t="s">
        <v>324</v>
      </c>
      <c r="E359" s="25">
        <v>52</v>
      </c>
      <c r="F359" t="s">
        <v>370</v>
      </c>
      <c r="G359" s="24" t="s">
        <v>26</v>
      </c>
      <c r="H359" s="24" t="s">
        <v>27</v>
      </c>
      <c r="I359" s="24">
        <v>24600</v>
      </c>
      <c r="J359" s="24">
        <v>3</v>
      </c>
      <c r="K359" s="25">
        <f t="shared" si="15"/>
        <v>73800</v>
      </c>
      <c r="L359" s="26">
        <v>45186</v>
      </c>
      <c r="M359" s="25" t="str">
        <f t="shared" si="16"/>
        <v>Sunday</v>
      </c>
      <c r="N359" s="25" t="str">
        <f t="shared" si="17"/>
        <v>Weekday</v>
      </c>
      <c r="Q359" s="25"/>
      <c r="R359" s="24"/>
      <c r="S359" s="27"/>
      <c r="T359"/>
      <c r="U359" s="6"/>
      <c r="W359" s="7"/>
      <c r="Z359" s="4"/>
    </row>
    <row r="360" spans="1:26" x14ac:dyDescent="0.3">
      <c r="A360" t="s">
        <v>731</v>
      </c>
      <c r="B360" s="16" t="s">
        <v>142</v>
      </c>
      <c r="C360" s="17" t="s">
        <v>366</v>
      </c>
      <c r="D360" s="18" t="s">
        <v>323</v>
      </c>
      <c r="E360" s="19">
        <v>66</v>
      </c>
      <c r="F360" t="s">
        <v>375</v>
      </c>
      <c r="G360" s="18" t="s">
        <v>13</v>
      </c>
      <c r="H360" s="18" t="s">
        <v>14</v>
      </c>
      <c r="I360" s="18">
        <v>36900</v>
      </c>
      <c r="J360" s="18">
        <v>4</v>
      </c>
      <c r="K360" s="19">
        <f t="shared" si="15"/>
        <v>147600</v>
      </c>
      <c r="L360" s="20">
        <v>45195</v>
      </c>
      <c r="M360" s="19" t="str">
        <f t="shared" si="16"/>
        <v>Tuesday</v>
      </c>
      <c r="N360" s="19" t="str">
        <f t="shared" si="17"/>
        <v>Weekday</v>
      </c>
      <c r="Q360" s="19"/>
      <c r="R360" s="18"/>
      <c r="S360" s="21"/>
      <c r="T360"/>
      <c r="U360" s="6"/>
      <c r="W360" s="7"/>
      <c r="Z360" s="4"/>
    </row>
    <row r="361" spans="1:26" x14ac:dyDescent="0.3">
      <c r="A361" t="s">
        <v>732</v>
      </c>
      <c r="B361" s="22" t="s">
        <v>150</v>
      </c>
      <c r="C361" s="23" t="s">
        <v>11</v>
      </c>
      <c r="D361" s="24" t="s">
        <v>326</v>
      </c>
      <c r="E361" s="25">
        <v>56</v>
      </c>
      <c r="F361" t="s">
        <v>381</v>
      </c>
      <c r="G361" s="24" t="s">
        <v>17</v>
      </c>
      <c r="H361" s="24" t="s">
        <v>18</v>
      </c>
      <c r="I361" s="24">
        <v>12300</v>
      </c>
      <c r="J361" s="24">
        <v>4</v>
      </c>
      <c r="K361" s="25">
        <f t="shared" si="15"/>
        <v>49200</v>
      </c>
      <c r="L361" s="26">
        <v>45084</v>
      </c>
      <c r="M361" s="25" t="str">
        <f t="shared" si="16"/>
        <v>Wednesday</v>
      </c>
      <c r="N361" s="25" t="str">
        <f t="shared" si="17"/>
        <v>Weekday</v>
      </c>
      <c r="Q361" s="25"/>
      <c r="R361" s="24"/>
      <c r="S361" s="27"/>
      <c r="T361"/>
      <c r="U361" s="6"/>
      <c r="W361" s="7"/>
      <c r="Z361" s="4"/>
    </row>
    <row r="362" spans="1:26" x14ac:dyDescent="0.3">
      <c r="A362" t="s">
        <v>733</v>
      </c>
      <c r="B362" s="16" t="s">
        <v>233</v>
      </c>
      <c r="C362" s="17" t="s">
        <v>20</v>
      </c>
      <c r="D362" s="18" t="s">
        <v>327</v>
      </c>
      <c r="E362" s="19">
        <v>64</v>
      </c>
      <c r="F362" t="s">
        <v>373</v>
      </c>
      <c r="G362" s="18" t="s">
        <v>17</v>
      </c>
      <c r="H362" s="18" t="s">
        <v>18</v>
      </c>
      <c r="I362" s="18">
        <v>12300</v>
      </c>
      <c r="J362" s="18">
        <v>1</v>
      </c>
      <c r="K362" s="19">
        <f t="shared" si="15"/>
        <v>12300</v>
      </c>
      <c r="L362" s="20">
        <v>44997</v>
      </c>
      <c r="M362" s="19" t="str">
        <f t="shared" si="16"/>
        <v>Sunday</v>
      </c>
      <c r="N362" s="19" t="str">
        <f t="shared" si="17"/>
        <v>Weekday</v>
      </c>
      <c r="Q362" s="19"/>
      <c r="R362" s="18"/>
      <c r="S362" s="21"/>
      <c r="T362"/>
      <c r="U362" s="6"/>
      <c r="W362" s="7"/>
      <c r="Z362" s="4"/>
    </row>
    <row r="363" spans="1:26" x14ac:dyDescent="0.3">
      <c r="A363" t="s">
        <v>734</v>
      </c>
      <c r="B363" s="22" t="s">
        <v>234</v>
      </c>
      <c r="C363" s="23" t="s">
        <v>366</v>
      </c>
      <c r="D363" s="24" t="s">
        <v>322</v>
      </c>
      <c r="E363" s="25">
        <v>25</v>
      </c>
      <c r="F363" t="s">
        <v>370</v>
      </c>
      <c r="G363" s="24" t="s">
        <v>31</v>
      </c>
      <c r="H363" s="24" t="s">
        <v>18</v>
      </c>
      <c r="I363" s="24">
        <v>6150</v>
      </c>
      <c r="J363" s="24">
        <v>4</v>
      </c>
      <c r="K363" s="25">
        <f t="shared" si="15"/>
        <v>24600</v>
      </c>
      <c r="L363" s="26">
        <v>45223</v>
      </c>
      <c r="M363" s="25" t="str">
        <f t="shared" si="16"/>
        <v>Tuesday</v>
      </c>
      <c r="N363" s="25" t="str">
        <f t="shared" si="17"/>
        <v>Weekday</v>
      </c>
      <c r="Q363" s="25"/>
      <c r="R363" s="24"/>
      <c r="S363" s="27"/>
      <c r="T363"/>
      <c r="U363" s="6"/>
      <c r="W363" s="7"/>
      <c r="Z363" s="4"/>
    </row>
    <row r="364" spans="1:26" x14ac:dyDescent="0.3">
      <c r="A364" t="s">
        <v>735</v>
      </c>
      <c r="B364" s="16" t="s">
        <v>87</v>
      </c>
      <c r="C364" s="17" t="s">
        <v>20</v>
      </c>
      <c r="D364" s="18" t="s">
        <v>322</v>
      </c>
      <c r="E364" s="19">
        <v>41</v>
      </c>
      <c r="F364" t="s">
        <v>381</v>
      </c>
      <c r="G364" s="18" t="s">
        <v>42</v>
      </c>
      <c r="H364" s="18" t="s">
        <v>14</v>
      </c>
      <c r="I364" s="18">
        <v>98400</v>
      </c>
      <c r="J364" s="18">
        <v>5</v>
      </c>
      <c r="K364" s="19">
        <f t="shared" si="15"/>
        <v>492000</v>
      </c>
      <c r="L364" s="20">
        <v>45261</v>
      </c>
      <c r="M364" s="19" t="str">
        <f t="shared" si="16"/>
        <v>Friday</v>
      </c>
      <c r="N364" s="19" t="str">
        <f t="shared" si="17"/>
        <v>Weekend</v>
      </c>
      <c r="Q364" s="19"/>
      <c r="R364" s="18"/>
      <c r="S364" s="21"/>
      <c r="T364"/>
      <c r="U364" s="6"/>
      <c r="W364" s="7"/>
      <c r="Z364" s="4"/>
    </row>
    <row r="365" spans="1:26" x14ac:dyDescent="0.3">
      <c r="A365" t="s">
        <v>736</v>
      </c>
      <c r="B365" s="22" t="s">
        <v>106</v>
      </c>
      <c r="C365" s="23" t="s">
        <v>11</v>
      </c>
      <c r="D365" s="24" t="s">
        <v>322</v>
      </c>
      <c r="E365" s="25">
        <v>69</v>
      </c>
      <c r="F365" t="s">
        <v>370</v>
      </c>
      <c r="G365" s="24" t="s">
        <v>26</v>
      </c>
      <c r="H365" s="24" t="s">
        <v>27</v>
      </c>
      <c r="I365" s="24">
        <v>24600</v>
      </c>
      <c r="J365" s="24">
        <v>1</v>
      </c>
      <c r="K365" s="25">
        <f t="shared" si="15"/>
        <v>24600</v>
      </c>
      <c r="L365" s="26">
        <v>45154</v>
      </c>
      <c r="M365" s="25" t="str">
        <f t="shared" si="16"/>
        <v>Wednesday</v>
      </c>
      <c r="N365" s="25" t="str">
        <f t="shared" si="17"/>
        <v>Weekday</v>
      </c>
      <c r="Q365" s="25"/>
      <c r="R365" s="24"/>
      <c r="S365" s="27"/>
      <c r="T365"/>
      <c r="U365" s="6"/>
      <c r="W365" s="7"/>
      <c r="Z365" s="4"/>
    </row>
    <row r="366" spans="1:26" x14ac:dyDescent="0.3">
      <c r="A366" t="s">
        <v>737</v>
      </c>
      <c r="B366" s="16" t="s">
        <v>233</v>
      </c>
      <c r="C366" s="17" t="s">
        <v>20</v>
      </c>
      <c r="D366" s="18" t="s">
        <v>327</v>
      </c>
      <c r="E366" s="19">
        <v>64</v>
      </c>
      <c r="F366" t="s">
        <v>381</v>
      </c>
      <c r="G366" s="18" t="s">
        <v>31</v>
      </c>
      <c r="H366" s="18" t="s">
        <v>18</v>
      </c>
      <c r="I366" s="18">
        <v>6150</v>
      </c>
      <c r="J366" s="18">
        <v>1</v>
      </c>
      <c r="K366" s="19">
        <f t="shared" si="15"/>
        <v>6150</v>
      </c>
      <c r="L366" s="20">
        <v>44970</v>
      </c>
      <c r="M366" s="19" t="str">
        <f t="shared" si="16"/>
        <v>Monday</v>
      </c>
      <c r="N366" s="19" t="str">
        <f t="shared" si="17"/>
        <v>Weekday</v>
      </c>
      <c r="Q366" s="19"/>
      <c r="R366" s="18"/>
      <c r="S366" s="21"/>
      <c r="T366"/>
      <c r="U366" s="6"/>
      <c r="W366" s="7"/>
      <c r="Z366" s="4"/>
    </row>
    <row r="367" spans="1:26" x14ac:dyDescent="0.3">
      <c r="A367" t="s">
        <v>738</v>
      </c>
      <c r="B367" s="22" t="s">
        <v>235</v>
      </c>
      <c r="C367" s="23" t="s">
        <v>20</v>
      </c>
      <c r="D367" s="24" t="s">
        <v>326</v>
      </c>
      <c r="E367" s="25">
        <v>38</v>
      </c>
      <c r="F367" t="s">
        <v>373</v>
      </c>
      <c r="G367" s="24" t="s">
        <v>32</v>
      </c>
      <c r="H367" s="24" t="s">
        <v>18</v>
      </c>
      <c r="I367" s="24">
        <v>3690</v>
      </c>
      <c r="J367" s="24">
        <v>2</v>
      </c>
      <c r="K367" s="25">
        <f t="shared" si="15"/>
        <v>7380</v>
      </c>
      <c r="L367" s="26">
        <v>45258</v>
      </c>
      <c r="M367" s="25" t="str">
        <f t="shared" si="16"/>
        <v>Tuesday</v>
      </c>
      <c r="N367" s="25" t="str">
        <f t="shared" si="17"/>
        <v>Weekday</v>
      </c>
      <c r="Q367" s="25"/>
      <c r="R367" s="24"/>
      <c r="S367" s="27"/>
      <c r="T367"/>
      <c r="U367" s="6"/>
      <c r="W367" s="7"/>
      <c r="Z367" s="4"/>
    </row>
    <row r="368" spans="1:26" x14ac:dyDescent="0.3">
      <c r="A368" t="s">
        <v>739</v>
      </c>
      <c r="B368" s="16" t="s">
        <v>236</v>
      </c>
      <c r="C368" s="17" t="s">
        <v>20</v>
      </c>
      <c r="D368" s="18" t="s">
        <v>329</v>
      </c>
      <c r="E368" s="19">
        <v>18</v>
      </c>
      <c r="F368" t="s">
        <v>375</v>
      </c>
      <c r="G368" s="18" t="s">
        <v>24</v>
      </c>
      <c r="H368" s="18" t="s">
        <v>14</v>
      </c>
      <c r="I368" s="18">
        <v>184500</v>
      </c>
      <c r="J368" s="18">
        <v>2</v>
      </c>
      <c r="K368" s="19">
        <f t="shared" si="15"/>
        <v>369000</v>
      </c>
      <c r="L368" s="20">
        <v>45099</v>
      </c>
      <c r="M368" s="19" t="str">
        <f t="shared" si="16"/>
        <v>Thursday</v>
      </c>
      <c r="N368" s="19" t="str">
        <f t="shared" si="17"/>
        <v>Weekday</v>
      </c>
      <c r="Q368" s="19"/>
      <c r="R368" s="18"/>
      <c r="S368" s="21"/>
      <c r="T368"/>
      <c r="U368" s="6"/>
      <c r="W368" s="7"/>
      <c r="Z368" s="4"/>
    </row>
    <row r="369" spans="1:26" x14ac:dyDescent="0.3">
      <c r="A369" t="s">
        <v>740</v>
      </c>
      <c r="B369" s="22" t="s">
        <v>159</v>
      </c>
      <c r="C369" s="23" t="s">
        <v>20</v>
      </c>
      <c r="D369" s="24" t="s">
        <v>325</v>
      </c>
      <c r="E369" s="25">
        <v>56</v>
      </c>
      <c r="F369" t="s">
        <v>381</v>
      </c>
      <c r="G369" s="24" t="s">
        <v>32</v>
      </c>
      <c r="H369" s="24" t="s">
        <v>18</v>
      </c>
      <c r="I369" s="24">
        <v>3690</v>
      </c>
      <c r="J369" s="24">
        <v>5</v>
      </c>
      <c r="K369" s="25">
        <f t="shared" si="15"/>
        <v>18450</v>
      </c>
      <c r="L369" s="26">
        <v>45100</v>
      </c>
      <c r="M369" s="25" t="str">
        <f t="shared" si="16"/>
        <v>Friday</v>
      </c>
      <c r="N369" s="25" t="str">
        <f t="shared" si="17"/>
        <v>Weekend</v>
      </c>
      <c r="Q369" s="25"/>
      <c r="R369" s="24"/>
      <c r="S369" s="27"/>
      <c r="T369"/>
      <c r="U369" s="6"/>
      <c r="W369" s="7"/>
      <c r="Z369" s="4"/>
    </row>
    <row r="370" spans="1:26" x14ac:dyDescent="0.3">
      <c r="A370" t="s">
        <v>741</v>
      </c>
      <c r="B370" s="16" t="s">
        <v>213</v>
      </c>
      <c r="C370" s="17" t="s">
        <v>11</v>
      </c>
      <c r="D370" s="18" t="s">
        <v>326</v>
      </c>
      <c r="E370" s="19">
        <v>66</v>
      </c>
      <c r="F370" t="s">
        <v>370</v>
      </c>
      <c r="G370" s="18" t="s">
        <v>42</v>
      </c>
      <c r="H370" s="18" t="s">
        <v>14</v>
      </c>
      <c r="I370" s="18">
        <v>98400</v>
      </c>
      <c r="J370" s="18">
        <v>3</v>
      </c>
      <c r="K370" s="19">
        <f t="shared" si="15"/>
        <v>295200</v>
      </c>
      <c r="L370" s="20">
        <v>45135</v>
      </c>
      <c r="M370" s="19" t="str">
        <f t="shared" si="16"/>
        <v>Friday</v>
      </c>
      <c r="N370" s="19" t="str">
        <f t="shared" si="17"/>
        <v>Weekend</v>
      </c>
      <c r="Q370" s="19"/>
      <c r="R370" s="18"/>
      <c r="S370" s="21"/>
      <c r="T370"/>
      <c r="U370" s="6"/>
      <c r="W370" s="7"/>
      <c r="Z370" s="4"/>
    </row>
    <row r="371" spans="1:26" x14ac:dyDescent="0.3">
      <c r="A371" t="s">
        <v>742</v>
      </c>
      <c r="B371" s="22" t="s">
        <v>237</v>
      </c>
      <c r="C371" s="23" t="s">
        <v>366</v>
      </c>
      <c r="D371" s="24" t="s">
        <v>322</v>
      </c>
      <c r="E371" s="25">
        <v>23</v>
      </c>
      <c r="F371" t="s">
        <v>373</v>
      </c>
      <c r="G371" s="24" t="s">
        <v>42</v>
      </c>
      <c r="H371" s="24" t="s">
        <v>14</v>
      </c>
      <c r="I371" s="24">
        <v>98400</v>
      </c>
      <c r="J371" s="24">
        <v>1</v>
      </c>
      <c r="K371" s="25">
        <f t="shared" si="15"/>
        <v>98400</v>
      </c>
      <c r="L371" s="26">
        <v>45229</v>
      </c>
      <c r="M371" s="25" t="str">
        <f t="shared" si="16"/>
        <v>Monday</v>
      </c>
      <c r="N371" s="25" t="str">
        <f t="shared" si="17"/>
        <v>Weekday</v>
      </c>
      <c r="Q371" s="25"/>
      <c r="R371" s="24"/>
      <c r="S371" s="27"/>
      <c r="T371"/>
      <c r="U371" s="6"/>
      <c r="W371" s="7"/>
      <c r="Z371" s="4"/>
    </row>
    <row r="372" spans="1:26" x14ac:dyDescent="0.3">
      <c r="A372" t="s">
        <v>743</v>
      </c>
      <c r="B372" s="16" t="s">
        <v>75</v>
      </c>
      <c r="C372" s="17" t="s">
        <v>11</v>
      </c>
      <c r="D372" s="18" t="s">
        <v>322</v>
      </c>
      <c r="E372" s="19">
        <v>51</v>
      </c>
      <c r="F372" t="s">
        <v>375</v>
      </c>
      <c r="G372" s="18" t="s">
        <v>24</v>
      </c>
      <c r="H372" s="18" t="s">
        <v>14</v>
      </c>
      <c r="I372" s="18">
        <v>184500</v>
      </c>
      <c r="J372" s="18">
        <v>3</v>
      </c>
      <c r="K372" s="19">
        <f t="shared" si="15"/>
        <v>553500</v>
      </c>
      <c r="L372" s="20">
        <v>45240</v>
      </c>
      <c r="M372" s="19" t="str">
        <f t="shared" si="16"/>
        <v>Friday</v>
      </c>
      <c r="N372" s="19" t="str">
        <f t="shared" si="17"/>
        <v>Weekend</v>
      </c>
      <c r="Q372" s="19"/>
      <c r="R372" s="18"/>
      <c r="S372" s="21"/>
      <c r="T372"/>
      <c r="U372" s="6"/>
      <c r="W372" s="7"/>
      <c r="Z372" s="4"/>
    </row>
    <row r="373" spans="1:26" x14ac:dyDescent="0.3">
      <c r="A373" t="s">
        <v>744</v>
      </c>
      <c r="B373" s="22" t="s">
        <v>88</v>
      </c>
      <c r="C373" s="23" t="s">
        <v>20</v>
      </c>
      <c r="D373" s="24" t="s">
        <v>323</v>
      </c>
      <c r="E373" s="25">
        <v>61</v>
      </c>
      <c r="F373" t="s">
        <v>370</v>
      </c>
      <c r="G373" s="24" t="s">
        <v>13</v>
      </c>
      <c r="H373" s="24" t="s">
        <v>14</v>
      </c>
      <c r="I373" s="24">
        <v>36900</v>
      </c>
      <c r="J373" s="24">
        <v>5</v>
      </c>
      <c r="K373" s="25">
        <f t="shared" si="15"/>
        <v>184500</v>
      </c>
      <c r="L373" s="26">
        <v>45510</v>
      </c>
      <c r="M373" s="25" t="str">
        <f t="shared" si="16"/>
        <v>Tuesday</v>
      </c>
      <c r="N373" s="25" t="str">
        <f t="shared" si="17"/>
        <v>Weekday</v>
      </c>
      <c r="Q373" s="25"/>
      <c r="R373" s="24"/>
      <c r="S373" s="27"/>
      <c r="T373"/>
      <c r="U373" s="6"/>
      <c r="W373" s="7"/>
      <c r="Z373" s="4"/>
    </row>
    <row r="374" spans="1:26" x14ac:dyDescent="0.3">
      <c r="A374" t="s">
        <v>745</v>
      </c>
      <c r="B374" s="16" t="s">
        <v>70</v>
      </c>
      <c r="C374" s="17" t="s">
        <v>11</v>
      </c>
      <c r="D374" s="18" t="s">
        <v>329</v>
      </c>
      <c r="E374" s="19">
        <v>44</v>
      </c>
      <c r="F374" t="s">
        <v>373</v>
      </c>
      <c r="G374" s="18" t="s">
        <v>42</v>
      </c>
      <c r="H374" s="18" t="s">
        <v>14</v>
      </c>
      <c r="I374" s="18">
        <v>98400</v>
      </c>
      <c r="J374" s="18">
        <v>3</v>
      </c>
      <c r="K374" s="19">
        <f t="shared" si="15"/>
        <v>295200</v>
      </c>
      <c r="L374" s="20">
        <v>45080</v>
      </c>
      <c r="M374" s="19" t="str">
        <f t="shared" si="16"/>
        <v>Saturday</v>
      </c>
      <c r="N374" s="19" t="str">
        <f t="shared" si="17"/>
        <v>Weekend</v>
      </c>
      <c r="Q374" s="19"/>
      <c r="R374" s="18"/>
      <c r="S374" s="21"/>
      <c r="T374"/>
      <c r="U374" s="6"/>
      <c r="W374" s="7"/>
      <c r="Z374" s="4"/>
    </row>
    <row r="375" spans="1:26" x14ac:dyDescent="0.3">
      <c r="A375" t="s">
        <v>746</v>
      </c>
      <c r="B375" s="22" t="s">
        <v>136</v>
      </c>
      <c r="C375" s="23" t="s">
        <v>366</v>
      </c>
      <c r="D375" s="24" t="s">
        <v>322</v>
      </c>
      <c r="E375" s="25">
        <v>46</v>
      </c>
      <c r="F375" t="s">
        <v>370</v>
      </c>
      <c r="G375" s="24" t="s">
        <v>24</v>
      </c>
      <c r="H375" s="24" t="s">
        <v>14</v>
      </c>
      <c r="I375" s="24">
        <v>184500</v>
      </c>
      <c r="J375" s="24">
        <v>4</v>
      </c>
      <c r="K375" s="25">
        <f t="shared" si="15"/>
        <v>738000</v>
      </c>
      <c r="L375" s="26">
        <v>45106</v>
      </c>
      <c r="M375" s="25" t="str">
        <f t="shared" si="16"/>
        <v>Thursday</v>
      </c>
      <c r="N375" s="25" t="str">
        <f t="shared" si="17"/>
        <v>Weekday</v>
      </c>
      <c r="Q375" s="25"/>
      <c r="R375" s="24"/>
      <c r="S375" s="27"/>
      <c r="T375"/>
      <c r="U375" s="6"/>
      <c r="W375" s="7"/>
      <c r="Z375" s="4"/>
    </row>
    <row r="376" spans="1:26" x14ac:dyDescent="0.3">
      <c r="A376" t="s">
        <v>747</v>
      </c>
      <c r="B376" s="16" t="s">
        <v>206</v>
      </c>
      <c r="C376" s="17" t="s">
        <v>11</v>
      </c>
      <c r="D376" s="18" t="s">
        <v>322</v>
      </c>
      <c r="E376" s="19">
        <v>69</v>
      </c>
      <c r="F376" t="s">
        <v>373</v>
      </c>
      <c r="G376" s="18" t="s">
        <v>32</v>
      </c>
      <c r="H376" s="18" t="s">
        <v>18</v>
      </c>
      <c r="I376" s="18">
        <v>3690</v>
      </c>
      <c r="J376" s="18">
        <v>1</v>
      </c>
      <c r="K376" s="19">
        <f t="shared" si="15"/>
        <v>3690</v>
      </c>
      <c r="L376" s="20">
        <v>45205</v>
      </c>
      <c r="M376" s="19" t="str">
        <f t="shared" si="16"/>
        <v>Friday</v>
      </c>
      <c r="N376" s="19" t="str">
        <f t="shared" si="17"/>
        <v>Weekend</v>
      </c>
      <c r="Q376" s="19"/>
      <c r="R376" s="18"/>
      <c r="S376" s="21"/>
      <c r="T376"/>
      <c r="U376" s="6"/>
      <c r="W376" s="7"/>
      <c r="Z376" s="4"/>
    </row>
    <row r="377" spans="1:26" x14ac:dyDescent="0.3">
      <c r="A377" t="s">
        <v>748</v>
      </c>
      <c r="B377" s="22" t="s">
        <v>131</v>
      </c>
      <c r="C377" s="23" t="s">
        <v>20</v>
      </c>
      <c r="D377" s="24" t="s">
        <v>323</v>
      </c>
      <c r="E377" s="25">
        <v>62</v>
      </c>
      <c r="F377" t="s">
        <v>375</v>
      </c>
      <c r="G377" s="24" t="s">
        <v>42</v>
      </c>
      <c r="H377" s="24" t="s">
        <v>14</v>
      </c>
      <c r="I377" s="24">
        <v>98400</v>
      </c>
      <c r="J377" s="24">
        <v>3</v>
      </c>
      <c r="K377" s="25">
        <f t="shared" si="15"/>
        <v>295200</v>
      </c>
      <c r="L377" s="26">
        <v>45139</v>
      </c>
      <c r="M377" s="25" t="str">
        <f t="shared" si="16"/>
        <v>Tuesday</v>
      </c>
      <c r="N377" s="25" t="str">
        <f t="shared" si="17"/>
        <v>Weekday</v>
      </c>
      <c r="Q377" s="25"/>
      <c r="R377" s="24"/>
      <c r="S377" s="27"/>
      <c r="T377"/>
      <c r="U377" s="6"/>
      <c r="W377" s="7"/>
      <c r="Z377" s="4"/>
    </row>
    <row r="378" spans="1:26" x14ac:dyDescent="0.3">
      <c r="A378" t="s">
        <v>749</v>
      </c>
      <c r="B378" s="16" t="s">
        <v>172</v>
      </c>
      <c r="C378" s="17" t="s">
        <v>20</v>
      </c>
      <c r="D378" s="18" t="s">
        <v>327</v>
      </c>
      <c r="E378" s="19">
        <v>57</v>
      </c>
      <c r="F378" t="s">
        <v>375</v>
      </c>
      <c r="G378" s="18" t="s">
        <v>26</v>
      </c>
      <c r="H378" s="18" t="s">
        <v>27</v>
      </c>
      <c r="I378" s="18">
        <v>24600</v>
      </c>
      <c r="J378" s="18">
        <v>2</v>
      </c>
      <c r="K378" s="19">
        <f t="shared" si="15"/>
        <v>49200</v>
      </c>
      <c r="L378" s="20">
        <v>45064</v>
      </c>
      <c r="M378" s="19" t="str">
        <f t="shared" si="16"/>
        <v>Thursday</v>
      </c>
      <c r="N378" s="19" t="str">
        <f t="shared" si="17"/>
        <v>Weekday</v>
      </c>
      <c r="Q378" s="19"/>
      <c r="R378" s="18"/>
      <c r="S378" s="21"/>
      <c r="T378"/>
      <c r="U378" s="6"/>
      <c r="W378" s="7"/>
      <c r="Z378" s="4"/>
    </row>
    <row r="379" spans="1:26" x14ac:dyDescent="0.3">
      <c r="A379" t="s">
        <v>750</v>
      </c>
      <c r="B379" s="22" t="s">
        <v>139</v>
      </c>
      <c r="C379" s="23" t="s">
        <v>366</v>
      </c>
      <c r="D379" s="24" t="s">
        <v>324</v>
      </c>
      <c r="E379" s="25">
        <v>27</v>
      </c>
      <c r="F379" t="s">
        <v>370</v>
      </c>
      <c r="G379" s="24" t="s">
        <v>42</v>
      </c>
      <c r="H379" s="24" t="s">
        <v>14</v>
      </c>
      <c r="I379" s="24">
        <v>98400</v>
      </c>
      <c r="J379" s="24">
        <v>5</v>
      </c>
      <c r="K379" s="25">
        <f t="shared" si="15"/>
        <v>492000</v>
      </c>
      <c r="L379" s="26">
        <v>45048</v>
      </c>
      <c r="M379" s="25" t="str">
        <f t="shared" si="16"/>
        <v>Tuesday</v>
      </c>
      <c r="N379" s="25" t="str">
        <f t="shared" si="17"/>
        <v>Weekday</v>
      </c>
      <c r="Q379" s="25"/>
      <c r="R379" s="24"/>
      <c r="S379" s="27"/>
      <c r="T379"/>
      <c r="U379" s="6"/>
      <c r="W379" s="7"/>
      <c r="Z379" s="4"/>
    </row>
    <row r="380" spans="1:26" x14ac:dyDescent="0.3">
      <c r="A380" t="s">
        <v>751</v>
      </c>
      <c r="B380" s="16" t="s">
        <v>238</v>
      </c>
      <c r="C380" s="17" t="s">
        <v>366</v>
      </c>
      <c r="D380" s="18" t="s">
        <v>329</v>
      </c>
      <c r="E380" s="19">
        <v>57</v>
      </c>
      <c r="F380" t="s">
        <v>373</v>
      </c>
      <c r="G380" s="18" t="s">
        <v>42</v>
      </c>
      <c r="H380" s="18" t="s">
        <v>14</v>
      </c>
      <c r="I380" s="18">
        <v>98400</v>
      </c>
      <c r="J380" s="18">
        <v>1</v>
      </c>
      <c r="K380" s="19">
        <f t="shared" si="15"/>
        <v>98400</v>
      </c>
      <c r="L380" s="20">
        <v>45250</v>
      </c>
      <c r="M380" s="19" t="str">
        <f t="shared" si="16"/>
        <v>Monday</v>
      </c>
      <c r="N380" s="19" t="str">
        <f t="shared" si="17"/>
        <v>Weekday</v>
      </c>
      <c r="Q380" s="19"/>
      <c r="R380" s="18"/>
      <c r="S380" s="21"/>
      <c r="T380"/>
      <c r="U380" s="6"/>
      <c r="W380" s="7"/>
      <c r="Z380" s="4"/>
    </row>
    <row r="381" spans="1:26" x14ac:dyDescent="0.3">
      <c r="A381" t="s">
        <v>752</v>
      </c>
      <c r="B381" s="22" t="s">
        <v>71</v>
      </c>
      <c r="C381" s="23" t="s">
        <v>20</v>
      </c>
      <c r="D381" s="24" t="s">
        <v>323</v>
      </c>
      <c r="E381" s="25">
        <v>67</v>
      </c>
      <c r="F381" t="s">
        <v>381</v>
      </c>
      <c r="G381" s="24" t="s">
        <v>24</v>
      </c>
      <c r="H381" s="24" t="s">
        <v>14</v>
      </c>
      <c r="I381" s="24">
        <v>184500</v>
      </c>
      <c r="J381" s="24">
        <v>2</v>
      </c>
      <c r="K381" s="25">
        <f t="shared" si="15"/>
        <v>369000</v>
      </c>
      <c r="L381" s="26">
        <v>45148</v>
      </c>
      <c r="M381" s="25" t="str">
        <f t="shared" si="16"/>
        <v>Thursday</v>
      </c>
      <c r="N381" s="25" t="str">
        <f t="shared" si="17"/>
        <v>Weekday</v>
      </c>
      <c r="Q381" s="25"/>
      <c r="R381" s="24"/>
      <c r="S381" s="27"/>
      <c r="T381"/>
      <c r="U381" s="6"/>
      <c r="W381" s="7"/>
      <c r="Z381" s="4"/>
    </row>
    <row r="382" spans="1:26" x14ac:dyDescent="0.3">
      <c r="A382" t="s">
        <v>753</v>
      </c>
      <c r="B382" s="16" t="s">
        <v>106</v>
      </c>
      <c r="C382" s="17" t="s">
        <v>11</v>
      </c>
      <c r="D382" s="18" t="s">
        <v>322</v>
      </c>
      <c r="E382" s="19">
        <v>69</v>
      </c>
      <c r="F382" t="s">
        <v>375</v>
      </c>
      <c r="G382" s="18" t="s">
        <v>13</v>
      </c>
      <c r="H382" s="18" t="s">
        <v>14</v>
      </c>
      <c r="I382" s="18">
        <v>36900</v>
      </c>
      <c r="J382" s="18">
        <v>1</v>
      </c>
      <c r="K382" s="19">
        <f t="shared" si="15"/>
        <v>36900</v>
      </c>
      <c r="L382" s="20">
        <v>45021</v>
      </c>
      <c r="M382" s="19" t="str">
        <f t="shared" si="16"/>
        <v>Wednesday</v>
      </c>
      <c r="N382" s="19" t="str">
        <f t="shared" si="17"/>
        <v>Weekday</v>
      </c>
      <c r="Q382" s="19"/>
      <c r="R382" s="18"/>
      <c r="S382" s="21"/>
      <c r="T382"/>
      <c r="U382" s="6"/>
      <c r="W382" s="7"/>
      <c r="Z382" s="4"/>
    </row>
    <row r="383" spans="1:26" x14ac:dyDescent="0.3">
      <c r="A383" t="s">
        <v>754</v>
      </c>
      <c r="B383" s="22" t="s">
        <v>215</v>
      </c>
      <c r="C383" s="23" t="s">
        <v>20</v>
      </c>
      <c r="D383" s="24" t="s">
        <v>326</v>
      </c>
      <c r="E383" s="25">
        <v>49</v>
      </c>
      <c r="F383" t="s">
        <v>381</v>
      </c>
      <c r="G383" s="24" t="s">
        <v>32</v>
      </c>
      <c r="H383" s="24" t="s">
        <v>18</v>
      </c>
      <c r="I383" s="24">
        <v>3690</v>
      </c>
      <c r="J383" s="24">
        <v>1</v>
      </c>
      <c r="K383" s="25">
        <f t="shared" si="15"/>
        <v>3690</v>
      </c>
      <c r="L383" s="26">
        <v>45035</v>
      </c>
      <c r="M383" s="25" t="str">
        <f t="shared" si="16"/>
        <v>Wednesday</v>
      </c>
      <c r="N383" s="25" t="str">
        <f t="shared" si="17"/>
        <v>Weekday</v>
      </c>
      <c r="Q383" s="25"/>
      <c r="R383" s="24"/>
      <c r="S383" s="27"/>
      <c r="T383"/>
      <c r="U383" s="6"/>
      <c r="W383" s="7"/>
      <c r="Z383" s="4"/>
    </row>
    <row r="384" spans="1:26" x14ac:dyDescent="0.3">
      <c r="A384" t="s">
        <v>755</v>
      </c>
      <c r="B384" s="16" t="s">
        <v>209</v>
      </c>
      <c r="C384" s="17" t="s">
        <v>11</v>
      </c>
      <c r="D384" s="18" t="s">
        <v>329</v>
      </c>
      <c r="E384" s="19">
        <v>63</v>
      </c>
      <c r="F384" t="s">
        <v>381</v>
      </c>
      <c r="G384" s="18" t="s">
        <v>24</v>
      </c>
      <c r="H384" s="18" t="s">
        <v>14</v>
      </c>
      <c r="I384" s="18">
        <v>184500</v>
      </c>
      <c r="J384" s="18">
        <v>3</v>
      </c>
      <c r="K384" s="19">
        <f t="shared" si="15"/>
        <v>553500</v>
      </c>
      <c r="L384" s="20">
        <v>45290</v>
      </c>
      <c r="M384" s="19" t="str">
        <f t="shared" si="16"/>
        <v>Saturday</v>
      </c>
      <c r="N384" s="19" t="str">
        <f t="shared" si="17"/>
        <v>Weekend</v>
      </c>
      <c r="Q384" s="19"/>
      <c r="R384" s="18"/>
      <c r="S384" s="21"/>
      <c r="T384"/>
      <c r="U384" s="6"/>
      <c r="W384" s="7"/>
      <c r="Z384" s="4"/>
    </row>
    <row r="385" spans="1:26" x14ac:dyDescent="0.3">
      <c r="A385" t="s">
        <v>756</v>
      </c>
      <c r="B385" s="22" t="s">
        <v>240</v>
      </c>
      <c r="C385" s="23" t="s">
        <v>20</v>
      </c>
      <c r="D385" s="24" t="s">
        <v>323</v>
      </c>
      <c r="E385" s="25">
        <v>58</v>
      </c>
      <c r="F385" t="s">
        <v>370</v>
      </c>
      <c r="G385" s="24" t="s">
        <v>17</v>
      </c>
      <c r="H385" s="24" t="s">
        <v>18</v>
      </c>
      <c r="I385" s="24">
        <v>12300</v>
      </c>
      <c r="J385" s="24">
        <v>1</v>
      </c>
      <c r="K385" s="25">
        <f t="shared" si="15"/>
        <v>12300</v>
      </c>
      <c r="L385" s="26">
        <v>44940</v>
      </c>
      <c r="M385" s="25" t="str">
        <f t="shared" si="16"/>
        <v>Saturday</v>
      </c>
      <c r="N385" s="25" t="str">
        <f t="shared" si="17"/>
        <v>Weekend</v>
      </c>
      <c r="Q385" s="25"/>
      <c r="R385" s="24"/>
      <c r="S385" s="27"/>
      <c r="T385"/>
      <c r="U385" s="6"/>
      <c r="W385" s="7"/>
      <c r="Z385" s="4"/>
    </row>
    <row r="386" spans="1:26" x14ac:dyDescent="0.3">
      <c r="A386" t="s">
        <v>757</v>
      </c>
      <c r="B386" s="16" t="s">
        <v>36</v>
      </c>
      <c r="C386" s="17" t="s">
        <v>366</v>
      </c>
      <c r="D386" s="18" t="s">
        <v>324</v>
      </c>
      <c r="E386" s="19">
        <v>41</v>
      </c>
      <c r="F386" t="s">
        <v>370</v>
      </c>
      <c r="G386" s="18" t="s">
        <v>17</v>
      </c>
      <c r="H386" s="18" t="s">
        <v>18</v>
      </c>
      <c r="I386" s="18">
        <v>12300</v>
      </c>
      <c r="J386" s="18">
        <v>1</v>
      </c>
      <c r="K386" s="19">
        <f t="shared" ref="K386:K449" si="18">I386*J386</f>
        <v>12300</v>
      </c>
      <c r="L386" s="20">
        <v>45112</v>
      </c>
      <c r="M386" s="19" t="str">
        <f t="shared" ref="M386:M449" si="19">TEXT(L386, "dddd")</f>
        <v>Wednesday</v>
      </c>
      <c r="N386" s="19" t="str">
        <f t="shared" ref="N386:N449" si="20">IF(OR(WEEKDAY(L386, 2)=5, WEEKDAY(L386, 2)=6), "Weekend", "Weekday")</f>
        <v>Weekday</v>
      </c>
      <c r="Q386" s="19"/>
      <c r="R386" s="18"/>
      <c r="S386" s="21"/>
      <c r="T386"/>
      <c r="U386" s="6"/>
      <c r="W386" s="7"/>
      <c r="Z386" s="4"/>
    </row>
    <row r="387" spans="1:26" x14ac:dyDescent="0.3">
      <c r="A387" t="s">
        <v>758</v>
      </c>
      <c r="B387" s="22" t="s">
        <v>225</v>
      </c>
      <c r="C387" s="23" t="s">
        <v>11</v>
      </c>
      <c r="D387" s="24" t="s">
        <v>322</v>
      </c>
      <c r="E387" s="25">
        <v>20</v>
      </c>
      <c r="F387" t="s">
        <v>370</v>
      </c>
      <c r="G387" s="24" t="s">
        <v>13</v>
      </c>
      <c r="H387" s="24" t="s">
        <v>14</v>
      </c>
      <c r="I387" s="24">
        <v>36900</v>
      </c>
      <c r="J387" s="24">
        <v>4</v>
      </c>
      <c r="K387" s="25">
        <f t="shared" si="18"/>
        <v>147600</v>
      </c>
      <c r="L387" s="26">
        <v>45236</v>
      </c>
      <c r="M387" s="25" t="str">
        <f t="shared" si="19"/>
        <v>Monday</v>
      </c>
      <c r="N387" s="25" t="str">
        <f t="shared" si="20"/>
        <v>Weekday</v>
      </c>
      <c r="Q387" s="25"/>
      <c r="R387" s="24"/>
      <c r="S387" s="27"/>
      <c r="T387"/>
      <c r="U387" s="6"/>
      <c r="W387" s="7"/>
      <c r="Z387" s="4"/>
    </row>
    <row r="388" spans="1:26" x14ac:dyDescent="0.3">
      <c r="A388" t="s">
        <v>759</v>
      </c>
      <c r="B388" s="16" t="s">
        <v>70</v>
      </c>
      <c r="C388" s="17" t="s">
        <v>11</v>
      </c>
      <c r="D388" s="18" t="s">
        <v>329</v>
      </c>
      <c r="E388" s="19">
        <v>44</v>
      </c>
      <c r="F388" t="s">
        <v>373</v>
      </c>
      <c r="G388" s="18" t="s">
        <v>24</v>
      </c>
      <c r="H388" s="18" t="s">
        <v>14</v>
      </c>
      <c r="I388" s="18">
        <v>184500</v>
      </c>
      <c r="J388" s="18">
        <v>5</v>
      </c>
      <c r="K388" s="19">
        <f t="shared" si="18"/>
        <v>922500</v>
      </c>
      <c r="L388" s="20">
        <v>44946</v>
      </c>
      <c r="M388" s="19" t="str">
        <f t="shared" si="19"/>
        <v>Friday</v>
      </c>
      <c r="N388" s="19" t="str">
        <f t="shared" si="20"/>
        <v>Weekend</v>
      </c>
      <c r="Q388" s="19"/>
      <c r="R388" s="18"/>
      <c r="S388" s="21"/>
      <c r="T388"/>
      <c r="U388" s="6"/>
      <c r="W388" s="7"/>
      <c r="Z388" s="4"/>
    </row>
    <row r="389" spans="1:26" x14ac:dyDescent="0.3">
      <c r="A389" t="s">
        <v>760</v>
      </c>
      <c r="B389" s="22" t="s">
        <v>41</v>
      </c>
      <c r="C389" s="23" t="s">
        <v>11</v>
      </c>
      <c r="D389" s="24" t="s">
        <v>326</v>
      </c>
      <c r="E389" s="25">
        <v>30</v>
      </c>
      <c r="F389" t="s">
        <v>375</v>
      </c>
      <c r="G389" s="24" t="s">
        <v>13</v>
      </c>
      <c r="H389" s="24" t="s">
        <v>14</v>
      </c>
      <c r="I389" s="24">
        <v>36900</v>
      </c>
      <c r="J389" s="24">
        <v>5</v>
      </c>
      <c r="K389" s="25">
        <f t="shared" si="18"/>
        <v>184500</v>
      </c>
      <c r="L389" s="26">
        <v>45052</v>
      </c>
      <c r="M389" s="25" t="str">
        <f t="shared" si="19"/>
        <v>Saturday</v>
      </c>
      <c r="N389" s="25" t="str">
        <f t="shared" si="20"/>
        <v>Weekend</v>
      </c>
      <c r="Q389" s="25"/>
      <c r="R389" s="24"/>
      <c r="S389" s="27"/>
      <c r="T389"/>
      <c r="U389" s="6"/>
      <c r="W389" s="7"/>
      <c r="Z389" s="4"/>
    </row>
    <row r="390" spans="1:26" x14ac:dyDescent="0.3">
      <c r="A390" t="s">
        <v>761</v>
      </c>
      <c r="B390" s="16" t="s">
        <v>162</v>
      </c>
      <c r="C390" s="17" t="s">
        <v>11</v>
      </c>
      <c r="D390" s="18" t="s">
        <v>329</v>
      </c>
      <c r="E390" s="19">
        <v>27</v>
      </c>
      <c r="F390" t="s">
        <v>375</v>
      </c>
      <c r="G390" s="18" t="s">
        <v>17</v>
      </c>
      <c r="H390" s="18" t="s">
        <v>18</v>
      </c>
      <c r="I390" s="18">
        <v>12300</v>
      </c>
      <c r="J390" s="18">
        <v>2</v>
      </c>
      <c r="K390" s="19">
        <f t="shared" si="18"/>
        <v>24600</v>
      </c>
      <c r="L390" s="20">
        <v>45220</v>
      </c>
      <c r="M390" s="19" t="str">
        <f t="shared" si="19"/>
        <v>Saturday</v>
      </c>
      <c r="N390" s="19" t="str">
        <f t="shared" si="20"/>
        <v>Weekend</v>
      </c>
      <c r="Q390" s="19"/>
      <c r="R390" s="18"/>
      <c r="S390" s="21"/>
      <c r="T390"/>
      <c r="U390" s="6"/>
      <c r="W390" s="7"/>
      <c r="Z390" s="4"/>
    </row>
    <row r="391" spans="1:26" x14ac:dyDescent="0.3">
      <c r="A391" t="s">
        <v>762</v>
      </c>
      <c r="B391" s="22" t="s">
        <v>241</v>
      </c>
      <c r="C391" s="23" t="s">
        <v>11</v>
      </c>
      <c r="D391" s="24" t="s">
        <v>322</v>
      </c>
      <c r="E391" s="25">
        <v>56</v>
      </c>
      <c r="F391" t="s">
        <v>381</v>
      </c>
      <c r="G391" s="24" t="s">
        <v>13</v>
      </c>
      <c r="H391" s="24" t="s">
        <v>14</v>
      </c>
      <c r="I391" s="24">
        <v>36900</v>
      </c>
      <c r="J391" s="24">
        <v>3</v>
      </c>
      <c r="K391" s="25">
        <f t="shared" si="18"/>
        <v>110700</v>
      </c>
      <c r="L391" s="26">
        <v>45290</v>
      </c>
      <c r="M391" s="25" t="str">
        <f t="shared" si="19"/>
        <v>Saturday</v>
      </c>
      <c r="N391" s="25" t="str">
        <f t="shared" si="20"/>
        <v>Weekend</v>
      </c>
      <c r="Q391" s="25"/>
      <c r="R391" s="24"/>
      <c r="S391" s="27"/>
      <c r="T391"/>
      <c r="U391" s="6"/>
      <c r="W391" s="7"/>
      <c r="Z391" s="4"/>
    </row>
    <row r="392" spans="1:26" x14ac:dyDescent="0.3">
      <c r="A392" t="s">
        <v>763</v>
      </c>
      <c r="B392" s="16" t="s">
        <v>242</v>
      </c>
      <c r="C392" s="17" t="s">
        <v>20</v>
      </c>
      <c r="D392" s="18" t="s">
        <v>322</v>
      </c>
      <c r="E392" s="19">
        <v>27</v>
      </c>
      <c r="F392" t="s">
        <v>370</v>
      </c>
      <c r="G392" s="18" t="s">
        <v>31</v>
      </c>
      <c r="H392" s="18" t="s">
        <v>18</v>
      </c>
      <c r="I392" s="18">
        <v>6150</v>
      </c>
      <c r="J392" s="18">
        <v>1</v>
      </c>
      <c r="K392" s="19">
        <f t="shared" si="18"/>
        <v>6150</v>
      </c>
      <c r="L392" s="20">
        <v>45117</v>
      </c>
      <c r="M392" s="19" t="str">
        <f t="shared" si="19"/>
        <v>Monday</v>
      </c>
      <c r="N392" s="19" t="str">
        <f t="shared" si="20"/>
        <v>Weekday</v>
      </c>
      <c r="Q392" s="19"/>
      <c r="R392" s="18"/>
      <c r="S392" s="21"/>
      <c r="T392"/>
      <c r="U392" s="6"/>
      <c r="W392" s="7"/>
      <c r="Z392" s="4"/>
    </row>
    <row r="393" spans="1:26" x14ac:dyDescent="0.3">
      <c r="A393" t="s">
        <v>764</v>
      </c>
      <c r="B393" s="22" t="s">
        <v>84</v>
      </c>
      <c r="C393" s="23" t="s">
        <v>20</v>
      </c>
      <c r="D393" s="24" t="s">
        <v>322</v>
      </c>
      <c r="E393" s="25">
        <v>24</v>
      </c>
      <c r="F393" t="s">
        <v>373</v>
      </c>
      <c r="G393" s="24" t="s">
        <v>26</v>
      </c>
      <c r="H393" s="24" t="s">
        <v>27</v>
      </c>
      <c r="I393" s="24">
        <v>24600</v>
      </c>
      <c r="J393" s="24">
        <v>1</v>
      </c>
      <c r="K393" s="25">
        <f t="shared" si="18"/>
        <v>24600</v>
      </c>
      <c r="L393" s="26">
        <v>45338</v>
      </c>
      <c r="M393" s="25" t="str">
        <f t="shared" si="19"/>
        <v>Friday</v>
      </c>
      <c r="N393" s="25" t="str">
        <f t="shared" si="20"/>
        <v>Weekend</v>
      </c>
      <c r="Q393" s="25"/>
      <c r="R393" s="24"/>
      <c r="S393" s="27"/>
      <c r="T393"/>
      <c r="U393" s="6"/>
      <c r="W393" s="7"/>
      <c r="Z393" s="4"/>
    </row>
    <row r="394" spans="1:26" x14ac:dyDescent="0.3">
      <c r="A394" t="s">
        <v>765</v>
      </c>
      <c r="B394" s="16" t="s">
        <v>167</v>
      </c>
      <c r="C394" s="17" t="s">
        <v>11</v>
      </c>
      <c r="D394" s="18" t="s">
        <v>322</v>
      </c>
      <c r="E394" s="19">
        <v>66</v>
      </c>
      <c r="F394" t="s">
        <v>375</v>
      </c>
      <c r="G394" s="18" t="s">
        <v>32</v>
      </c>
      <c r="H394" s="18" t="s">
        <v>18</v>
      </c>
      <c r="I394" s="18">
        <v>3690</v>
      </c>
      <c r="J394" s="18">
        <v>4</v>
      </c>
      <c r="K394" s="19">
        <f t="shared" si="18"/>
        <v>14760</v>
      </c>
      <c r="L394" s="20">
        <v>44962</v>
      </c>
      <c r="M394" s="19" t="str">
        <f t="shared" si="19"/>
        <v>Sunday</v>
      </c>
      <c r="N394" s="19" t="str">
        <f t="shared" si="20"/>
        <v>Weekday</v>
      </c>
      <c r="Q394" s="19"/>
      <c r="R394" s="18"/>
      <c r="S394" s="21"/>
      <c r="T394"/>
      <c r="U394" s="6"/>
      <c r="W394" s="7"/>
      <c r="Z394" s="4"/>
    </row>
    <row r="395" spans="1:26" x14ac:dyDescent="0.3">
      <c r="A395" t="s">
        <v>766</v>
      </c>
      <c r="B395" s="22" t="s">
        <v>143</v>
      </c>
      <c r="C395" s="23" t="s">
        <v>20</v>
      </c>
      <c r="D395" s="24" t="s">
        <v>323</v>
      </c>
      <c r="E395" s="25">
        <v>39</v>
      </c>
      <c r="F395" t="s">
        <v>373</v>
      </c>
      <c r="G395" s="24" t="s">
        <v>24</v>
      </c>
      <c r="H395" s="24" t="s">
        <v>14</v>
      </c>
      <c r="I395" s="24">
        <v>184500</v>
      </c>
      <c r="J395" s="24">
        <v>3</v>
      </c>
      <c r="K395" s="25">
        <f t="shared" si="18"/>
        <v>553500</v>
      </c>
      <c r="L395" s="26">
        <v>44960</v>
      </c>
      <c r="M395" s="25" t="str">
        <f t="shared" si="19"/>
        <v>Friday</v>
      </c>
      <c r="N395" s="25" t="str">
        <f t="shared" si="20"/>
        <v>Weekend</v>
      </c>
      <c r="Q395" s="25"/>
      <c r="R395" s="24"/>
      <c r="S395" s="27"/>
      <c r="T395"/>
      <c r="U395" s="6"/>
      <c r="W395" s="7"/>
      <c r="Z395" s="4"/>
    </row>
    <row r="396" spans="1:26" x14ac:dyDescent="0.3">
      <c r="A396" t="s">
        <v>767</v>
      </c>
      <c r="B396" s="16" t="s">
        <v>243</v>
      </c>
      <c r="C396" s="17" t="s">
        <v>11</v>
      </c>
      <c r="D396" s="18" t="s">
        <v>323</v>
      </c>
      <c r="E396" s="19">
        <v>52</v>
      </c>
      <c r="F396" t="s">
        <v>370</v>
      </c>
      <c r="G396" s="18" t="s">
        <v>24</v>
      </c>
      <c r="H396" s="18" t="s">
        <v>14</v>
      </c>
      <c r="I396" s="18">
        <v>184500</v>
      </c>
      <c r="J396" s="18">
        <v>5</v>
      </c>
      <c r="K396" s="19">
        <f t="shared" si="18"/>
        <v>922500</v>
      </c>
      <c r="L396" s="20">
        <v>45252</v>
      </c>
      <c r="M396" s="19" t="str">
        <f t="shared" si="19"/>
        <v>Wednesday</v>
      </c>
      <c r="N396" s="19" t="str">
        <f t="shared" si="20"/>
        <v>Weekday</v>
      </c>
      <c r="Q396" s="19"/>
      <c r="R396" s="18"/>
      <c r="S396" s="21"/>
      <c r="T396"/>
      <c r="U396" s="6"/>
      <c r="W396" s="7"/>
      <c r="Z396" s="4"/>
    </row>
    <row r="397" spans="1:26" x14ac:dyDescent="0.3">
      <c r="A397" t="s">
        <v>768</v>
      </c>
      <c r="B397" s="22" t="s">
        <v>240</v>
      </c>
      <c r="C397" s="23" t="s">
        <v>20</v>
      </c>
      <c r="D397" s="24" t="s">
        <v>323</v>
      </c>
      <c r="E397" s="25">
        <v>58</v>
      </c>
      <c r="F397" t="s">
        <v>370</v>
      </c>
      <c r="G397" s="24" t="s">
        <v>42</v>
      </c>
      <c r="H397" s="24" t="s">
        <v>14</v>
      </c>
      <c r="I397" s="24">
        <v>98400</v>
      </c>
      <c r="J397" s="24">
        <v>3</v>
      </c>
      <c r="K397" s="25">
        <f t="shared" si="18"/>
        <v>295200</v>
      </c>
      <c r="L397" s="26">
        <v>45080</v>
      </c>
      <c r="M397" s="25" t="str">
        <f t="shared" si="19"/>
        <v>Saturday</v>
      </c>
      <c r="N397" s="25" t="str">
        <f t="shared" si="20"/>
        <v>Weekend</v>
      </c>
      <c r="Q397" s="25"/>
      <c r="R397" s="24"/>
      <c r="S397" s="27"/>
      <c r="T397"/>
      <c r="U397" s="6"/>
      <c r="W397" s="7"/>
      <c r="Z397" s="4"/>
    </row>
    <row r="398" spans="1:26" x14ac:dyDescent="0.3">
      <c r="A398" t="s">
        <v>769</v>
      </c>
      <c r="B398" s="16" t="s">
        <v>192</v>
      </c>
      <c r="C398" s="17" t="s">
        <v>20</v>
      </c>
      <c r="D398" s="18" t="s">
        <v>322</v>
      </c>
      <c r="E398" s="19">
        <v>59</v>
      </c>
      <c r="F398" t="s">
        <v>375</v>
      </c>
      <c r="G398" s="18" t="s">
        <v>32</v>
      </c>
      <c r="H398" s="18" t="s">
        <v>18</v>
      </c>
      <c r="I398" s="18">
        <v>3690</v>
      </c>
      <c r="J398" s="18">
        <v>3</v>
      </c>
      <c r="K398" s="19">
        <f t="shared" si="18"/>
        <v>11070</v>
      </c>
      <c r="L398" s="20">
        <v>45042</v>
      </c>
      <c r="M398" s="19" t="str">
        <f t="shared" si="19"/>
        <v>Wednesday</v>
      </c>
      <c r="N398" s="19" t="str">
        <f t="shared" si="20"/>
        <v>Weekday</v>
      </c>
      <c r="Q398" s="19"/>
      <c r="R398" s="18"/>
      <c r="S398" s="21"/>
      <c r="T398"/>
      <c r="U398" s="6"/>
      <c r="W398" s="7"/>
      <c r="Z398" s="4"/>
    </row>
    <row r="399" spans="1:26" x14ac:dyDescent="0.3">
      <c r="A399" t="s">
        <v>770</v>
      </c>
      <c r="B399" s="22" t="s">
        <v>167</v>
      </c>
      <c r="C399" s="23" t="s">
        <v>11</v>
      </c>
      <c r="D399" s="24" t="s">
        <v>322</v>
      </c>
      <c r="E399" s="25">
        <v>66</v>
      </c>
      <c r="F399" t="s">
        <v>381</v>
      </c>
      <c r="G399" s="24" t="s">
        <v>17</v>
      </c>
      <c r="H399" s="24" t="s">
        <v>18</v>
      </c>
      <c r="I399" s="24">
        <v>12300</v>
      </c>
      <c r="J399" s="24">
        <v>3</v>
      </c>
      <c r="K399" s="25">
        <f t="shared" si="18"/>
        <v>36900</v>
      </c>
      <c r="L399" s="26">
        <v>44998</v>
      </c>
      <c r="M399" s="25" t="str">
        <f t="shared" si="19"/>
        <v>Monday</v>
      </c>
      <c r="N399" s="25" t="str">
        <f t="shared" si="20"/>
        <v>Weekday</v>
      </c>
      <c r="Q399" s="25"/>
      <c r="R399" s="24"/>
      <c r="S399" s="27"/>
      <c r="T399"/>
      <c r="U399" s="6"/>
      <c r="W399" s="7"/>
      <c r="Z399" s="4"/>
    </row>
    <row r="400" spans="1:26" x14ac:dyDescent="0.3">
      <c r="A400" t="s">
        <v>771</v>
      </c>
      <c r="B400" s="16" t="s">
        <v>244</v>
      </c>
      <c r="C400" s="17" t="s">
        <v>20</v>
      </c>
      <c r="D400" s="18" t="s">
        <v>322</v>
      </c>
      <c r="E400" s="19">
        <v>68</v>
      </c>
      <c r="F400" t="s">
        <v>381</v>
      </c>
      <c r="G400" s="18" t="s">
        <v>24</v>
      </c>
      <c r="H400" s="18" t="s">
        <v>14</v>
      </c>
      <c r="I400" s="18">
        <v>184500</v>
      </c>
      <c r="J400" s="18">
        <v>5</v>
      </c>
      <c r="K400" s="19">
        <f t="shared" si="18"/>
        <v>922500</v>
      </c>
      <c r="L400" s="20">
        <v>44937</v>
      </c>
      <c r="M400" s="19" t="str">
        <f t="shared" si="19"/>
        <v>Wednesday</v>
      </c>
      <c r="N400" s="19" t="str">
        <f t="shared" si="20"/>
        <v>Weekday</v>
      </c>
      <c r="Q400" s="19"/>
      <c r="R400" s="18"/>
      <c r="S400" s="21"/>
      <c r="T400"/>
      <c r="U400" s="6"/>
      <c r="W400" s="7"/>
      <c r="Z400" s="4"/>
    </row>
    <row r="401" spans="1:26" x14ac:dyDescent="0.3">
      <c r="A401" t="s">
        <v>772</v>
      </c>
      <c r="B401" s="22" t="s">
        <v>237</v>
      </c>
      <c r="C401" s="23" t="s">
        <v>366</v>
      </c>
      <c r="D401" s="24" t="s">
        <v>322</v>
      </c>
      <c r="E401" s="25">
        <v>23</v>
      </c>
      <c r="F401" t="s">
        <v>370</v>
      </c>
      <c r="G401" s="24" t="s">
        <v>31</v>
      </c>
      <c r="H401" s="24" t="s">
        <v>18</v>
      </c>
      <c r="I401" s="24">
        <v>6150</v>
      </c>
      <c r="J401" s="24">
        <v>5</v>
      </c>
      <c r="K401" s="25">
        <f t="shared" si="18"/>
        <v>30750</v>
      </c>
      <c r="L401" s="26">
        <v>45026</v>
      </c>
      <c r="M401" s="25" t="str">
        <f t="shared" si="19"/>
        <v>Monday</v>
      </c>
      <c r="N401" s="25" t="str">
        <f t="shared" si="20"/>
        <v>Weekday</v>
      </c>
      <c r="Q401" s="25"/>
      <c r="R401" s="24"/>
      <c r="S401" s="27"/>
      <c r="T401"/>
      <c r="U401" s="6"/>
      <c r="W401" s="7"/>
      <c r="Z401" s="4"/>
    </row>
    <row r="402" spans="1:26" x14ac:dyDescent="0.3">
      <c r="A402" t="s">
        <v>773</v>
      </c>
      <c r="B402" s="16" t="s">
        <v>213</v>
      </c>
      <c r="C402" s="17" t="s">
        <v>11</v>
      </c>
      <c r="D402" s="18" t="s">
        <v>326</v>
      </c>
      <c r="E402" s="19">
        <v>66</v>
      </c>
      <c r="F402" t="s">
        <v>370</v>
      </c>
      <c r="G402" s="18" t="s">
        <v>26</v>
      </c>
      <c r="H402" s="18" t="s">
        <v>27</v>
      </c>
      <c r="I402" s="18">
        <v>24600</v>
      </c>
      <c r="J402" s="18">
        <v>5</v>
      </c>
      <c r="K402" s="19">
        <f t="shared" si="18"/>
        <v>123000</v>
      </c>
      <c r="L402" s="20">
        <v>44992</v>
      </c>
      <c r="M402" s="19" t="str">
        <f t="shared" si="19"/>
        <v>Tuesday</v>
      </c>
      <c r="N402" s="19" t="str">
        <f t="shared" si="20"/>
        <v>Weekday</v>
      </c>
      <c r="Q402" s="19"/>
      <c r="R402" s="18"/>
      <c r="S402" s="21"/>
      <c r="T402"/>
      <c r="U402" s="6"/>
      <c r="W402" s="7"/>
      <c r="Z402" s="4"/>
    </row>
    <row r="403" spans="1:26" x14ac:dyDescent="0.3">
      <c r="A403" t="s">
        <v>774</v>
      </c>
      <c r="B403" s="22" t="s">
        <v>194</v>
      </c>
      <c r="C403" s="23" t="s">
        <v>11</v>
      </c>
      <c r="D403" s="24" t="s">
        <v>323</v>
      </c>
      <c r="E403" s="25">
        <v>28</v>
      </c>
      <c r="F403" t="s">
        <v>381</v>
      </c>
      <c r="G403" s="24" t="s">
        <v>24</v>
      </c>
      <c r="H403" s="24" t="s">
        <v>14</v>
      </c>
      <c r="I403" s="24">
        <v>184500</v>
      </c>
      <c r="J403" s="24">
        <v>1</v>
      </c>
      <c r="K403" s="25">
        <f t="shared" si="18"/>
        <v>184500</v>
      </c>
      <c r="L403" s="26">
        <v>45169</v>
      </c>
      <c r="M403" s="25" t="str">
        <f t="shared" si="19"/>
        <v>Thursday</v>
      </c>
      <c r="N403" s="25" t="str">
        <f t="shared" si="20"/>
        <v>Weekday</v>
      </c>
      <c r="Q403" s="25"/>
      <c r="R403" s="24"/>
      <c r="S403" s="27"/>
      <c r="T403"/>
      <c r="U403" s="6"/>
      <c r="W403" s="7"/>
      <c r="Z403" s="4"/>
    </row>
    <row r="404" spans="1:26" x14ac:dyDescent="0.3">
      <c r="A404" t="s">
        <v>775</v>
      </c>
      <c r="B404" s="16" t="s">
        <v>40</v>
      </c>
      <c r="C404" s="17" t="s">
        <v>11</v>
      </c>
      <c r="D404" s="18" t="s">
        <v>323</v>
      </c>
      <c r="E404" s="19">
        <v>57</v>
      </c>
      <c r="F404" t="s">
        <v>370</v>
      </c>
      <c r="G404" s="18" t="s">
        <v>42</v>
      </c>
      <c r="H404" s="18" t="s">
        <v>14</v>
      </c>
      <c r="I404" s="18">
        <v>98400</v>
      </c>
      <c r="J404" s="18">
        <v>2</v>
      </c>
      <c r="K404" s="19">
        <f t="shared" si="18"/>
        <v>196800</v>
      </c>
      <c r="L404" s="20">
        <v>44928</v>
      </c>
      <c r="M404" s="19" t="str">
        <f t="shared" si="19"/>
        <v>Monday</v>
      </c>
      <c r="N404" s="19" t="str">
        <f t="shared" si="20"/>
        <v>Weekday</v>
      </c>
      <c r="Q404" s="19"/>
      <c r="R404" s="18"/>
      <c r="S404" s="21"/>
      <c r="T404"/>
      <c r="U404" s="6"/>
      <c r="W404" s="7"/>
      <c r="Z404" s="4"/>
    </row>
    <row r="405" spans="1:26" x14ac:dyDescent="0.3">
      <c r="A405" t="s">
        <v>776</v>
      </c>
      <c r="B405" s="22" t="s">
        <v>45</v>
      </c>
      <c r="C405" s="23" t="s">
        <v>20</v>
      </c>
      <c r="D405" s="24" t="s">
        <v>323</v>
      </c>
      <c r="E405" s="25">
        <v>37</v>
      </c>
      <c r="F405" t="s">
        <v>375</v>
      </c>
      <c r="G405" s="24" t="s">
        <v>24</v>
      </c>
      <c r="H405" s="24" t="s">
        <v>14</v>
      </c>
      <c r="I405" s="24">
        <v>184500</v>
      </c>
      <c r="J405" s="24">
        <v>2</v>
      </c>
      <c r="K405" s="25">
        <f t="shared" si="18"/>
        <v>369000</v>
      </c>
      <c r="L405" s="26">
        <v>44936</v>
      </c>
      <c r="M405" s="25" t="str">
        <f t="shared" si="19"/>
        <v>Tuesday</v>
      </c>
      <c r="N405" s="25" t="str">
        <f t="shared" si="20"/>
        <v>Weekday</v>
      </c>
      <c r="Q405" s="25"/>
      <c r="R405" s="24"/>
      <c r="S405" s="27"/>
      <c r="T405"/>
      <c r="U405" s="6"/>
      <c r="W405" s="7"/>
      <c r="Z405" s="4"/>
    </row>
    <row r="406" spans="1:26" x14ac:dyDescent="0.3">
      <c r="A406" t="s">
        <v>777</v>
      </c>
      <c r="B406" s="16" t="s">
        <v>47</v>
      </c>
      <c r="C406" s="17" t="s">
        <v>20</v>
      </c>
      <c r="D406" s="18" t="s">
        <v>324</v>
      </c>
      <c r="E406" s="19">
        <v>52</v>
      </c>
      <c r="F406" t="s">
        <v>375</v>
      </c>
      <c r="G406" s="18" t="s">
        <v>17</v>
      </c>
      <c r="H406" s="18" t="s">
        <v>18</v>
      </c>
      <c r="I406" s="18">
        <v>12300</v>
      </c>
      <c r="J406" s="18">
        <v>3</v>
      </c>
      <c r="K406" s="19">
        <f t="shared" si="18"/>
        <v>36900</v>
      </c>
      <c r="L406" s="20">
        <v>44942</v>
      </c>
      <c r="M406" s="19" t="str">
        <f t="shared" si="19"/>
        <v>Monday</v>
      </c>
      <c r="N406" s="19" t="str">
        <f t="shared" si="20"/>
        <v>Weekday</v>
      </c>
      <c r="Q406" s="19"/>
      <c r="R406" s="18"/>
      <c r="S406" s="21"/>
      <c r="T406"/>
      <c r="U406" s="6"/>
      <c r="W406" s="7"/>
      <c r="Z406" s="4"/>
    </row>
    <row r="407" spans="1:26" x14ac:dyDescent="0.3">
      <c r="A407" t="s">
        <v>778</v>
      </c>
      <c r="B407" s="22" t="s">
        <v>246</v>
      </c>
      <c r="C407" s="23" t="s">
        <v>11</v>
      </c>
      <c r="D407" s="24" t="s">
        <v>326</v>
      </c>
      <c r="E407" s="25">
        <v>23</v>
      </c>
      <c r="F407" t="s">
        <v>373</v>
      </c>
      <c r="G407" s="24" t="s">
        <v>26</v>
      </c>
      <c r="H407" s="24" t="s">
        <v>27</v>
      </c>
      <c r="I407" s="24">
        <v>24600</v>
      </c>
      <c r="J407" s="24">
        <v>3</v>
      </c>
      <c r="K407" s="25">
        <f t="shared" si="18"/>
        <v>73800</v>
      </c>
      <c r="L407" s="26">
        <v>45130</v>
      </c>
      <c r="M407" s="25" t="str">
        <f t="shared" si="19"/>
        <v>Sunday</v>
      </c>
      <c r="N407" s="25" t="str">
        <f t="shared" si="20"/>
        <v>Weekday</v>
      </c>
      <c r="Q407" s="25"/>
      <c r="R407" s="24"/>
      <c r="S407" s="27"/>
      <c r="T407"/>
      <c r="U407" s="6"/>
      <c r="W407" s="7"/>
      <c r="Z407" s="4"/>
    </row>
    <row r="408" spans="1:26" x14ac:dyDescent="0.3">
      <c r="A408" t="s">
        <v>779</v>
      </c>
      <c r="B408" s="16" t="s">
        <v>93</v>
      </c>
      <c r="C408" s="17" t="s">
        <v>366</v>
      </c>
      <c r="D408" s="18" t="s">
        <v>327</v>
      </c>
      <c r="E408" s="19">
        <v>54</v>
      </c>
      <c r="F408" t="s">
        <v>381</v>
      </c>
      <c r="G408" s="18" t="s">
        <v>32</v>
      </c>
      <c r="H408" s="18" t="s">
        <v>18</v>
      </c>
      <c r="I408" s="18">
        <v>3690</v>
      </c>
      <c r="J408" s="18">
        <v>5</v>
      </c>
      <c r="K408" s="19">
        <f t="shared" si="18"/>
        <v>18450</v>
      </c>
      <c r="L408" s="20">
        <v>45264</v>
      </c>
      <c r="M408" s="19" t="str">
        <f t="shared" si="19"/>
        <v>Monday</v>
      </c>
      <c r="N408" s="19" t="str">
        <f t="shared" si="20"/>
        <v>Weekday</v>
      </c>
      <c r="Q408" s="19"/>
      <c r="R408" s="18"/>
      <c r="S408" s="21"/>
      <c r="T408"/>
      <c r="U408" s="6"/>
      <c r="W408" s="7"/>
      <c r="Z408" s="4"/>
    </row>
    <row r="409" spans="1:26" x14ac:dyDescent="0.3">
      <c r="A409" t="s">
        <v>780</v>
      </c>
      <c r="B409" s="22" t="s">
        <v>102</v>
      </c>
      <c r="C409" s="23" t="s">
        <v>20</v>
      </c>
      <c r="D409" s="24" t="s">
        <v>322</v>
      </c>
      <c r="E409" s="25">
        <v>48</v>
      </c>
      <c r="F409" t="s">
        <v>370</v>
      </c>
      <c r="G409" s="24" t="s">
        <v>31</v>
      </c>
      <c r="H409" s="24" t="s">
        <v>18</v>
      </c>
      <c r="I409" s="24">
        <v>6150</v>
      </c>
      <c r="J409" s="24">
        <v>2</v>
      </c>
      <c r="K409" s="25">
        <f t="shared" si="18"/>
        <v>12300</v>
      </c>
      <c r="L409" s="26">
        <v>45025</v>
      </c>
      <c r="M409" s="25" t="str">
        <f t="shared" si="19"/>
        <v>Sunday</v>
      </c>
      <c r="N409" s="25" t="str">
        <f t="shared" si="20"/>
        <v>Weekday</v>
      </c>
      <c r="Q409" s="25"/>
      <c r="R409" s="24"/>
      <c r="S409" s="27"/>
      <c r="T409"/>
      <c r="U409" s="6"/>
      <c r="W409" s="7"/>
      <c r="Z409" s="4"/>
    </row>
    <row r="410" spans="1:26" x14ac:dyDescent="0.3">
      <c r="A410" t="s">
        <v>781</v>
      </c>
      <c r="B410" s="16" t="s">
        <v>126</v>
      </c>
      <c r="C410" s="17" t="s">
        <v>11</v>
      </c>
      <c r="D410" s="18" t="s">
        <v>329</v>
      </c>
      <c r="E410" s="19">
        <v>61</v>
      </c>
      <c r="F410" t="s">
        <v>373</v>
      </c>
      <c r="G410" s="18" t="s">
        <v>13</v>
      </c>
      <c r="H410" s="18" t="s">
        <v>14</v>
      </c>
      <c r="I410" s="18">
        <v>36900</v>
      </c>
      <c r="J410" s="18">
        <v>2</v>
      </c>
      <c r="K410" s="19">
        <f t="shared" si="18"/>
        <v>73800</v>
      </c>
      <c r="L410" s="20">
        <v>45041</v>
      </c>
      <c r="M410" s="19" t="str">
        <f t="shared" si="19"/>
        <v>Tuesday</v>
      </c>
      <c r="N410" s="19" t="str">
        <f t="shared" si="20"/>
        <v>Weekday</v>
      </c>
      <c r="Q410" s="19"/>
      <c r="R410" s="18"/>
      <c r="S410" s="21"/>
      <c r="T410"/>
      <c r="U410" s="6"/>
      <c r="W410" s="7"/>
      <c r="Z410" s="4"/>
    </row>
    <row r="411" spans="1:26" x14ac:dyDescent="0.3">
      <c r="A411" t="s">
        <v>782</v>
      </c>
      <c r="B411" s="22" t="s">
        <v>247</v>
      </c>
      <c r="C411" s="23" t="s">
        <v>20</v>
      </c>
      <c r="D411" s="24" t="s">
        <v>322</v>
      </c>
      <c r="E411" s="25">
        <v>57</v>
      </c>
      <c r="F411" t="s">
        <v>375</v>
      </c>
      <c r="G411" s="24" t="s">
        <v>17</v>
      </c>
      <c r="H411" s="24" t="s">
        <v>18</v>
      </c>
      <c r="I411" s="24">
        <v>12300</v>
      </c>
      <c r="J411" s="24">
        <v>4</v>
      </c>
      <c r="K411" s="25">
        <f t="shared" si="18"/>
        <v>49200</v>
      </c>
      <c r="L411" s="26">
        <v>44985</v>
      </c>
      <c r="M411" s="25" t="str">
        <f t="shared" si="19"/>
        <v>Tuesday</v>
      </c>
      <c r="N411" s="25" t="str">
        <f t="shared" si="20"/>
        <v>Weekday</v>
      </c>
      <c r="Q411" s="25"/>
      <c r="R411" s="24"/>
      <c r="S411" s="27"/>
      <c r="T411"/>
      <c r="U411" s="6"/>
      <c r="W411" s="7"/>
      <c r="Z411" s="4"/>
    </row>
    <row r="412" spans="1:26" x14ac:dyDescent="0.3">
      <c r="A412" t="s">
        <v>783</v>
      </c>
      <c r="B412" s="16" t="s">
        <v>60</v>
      </c>
      <c r="C412" s="17" t="s">
        <v>20</v>
      </c>
      <c r="D412" s="18" t="s">
        <v>322</v>
      </c>
      <c r="E412" s="19">
        <v>64</v>
      </c>
      <c r="F412" t="s">
        <v>381</v>
      </c>
      <c r="G412" s="18" t="s">
        <v>26</v>
      </c>
      <c r="H412" s="18" t="s">
        <v>27</v>
      </c>
      <c r="I412" s="18">
        <v>24600</v>
      </c>
      <c r="J412" s="18">
        <v>5</v>
      </c>
      <c r="K412" s="19">
        <f t="shared" si="18"/>
        <v>123000</v>
      </c>
      <c r="L412" s="20">
        <v>45055</v>
      </c>
      <c r="M412" s="19" t="str">
        <f t="shared" si="19"/>
        <v>Tuesday</v>
      </c>
      <c r="N412" s="19" t="str">
        <f t="shared" si="20"/>
        <v>Weekday</v>
      </c>
      <c r="Q412" s="19"/>
      <c r="R412" s="18"/>
      <c r="S412" s="21"/>
      <c r="T412"/>
      <c r="U412" s="6"/>
      <c r="W412" s="7"/>
      <c r="Z412" s="4"/>
    </row>
    <row r="413" spans="1:26" x14ac:dyDescent="0.3">
      <c r="A413" t="s">
        <v>784</v>
      </c>
      <c r="B413" s="22" t="s">
        <v>124</v>
      </c>
      <c r="C413" s="23" t="s">
        <v>20</v>
      </c>
      <c r="D413" s="24" t="s">
        <v>326</v>
      </c>
      <c r="E413" s="25">
        <v>19</v>
      </c>
      <c r="F413" t="s">
        <v>375</v>
      </c>
      <c r="G413" s="24" t="s">
        <v>13</v>
      </c>
      <c r="H413" s="24" t="s">
        <v>14</v>
      </c>
      <c r="I413" s="24">
        <v>36900</v>
      </c>
      <c r="J413" s="24">
        <v>5</v>
      </c>
      <c r="K413" s="25">
        <f t="shared" si="18"/>
        <v>184500</v>
      </c>
      <c r="L413" s="26">
        <v>45268</v>
      </c>
      <c r="M413" s="25" t="str">
        <f t="shared" si="19"/>
        <v>Friday</v>
      </c>
      <c r="N413" s="25" t="str">
        <f t="shared" si="20"/>
        <v>Weekend</v>
      </c>
      <c r="Q413" s="25"/>
      <c r="R413" s="24"/>
      <c r="S413" s="27"/>
      <c r="T413"/>
      <c r="U413" s="6"/>
      <c r="W413" s="7"/>
      <c r="Z413" s="4"/>
    </row>
    <row r="414" spans="1:26" x14ac:dyDescent="0.3">
      <c r="A414" t="s">
        <v>785</v>
      </c>
      <c r="B414" s="16" t="s">
        <v>164</v>
      </c>
      <c r="C414" s="17" t="s">
        <v>11</v>
      </c>
      <c r="D414" s="18" t="s">
        <v>327</v>
      </c>
      <c r="E414" s="19">
        <v>62</v>
      </c>
      <c r="F414" t="s">
        <v>370</v>
      </c>
      <c r="G414" s="18" t="s">
        <v>17</v>
      </c>
      <c r="H414" s="18" t="s">
        <v>18</v>
      </c>
      <c r="I414" s="18">
        <v>12300</v>
      </c>
      <c r="J414" s="18">
        <v>2</v>
      </c>
      <c r="K414" s="19">
        <f t="shared" si="18"/>
        <v>24600</v>
      </c>
      <c r="L414" s="20">
        <v>45231</v>
      </c>
      <c r="M414" s="19" t="str">
        <f t="shared" si="19"/>
        <v>Wednesday</v>
      </c>
      <c r="N414" s="19" t="str">
        <f t="shared" si="20"/>
        <v>Weekday</v>
      </c>
      <c r="Q414" s="19"/>
      <c r="R414" s="18"/>
      <c r="S414" s="21"/>
      <c r="T414"/>
      <c r="U414" s="6"/>
      <c r="W414" s="7"/>
      <c r="Z414" s="4"/>
    </row>
    <row r="415" spans="1:26" x14ac:dyDescent="0.3">
      <c r="A415" t="s">
        <v>786</v>
      </c>
      <c r="B415" s="22" t="s">
        <v>167</v>
      </c>
      <c r="C415" s="23" t="s">
        <v>11</v>
      </c>
      <c r="D415" s="24" t="s">
        <v>322</v>
      </c>
      <c r="E415" s="25">
        <v>66</v>
      </c>
      <c r="F415" t="s">
        <v>373</v>
      </c>
      <c r="G415" s="24" t="s">
        <v>32</v>
      </c>
      <c r="H415" s="24" t="s">
        <v>18</v>
      </c>
      <c r="I415" s="24">
        <v>3690</v>
      </c>
      <c r="J415" s="24">
        <v>2</v>
      </c>
      <c r="K415" s="25">
        <f t="shared" si="18"/>
        <v>7380</v>
      </c>
      <c r="L415" s="26">
        <v>45088</v>
      </c>
      <c r="M415" s="25" t="str">
        <f t="shared" si="19"/>
        <v>Sunday</v>
      </c>
      <c r="N415" s="25" t="str">
        <f t="shared" si="20"/>
        <v>Weekday</v>
      </c>
      <c r="Q415" s="25"/>
      <c r="R415" s="24"/>
      <c r="S415" s="27"/>
      <c r="T415"/>
      <c r="U415" s="6"/>
      <c r="W415" s="7"/>
      <c r="Z415" s="4"/>
    </row>
    <row r="416" spans="1:26" x14ac:dyDescent="0.3">
      <c r="A416" t="s">
        <v>787</v>
      </c>
      <c r="B416" s="16" t="s">
        <v>219</v>
      </c>
      <c r="C416" s="17" t="s">
        <v>11</v>
      </c>
      <c r="D416" s="18" t="s">
        <v>328</v>
      </c>
      <c r="E416" s="19">
        <v>69</v>
      </c>
      <c r="F416" t="s">
        <v>370</v>
      </c>
      <c r="G416" s="18" t="s">
        <v>26</v>
      </c>
      <c r="H416" s="18" t="s">
        <v>27</v>
      </c>
      <c r="I416" s="18">
        <v>24600</v>
      </c>
      <c r="J416" s="18">
        <v>4</v>
      </c>
      <c r="K416" s="19">
        <f t="shared" si="18"/>
        <v>98400</v>
      </c>
      <c r="L416" s="20">
        <v>45208</v>
      </c>
      <c r="M416" s="19" t="str">
        <f t="shared" si="19"/>
        <v>Monday</v>
      </c>
      <c r="N416" s="19" t="str">
        <f t="shared" si="20"/>
        <v>Weekday</v>
      </c>
      <c r="Q416" s="19"/>
      <c r="R416" s="18"/>
      <c r="S416" s="21"/>
      <c r="T416"/>
      <c r="U416" s="6"/>
      <c r="W416" s="7"/>
      <c r="Z416" s="4"/>
    </row>
    <row r="417" spans="1:26" x14ac:dyDescent="0.3">
      <c r="A417" t="s">
        <v>788</v>
      </c>
      <c r="B417" s="22" t="s">
        <v>142</v>
      </c>
      <c r="C417" s="23" t="s">
        <v>366</v>
      </c>
      <c r="D417" s="24" t="s">
        <v>323</v>
      </c>
      <c r="E417" s="25">
        <v>66</v>
      </c>
      <c r="F417" t="s">
        <v>370</v>
      </c>
      <c r="G417" s="24" t="s">
        <v>24</v>
      </c>
      <c r="H417" s="24" t="s">
        <v>14</v>
      </c>
      <c r="I417" s="24">
        <v>184500</v>
      </c>
      <c r="J417" s="24">
        <v>4</v>
      </c>
      <c r="K417" s="25">
        <f t="shared" si="18"/>
        <v>738000</v>
      </c>
      <c r="L417" s="26">
        <v>45192</v>
      </c>
      <c r="M417" s="25" t="str">
        <f t="shared" si="19"/>
        <v>Saturday</v>
      </c>
      <c r="N417" s="25" t="str">
        <f t="shared" si="20"/>
        <v>Weekend</v>
      </c>
      <c r="Q417" s="25"/>
      <c r="R417" s="24"/>
      <c r="S417" s="27"/>
      <c r="T417"/>
      <c r="U417" s="6"/>
      <c r="W417" s="7"/>
      <c r="Z417" s="4"/>
    </row>
    <row r="418" spans="1:26" x14ac:dyDescent="0.3">
      <c r="A418" t="s">
        <v>789</v>
      </c>
      <c r="B418" s="16" t="s">
        <v>248</v>
      </c>
      <c r="C418" s="17" t="s">
        <v>366</v>
      </c>
      <c r="D418" s="18" t="s">
        <v>322</v>
      </c>
      <c r="E418" s="19">
        <v>54</v>
      </c>
      <c r="F418" t="s">
        <v>381</v>
      </c>
      <c r="G418" s="18" t="s">
        <v>42</v>
      </c>
      <c r="H418" s="18" t="s">
        <v>14</v>
      </c>
      <c r="I418" s="18">
        <v>98400</v>
      </c>
      <c r="J418" s="18">
        <v>2</v>
      </c>
      <c r="K418" s="19">
        <f t="shared" si="18"/>
        <v>196800</v>
      </c>
      <c r="L418" s="20">
        <v>45022</v>
      </c>
      <c r="M418" s="19" t="str">
        <f t="shared" si="19"/>
        <v>Thursday</v>
      </c>
      <c r="N418" s="19" t="str">
        <f t="shared" si="20"/>
        <v>Weekday</v>
      </c>
      <c r="Q418" s="19"/>
      <c r="R418" s="18"/>
      <c r="S418" s="21"/>
      <c r="T418"/>
      <c r="U418" s="6"/>
      <c r="W418" s="7"/>
      <c r="Z418" s="4"/>
    </row>
    <row r="419" spans="1:26" x14ac:dyDescent="0.3">
      <c r="A419" t="s">
        <v>790</v>
      </c>
      <c r="B419" s="22" t="s">
        <v>43</v>
      </c>
      <c r="C419" s="23" t="s">
        <v>11</v>
      </c>
      <c r="D419" s="24" t="s">
        <v>323</v>
      </c>
      <c r="E419" s="25">
        <v>32</v>
      </c>
      <c r="F419" t="s">
        <v>381</v>
      </c>
      <c r="G419" s="24" t="s">
        <v>24</v>
      </c>
      <c r="H419" s="24" t="s">
        <v>14</v>
      </c>
      <c r="I419" s="24">
        <v>184500</v>
      </c>
      <c r="J419" s="24">
        <v>3</v>
      </c>
      <c r="K419" s="25">
        <f t="shared" si="18"/>
        <v>553500</v>
      </c>
      <c r="L419" s="26">
        <v>45247</v>
      </c>
      <c r="M419" s="25" t="str">
        <f t="shared" si="19"/>
        <v>Friday</v>
      </c>
      <c r="N419" s="25" t="str">
        <f t="shared" si="20"/>
        <v>Weekend</v>
      </c>
      <c r="Q419" s="25"/>
      <c r="R419" s="24"/>
      <c r="S419" s="27"/>
      <c r="T419"/>
      <c r="U419" s="6"/>
      <c r="W419" s="7"/>
      <c r="Z419" s="4"/>
    </row>
    <row r="420" spans="1:26" x14ac:dyDescent="0.3">
      <c r="A420" t="s">
        <v>791</v>
      </c>
      <c r="B420" s="16" t="s">
        <v>129</v>
      </c>
      <c r="C420" s="17" t="s">
        <v>20</v>
      </c>
      <c r="D420" s="18" t="s">
        <v>329</v>
      </c>
      <c r="E420" s="19">
        <v>38</v>
      </c>
      <c r="F420" t="s">
        <v>370</v>
      </c>
      <c r="G420" s="18" t="s">
        <v>13</v>
      </c>
      <c r="H420" s="18" t="s">
        <v>14</v>
      </c>
      <c r="I420" s="18">
        <v>36900</v>
      </c>
      <c r="J420" s="18">
        <v>1</v>
      </c>
      <c r="K420" s="19">
        <f t="shared" si="18"/>
        <v>36900</v>
      </c>
      <c r="L420" s="20">
        <v>44964</v>
      </c>
      <c r="M420" s="19" t="str">
        <f t="shared" si="19"/>
        <v>Tuesday</v>
      </c>
      <c r="N420" s="19" t="str">
        <f t="shared" si="20"/>
        <v>Weekday</v>
      </c>
      <c r="Q420" s="19"/>
      <c r="R420" s="18"/>
      <c r="S420" s="21"/>
      <c r="T420"/>
      <c r="U420" s="6"/>
      <c r="W420" s="7"/>
      <c r="Z420" s="4"/>
    </row>
    <row r="421" spans="1:26" x14ac:dyDescent="0.3">
      <c r="A421" t="s">
        <v>792</v>
      </c>
      <c r="B421" s="22" t="s">
        <v>249</v>
      </c>
      <c r="C421" s="23" t="s">
        <v>20</v>
      </c>
      <c r="D421" s="24" t="s">
        <v>322</v>
      </c>
      <c r="E421" s="25">
        <v>37</v>
      </c>
      <c r="F421" t="s">
        <v>381</v>
      </c>
      <c r="G421" s="24" t="s">
        <v>17</v>
      </c>
      <c r="H421" s="24" t="s">
        <v>18</v>
      </c>
      <c r="I421" s="24">
        <v>12300</v>
      </c>
      <c r="J421" s="24">
        <v>3</v>
      </c>
      <c r="K421" s="25">
        <f t="shared" si="18"/>
        <v>36900</v>
      </c>
      <c r="L421" s="26">
        <v>45199</v>
      </c>
      <c r="M421" s="25" t="str">
        <f t="shared" si="19"/>
        <v>Saturday</v>
      </c>
      <c r="N421" s="25" t="str">
        <f t="shared" si="20"/>
        <v>Weekend</v>
      </c>
      <c r="Q421" s="25"/>
      <c r="R421" s="24"/>
      <c r="S421" s="27"/>
      <c r="T421"/>
      <c r="U421" s="6"/>
      <c r="W421" s="7"/>
      <c r="Z421" s="4"/>
    </row>
    <row r="422" spans="1:26" x14ac:dyDescent="0.3">
      <c r="A422" t="s">
        <v>793</v>
      </c>
      <c r="B422" s="16" t="s">
        <v>69</v>
      </c>
      <c r="C422" s="17" t="s">
        <v>11</v>
      </c>
      <c r="D422" s="18" t="s">
        <v>322</v>
      </c>
      <c r="E422" s="19">
        <v>68</v>
      </c>
      <c r="F422" t="s">
        <v>373</v>
      </c>
      <c r="G422" s="18" t="s">
        <v>26</v>
      </c>
      <c r="H422" s="18" t="s">
        <v>27</v>
      </c>
      <c r="I422" s="18">
        <v>24600</v>
      </c>
      <c r="J422" s="18">
        <v>3</v>
      </c>
      <c r="K422" s="19">
        <f t="shared" si="18"/>
        <v>73800</v>
      </c>
      <c r="L422" s="20">
        <v>45156</v>
      </c>
      <c r="M422" s="19" t="str">
        <f t="shared" si="19"/>
        <v>Friday</v>
      </c>
      <c r="N422" s="19" t="str">
        <f t="shared" si="20"/>
        <v>Weekend</v>
      </c>
      <c r="Q422" s="19"/>
      <c r="R422" s="18"/>
      <c r="S422" s="21"/>
      <c r="T422"/>
      <c r="U422" s="6"/>
      <c r="W422" s="7"/>
      <c r="Z422" s="4"/>
    </row>
    <row r="423" spans="1:26" x14ac:dyDescent="0.3">
      <c r="A423" t="s">
        <v>794</v>
      </c>
      <c r="B423" s="22" t="s">
        <v>173</v>
      </c>
      <c r="C423" s="23" t="s">
        <v>20</v>
      </c>
      <c r="D423" s="24" t="s">
        <v>325</v>
      </c>
      <c r="E423" s="25">
        <v>55</v>
      </c>
      <c r="F423" t="s">
        <v>373</v>
      </c>
      <c r="G423" s="24" t="s">
        <v>26</v>
      </c>
      <c r="H423" s="24" t="s">
        <v>27</v>
      </c>
      <c r="I423" s="24">
        <v>24600</v>
      </c>
      <c r="J423" s="24">
        <v>5</v>
      </c>
      <c r="K423" s="25">
        <f t="shared" si="18"/>
        <v>123000</v>
      </c>
      <c r="L423" s="26">
        <v>44936</v>
      </c>
      <c r="M423" s="25" t="str">
        <f t="shared" si="19"/>
        <v>Tuesday</v>
      </c>
      <c r="N423" s="25" t="str">
        <f t="shared" si="20"/>
        <v>Weekday</v>
      </c>
      <c r="Q423" s="25"/>
      <c r="R423" s="24"/>
      <c r="S423" s="27"/>
      <c r="T423"/>
      <c r="U423" s="6"/>
      <c r="W423" s="7"/>
      <c r="Z423" s="4"/>
    </row>
    <row r="424" spans="1:26" x14ac:dyDescent="0.3">
      <c r="A424" t="s">
        <v>795</v>
      </c>
      <c r="B424" s="16" t="s">
        <v>250</v>
      </c>
      <c r="C424" s="17" t="s">
        <v>11</v>
      </c>
      <c r="D424" s="18" t="s">
        <v>326</v>
      </c>
      <c r="E424" s="19">
        <v>50</v>
      </c>
      <c r="F424" t="s">
        <v>370</v>
      </c>
      <c r="G424" s="18" t="s">
        <v>13</v>
      </c>
      <c r="H424" s="18" t="s">
        <v>14</v>
      </c>
      <c r="I424" s="18">
        <v>36900</v>
      </c>
      <c r="J424" s="18">
        <v>3</v>
      </c>
      <c r="K424" s="19">
        <f t="shared" si="18"/>
        <v>110700</v>
      </c>
      <c r="L424" s="20">
        <v>45001</v>
      </c>
      <c r="M424" s="19" t="str">
        <f t="shared" si="19"/>
        <v>Thursday</v>
      </c>
      <c r="N424" s="19" t="str">
        <f t="shared" si="20"/>
        <v>Weekday</v>
      </c>
      <c r="Q424" s="19"/>
      <c r="R424" s="18"/>
      <c r="S424" s="21"/>
      <c r="T424"/>
      <c r="U424" s="6"/>
      <c r="W424" s="7"/>
      <c r="Z424" s="4"/>
    </row>
    <row r="425" spans="1:26" x14ac:dyDescent="0.3">
      <c r="A425" t="s">
        <v>796</v>
      </c>
      <c r="B425" s="22" t="s">
        <v>111</v>
      </c>
      <c r="C425" s="23" t="s">
        <v>20</v>
      </c>
      <c r="D425" s="24" t="s">
        <v>329</v>
      </c>
      <c r="E425" s="25">
        <v>57</v>
      </c>
      <c r="F425" t="s">
        <v>373</v>
      </c>
      <c r="G425" s="24" t="s">
        <v>13</v>
      </c>
      <c r="H425" s="24" t="s">
        <v>14</v>
      </c>
      <c r="I425" s="24">
        <v>36900</v>
      </c>
      <c r="J425" s="24">
        <v>2</v>
      </c>
      <c r="K425" s="25">
        <f t="shared" si="18"/>
        <v>73800</v>
      </c>
      <c r="L425" s="26">
        <v>45171</v>
      </c>
      <c r="M425" s="25" t="str">
        <f t="shared" si="19"/>
        <v>Saturday</v>
      </c>
      <c r="N425" s="25" t="str">
        <f t="shared" si="20"/>
        <v>Weekend</v>
      </c>
      <c r="Q425" s="25"/>
      <c r="R425" s="24"/>
      <c r="S425" s="27"/>
      <c r="T425"/>
      <c r="U425" s="6"/>
      <c r="W425" s="7"/>
      <c r="Z425" s="4"/>
    </row>
    <row r="426" spans="1:26" x14ac:dyDescent="0.3">
      <c r="A426" t="s">
        <v>797</v>
      </c>
      <c r="B426" s="16" t="s">
        <v>81</v>
      </c>
      <c r="C426" s="17" t="s">
        <v>366</v>
      </c>
      <c r="D426" s="18" t="s">
        <v>322</v>
      </c>
      <c r="E426" s="19">
        <v>52</v>
      </c>
      <c r="F426" t="s">
        <v>370</v>
      </c>
      <c r="G426" s="18" t="s">
        <v>26</v>
      </c>
      <c r="H426" s="18" t="s">
        <v>27</v>
      </c>
      <c r="I426" s="18">
        <v>24600</v>
      </c>
      <c r="J426" s="18">
        <v>3</v>
      </c>
      <c r="K426" s="19">
        <f t="shared" si="18"/>
        <v>73800</v>
      </c>
      <c r="L426" s="20">
        <v>45023</v>
      </c>
      <c r="M426" s="19" t="str">
        <f t="shared" si="19"/>
        <v>Friday</v>
      </c>
      <c r="N426" s="19" t="str">
        <f t="shared" si="20"/>
        <v>Weekend</v>
      </c>
      <c r="Q426" s="19"/>
      <c r="R426" s="18"/>
      <c r="S426" s="21"/>
      <c r="T426"/>
      <c r="U426" s="6"/>
      <c r="W426" s="7"/>
      <c r="Z426" s="4"/>
    </row>
    <row r="427" spans="1:26" x14ac:dyDescent="0.3">
      <c r="A427" t="s">
        <v>798</v>
      </c>
      <c r="B427" s="22" t="s">
        <v>56</v>
      </c>
      <c r="C427" s="23" t="s">
        <v>20</v>
      </c>
      <c r="D427" s="24" t="s">
        <v>329</v>
      </c>
      <c r="E427" s="25">
        <v>53</v>
      </c>
      <c r="F427" t="s">
        <v>373</v>
      </c>
      <c r="G427" s="24" t="s">
        <v>13</v>
      </c>
      <c r="H427" s="24" t="s">
        <v>14</v>
      </c>
      <c r="I427" s="24">
        <v>36900</v>
      </c>
      <c r="J427" s="24">
        <v>1</v>
      </c>
      <c r="K427" s="25">
        <f t="shared" si="18"/>
        <v>36900</v>
      </c>
      <c r="L427" s="26">
        <v>45154</v>
      </c>
      <c r="M427" s="25" t="str">
        <f t="shared" si="19"/>
        <v>Wednesday</v>
      </c>
      <c r="N427" s="25" t="str">
        <f t="shared" si="20"/>
        <v>Weekday</v>
      </c>
      <c r="Q427" s="25"/>
      <c r="R427" s="24"/>
      <c r="S427" s="27"/>
      <c r="T427"/>
      <c r="U427" s="6"/>
      <c r="W427" s="7"/>
      <c r="Z427" s="4"/>
    </row>
    <row r="428" spans="1:26" x14ac:dyDescent="0.3">
      <c r="A428" t="s">
        <v>799</v>
      </c>
      <c r="B428" s="16" t="s">
        <v>59</v>
      </c>
      <c r="C428" s="17" t="s">
        <v>11</v>
      </c>
      <c r="D428" s="18" t="s">
        <v>322</v>
      </c>
      <c r="E428" s="19">
        <v>41</v>
      </c>
      <c r="F428" t="s">
        <v>375</v>
      </c>
      <c r="G428" s="18" t="s">
        <v>17</v>
      </c>
      <c r="H428" s="18" t="s">
        <v>18</v>
      </c>
      <c r="I428" s="18">
        <v>12300</v>
      </c>
      <c r="J428" s="18">
        <v>5</v>
      </c>
      <c r="K428" s="19">
        <f t="shared" si="18"/>
        <v>61500</v>
      </c>
      <c r="L428" s="20">
        <v>45000</v>
      </c>
      <c r="M428" s="19" t="str">
        <f t="shared" si="19"/>
        <v>Wednesday</v>
      </c>
      <c r="N428" s="19" t="str">
        <f t="shared" si="20"/>
        <v>Weekday</v>
      </c>
      <c r="Q428" s="19"/>
      <c r="R428" s="18"/>
      <c r="S428" s="21"/>
      <c r="T428"/>
      <c r="U428" s="6"/>
      <c r="W428" s="7"/>
      <c r="Z428" s="4"/>
    </row>
    <row r="429" spans="1:26" x14ac:dyDescent="0.3">
      <c r="A429" t="s">
        <v>800</v>
      </c>
      <c r="B429" s="22" t="s">
        <v>15</v>
      </c>
      <c r="C429" s="23" t="s">
        <v>20</v>
      </c>
      <c r="D429" s="24" t="s">
        <v>322</v>
      </c>
      <c r="E429" s="25">
        <v>22</v>
      </c>
      <c r="F429" t="s">
        <v>370</v>
      </c>
      <c r="G429" s="24" t="s">
        <v>32</v>
      </c>
      <c r="H429" s="24" t="s">
        <v>18</v>
      </c>
      <c r="I429" s="24">
        <v>3690</v>
      </c>
      <c r="J429" s="24">
        <v>1</v>
      </c>
      <c r="K429" s="25">
        <f t="shared" si="18"/>
        <v>3690</v>
      </c>
      <c r="L429" s="26">
        <v>44988</v>
      </c>
      <c r="M429" s="25" t="str">
        <f t="shared" si="19"/>
        <v>Friday</v>
      </c>
      <c r="N429" s="25" t="str">
        <f t="shared" si="20"/>
        <v>Weekend</v>
      </c>
      <c r="Q429" s="25"/>
      <c r="R429" s="24"/>
      <c r="S429" s="27"/>
      <c r="T429"/>
      <c r="U429" s="6"/>
      <c r="W429" s="7"/>
      <c r="Z429" s="4"/>
    </row>
    <row r="430" spans="1:26" x14ac:dyDescent="0.3">
      <c r="A430" t="s">
        <v>801</v>
      </c>
      <c r="B430" s="16" t="s">
        <v>202</v>
      </c>
      <c r="C430" s="17" t="s">
        <v>11</v>
      </c>
      <c r="D430" s="18" t="s">
        <v>324</v>
      </c>
      <c r="E430" s="19">
        <v>44</v>
      </c>
      <c r="F430" t="s">
        <v>373</v>
      </c>
      <c r="G430" s="18" t="s">
        <v>26</v>
      </c>
      <c r="H430" s="18" t="s">
        <v>27</v>
      </c>
      <c r="I430" s="18">
        <v>24600</v>
      </c>
      <c r="J430" s="18">
        <v>4</v>
      </c>
      <c r="K430" s="19">
        <f t="shared" si="18"/>
        <v>98400</v>
      </c>
      <c r="L430" s="20">
        <v>44988</v>
      </c>
      <c r="M430" s="19" t="str">
        <f t="shared" si="19"/>
        <v>Friday</v>
      </c>
      <c r="N430" s="19" t="str">
        <f t="shared" si="20"/>
        <v>Weekend</v>
      </c>
      <c r="Q430" s="19"/>
      <c r="R430" s="18"/>
      <c r="S430" s="21"/>
      <c r="T430"/>
      <c r="U430" s="6"/>
      <c r="W430" s="7"/>
      <c r="Z430" s="4"/>
    </row>
    <row r="431" spans="1:26" x14ac:dyDescent="0.3">
      <c r="A431" t="s">
        <v>802</v>
      </c>
      <c r="B431" s="22" t="s">
        <v>194</v>
      </c>
      <c r="C431" s="23" t="s">
        <v>11</v>
      </c>
      <c r="D431" s="24" t="s">
        <v>323</v>
      </c>
      <c r="E431" s="25">
        <v>28</v>
      </c>
      <c r="F431" t="s">
        <v>375</v>
      </c>
      <c r="G431" s="24" t="s">
        <v>17</v>
      </c>
      <c r="H431" s="24" t="s">
        <v>18</v>
      </c>
      <c r="I431" s="24">
        <v>12300</v>
      </c>
      <c r="J431" s="24">
        <v>3</v>
      </c>
      <c r="K431" s="25">
        <f t="shared" si="18"/>
        <v>36900</v>
      </c>
      <c r="L431" s="26">
        <v>45148</v>
      </c>
      <c r="M431" s="25" t="str">
        <f t="shared" si="19"/>
        <v>Thursday</v>
      </c>
      <c r="N431" s="25" t="str">
        <f t="shared" si="20"/>
        <v>Weekday</v>
      </c>
      <c r="Q431" s="25"/>
      <c r="R431" s="24"/>
      <c r="S431" s="27"/>
      <c r="T431"/>
      <c r="U431" s="6"/>
      <c r="W431" s="7"/>
      <c r="Z431" s="4"/>
    </row>
    <row r="432" spans="1:26" x14ac:dyDescent="0.3">
      <c r="A432" t="s">
        <v>803</v>
      </c>
      <c r="B432" s="16" t="s">
        <v>175</v>
      </c>
      <c r="C432" s="17" t="s">
        <v>20</v>
      </c>
      <c r="D432" s="18" t="s">
        <v>322</v>
      </c>
      <c r="E432" s="19">
        <v>60</v>
      </c>
      <c r="F432" t="s">
        <v>370</v>
      </c>
      <c r="G432" s="18" t="s">
        <v>32</v>
      </c>
      <c r="H432" s="18" t="s">
        <v>18</v>
      </c>
      <c r="I432" s="18">
        <v>3690</v>
      </c>
      <c r="J432" s="18">
        <v>3</v>
      </c>
      <c r="K432" s="19">
        <f t="shared" si="18"/>
        <v>11070</v>
      </c>
      <c r="L432" s="20">
        <v>44951</v>
      </c>
      <c r="M432" s="19" t="str">
        <f t="shared" si="19"/>
        <v>Wednesday</v>
      </c>
      <c r="N432" s="19" t="str">
        <f t="shared" si="20"/>
        <v>Weekday</v>
      </c>
      <c r="Q432" s="19"/>
      <c r="R432" s="18"/>
      <c r="S432" s="21"/>
      <c r="T432"/>
      <c r="U432" s="6"/>
      <c r="W432" s="7"/>
      <c r="Z432" s="4"/>
    </row>
    <row r="433" spans="1:26" x14ac:dyDescent="0.3">
      <c r="A433" t="s">
        <v>804</v>
      </c>
      <c r="B433" s="22" t="s">
        <v>192</v>
      </c>
      <c r="C433" s="23" t="s">
        <v>20</v>
      </c>
      <c r="D433" s="24" t="s">
        <v>322</v>
      </c>
      <c r="E433" s="25">
        <v>59</v>
      </c>
      <c r="F433" t="s">
        <v>373</v>
      </c>
      <c r="G433" s="24" t="s">
        <v>32</v>
      </c>
      <c r="H433" s="24" t="s">
        <v>18</v>
      </c>
      <c r="I433" s="24">
        <v>3690</v>
      </c>
      <c r="J433" s="24">
        <v>2</v>
      </c>
      <c r="K433" s="25">
        <f t="shared" si="18"/>
        <v>7380</v>
      </c>
      <c r="L433" s="26">
        <v>45188</v>
      </c>
      <c r="M433" s="25" t="str">
        <f t="shared" si="19"/>
        <v>Tuesday</v>
      </c>
      <c r="N433" s="25" t="str">
        <f t="shared" si="20"/>
        <v>Weekday</v>
      </c>
      <c r="Q433" s="25"/>
      <c r="R433" s="24"/>
      <c r="S433" s="27"/>
      <c r="T433"/>
      <c r="U433" s="6"/>
      <c r="W433" s="7"/>
      <c r="Z433" s="4"/>
    </row>
    <row r="434" spans="1:26" x14ac:dyDescent="0.3">
      <c r="A434" t="s">
        <v>805</v>
      </c>
      <c r="B434" s="16" t="s">
        <v>197</v>
      </c>
      <c r="C434" s="17" t="s">
        <v>20</v>
      </c>
      <c r="D434" s="18" t="s">
        <v>323</v>
      </c>
      <c r="E434" s="19">
        <v>51</v>
      </c>
      <c r="F434" t="s">
        <v>373</v>
      </c>
      <c r="G434" s="18" t="s">
        <v>13</v>
      </c>
      <c r="H434" s="18" t="s">
        <v>14</v>
      </c>
      <c r="I434" s="18">
        <v>36900</v>
      </c>
      <c r="J434" s="18">
        <v>4</v>
      </c>
      <c r="K434" s="19">
        <f t="shared" si="18"/>
        <v>147600</v>
      </c>
      <c r="L434" s="20">
        <v>45182</v>
      </c>
      <c r="M434" s="19" t="str">
        <f t="shared" si="19"/>
        <v>Wednesday</v>
      </c>
      <c r="N434" s="19" t="str">
        <f t="shared" si="20"/>
        <v>Weekday</v>
      </c>
      <c r="Q434" s="19"/>
      <c r="R434" s="18"/>
      <c r="S434" s="21"/>
      <c r="T434"/>
      <c r="U434" s="6"/>
      <c r="W434" s="7"/>
      <c r="Z434" s="4"/>
    </row>
    <row r="435" spans="1:26" x14ac:dyDescent="0.3">
      <c r="A435" t="s">
        <v>806</v>
      </c>
      <c r="B435" s="22" t="s">
        <v>251</v>
      </c>
      <c r="C435" s="23" t="s">
        <v>366</v>
      </c>
      <c r="D435" s="24" t="s">
        <v>323</v>
      </c>
      <c r="E435" s="25">
        <v>64</v>
      </c>
      <c r="F435" t="s">
        <v>375</v>
      </c>
      <c r="G435" s="24" t="s">
        <v>31</v>
      </c>
      <c r="H435" s="24" t="s">
        <v>18</v>
      </c>
      <c r="I435" s="24">
        <v>6150</v>
      </c>
      <c r="J435" s="24">
        <v>4</v>
      </c>
      <c r="K435" s="25">
        <f t="shared" si="18"/>
        <v>24600</v>
      </c>
      <c r="L435" s="26">
        <v>45236</v>
      </c>
      <c r="M435" s="25" t="str">
        <f t="shared" si="19"/>
        <v>Monday</v>
      </c>
      <c r="N435" s="25" t="str">
        <f t="shared" si="20"/>
        <v>Weekday</v>
      </c>
      <c r="Q435" s="25"/>
      <c r="R435" s="24"/>
      <c r="S435" s="27"/>
      <c r="T435"/>
      <c r="U435" s="6"/>
      <c r="W435" s="7"/>
      <c r="Z435" s="4"/>
    </row>
    <row r="436" spans="1:26" x14ac:dyDescent="0.3">
      <c r="A436" t="s">
        <v>807</v>
      </c>
      <c r="B436" s="16" t="s">
        <v>169</v>
      </c>
      <c r="C436" s="17" t="s">
        <v>366</v>
      </c>
      <c r="D436" s="18" t="s">
        <v>328</v>
      </c>
      <c r="E436" s="19">
        <v>64</v>
      </c>
      <c r="F436" t="s">
        <v>381</v>
      </c>
      <c r="G436" s="18" t="s">
        <v>31</v>
      </c>
      <c r="H436" s="18" t="s">
        <v>18</v>
      </c>
      <c r="I436" s="18">
        <v>6150</v>
      </c>
      <c r="J436" s="18">
        <v>1</v>
      </c>
      <c r="K436" s="19">
        <f t="shared" si="18"/>
        <v>6150</v>
      </c>
      <c r="L436" s="20">
        <v>45070</v>
      </c>
      <c r="M436" s="19" t="str">
        <f t="shared" si="19"/>
        <v>Wednesday</v>
      </c>
      <c r="N436" s="19" t="str">
        <f t="shared" si="20"/>
        <v>Weekday</v>
      </c>
      <c r="Q436" s="19"/>
      <c r="R436" s="18"/>
      <c r="S436" s="21"/>
      <c r="T436"/>
      <c r="U436" s="6"/>
      <c r="W436" s="7"/>
      <c r="Z436" s="4"/>
    </row>
    <row r="437" spans="1:26" x14ac:dyDescent="0.3">
      <c r="A437" t="s">
        <v>808</v>
      </c>
      <c r="B437" s="22" t="s">
        <v>252</v>
      </c>
      <c r="C437" s="23" t="s">
        <v>20</v>
      </c>
      <c r="D437" s="24" t="s">
        <v>329</v>
      </c>
      <c r="E437" s="25">
        <v>56</v>
      </c>
      <c r="F437" t="s">
        <v>381</v>
      </c>
      <c r="G437" s="24" t="s">
        <v>32</v>
      </c>
      <c r="H437" s="24" t="s">
        <v>18</v>
      </c>
      <c r="I437" s="24">
        <v>3690</v>
      </c>
      <c r="J437" s="24">
        <v>2</v>
      </c>
      <c r="K437" s="25">
        <f t="shared" si="18"/>
        <v>7380</v>
      </c>
      <c r="L437" s="26">
        <v>44972</v>
      </c>
      <c r="M437" s="25" t="str">
        <f t="shared" si="19"/>
        <v>Wednesday</v>
      </c>
      <c r="N437" s="25" t="str">
        <f t="shared" si="20"/>
        <v>Weekday</v>
      </c>
      <c r="Q437" s="25"/>
      <c r="R437" s="24"/>
      <c r="S437" s="27"/>
      <c r="T437"/>
      <c r="U437" s="6"/>
      <c r="W437" s="7"/>
      <c r="Z437" s="4"/>
    </row>
    <row r="438" spans="1:26" x14ac:dyDescent="0.3">
      <c r="A438" t="s">
        <v>809</v>
      </c>
      <c r="B438" s="16" t="s">
        <v>246</v>
      </c>
      <c r="C438" s="17" t="s">
        <v>11</v>
      </c>
      <c r="D438" s="18" t="s">
        <v>326</v>
      </c>
      <c r="E438" s="19">
        <v>23</v>
      </c>
      <c r="F438" t="s">
        <v>375</v>
      </c>
      <c r="G438" s="18" t="s">
        <v>42</v>
      </c>
      <c r="H438" s="18" t="s">
        <v>14</v>
      </c>
      <c r="I438" s="18">
        <v>98400</v>
      </c>
      <c r="J438" s="18">
        <v>2</v>
      </c>
      <c r="K438" s="19">
        <f t="shared" si="18"/>
        <v>196800</v>
      </c>
      <c r="L438" s="20">
        <v>45218</v>
      </c>
      <c r="M438" s="19" t="str">
        <f t="shared" si="19"/>
        <v>Thursday</v>
      </c>
      <c r="N438" s="19" t="str">
        <f t="shared" si="20"/>
        <v>Weekday</v>
      </c>
      <c r="Q438" s="19"/>
      <c r="R438" s="18"/>
      <c r="S438" s="21"/>
      <c r="T438"/>
      <c r="U438" s="6"/>
      <c r="W438" s="7"/>
      <c r="Z438" s="4"/>
    </row>
    <row r="439" spans="1:26" x14ac:dyDescent="0.3">
      <c r="A439" t="s">
        <v>810</v>
      </c>
      <c r="B439" s="22" t="s">
        <v>205</v>
      </c>
      <c r="C439" s="23" t="s">
        <v>20</v>
      </c>
      <c r="D439" s="24" t="s">
        <v>328</v>
      </c>
      <c r="E439" s="25">
        <v>61</v>
      </c>
      <c r="F439" t="s">
        <v>375</v>
      </c>
      <c r="G439" s="24" t="s">
        <v>31</v>
      </c>
      <c r="H439" s="24" t="s">
        <v>18</v>
      </c>
      <c r="I439" s="24">
        <v>6150</v>
      </c>
      <c r="J439" s="24">
        <v>1</v>
      </c>
      <c r="K439" s="25">
        <f t="shared" si="18"/>
        <v>6150</v>
      </c>
      <c r="L439" s="26">
        <v>45135</v>
      </c>
      <c r="M439" s="25" t="str">
        <f t="shared" si="19"/>
        <v>Friday</v>
      </c>
      <c r="N439" s="25" t="str">
        <f t="shared" si="20"/>
        <v>Weekend</v>
      </c>
      <c r="Q439" s="25"/>
      <c r="R439" s="24"/>
      <c r="S439" s="27"/>
      <c r="T439"/>
      <c r="U439" s="6"/>
      <c r="W439" s="7"/>
      <c r="Z439" s="4"/>
    </row>
    <row r="440" spans="1:26" x14ac:dyDescent="0.3">
      <c r="A440" t="s">
        <v>811</v>
      </c>
      <c r="B440" s="16" t="s">
        <v>74</v>
      </c>
      <c r="C440" s="17" t="s">
        <v>20</v>
      </c>
      <c r="D440" s="18" t="s">
        <v>322</v>
      </c>
      <c r="E440" s="19">
        <v>42</v>
      </c>
      <c r="F440" t="s">
        <v>370</v>
      </c>
      <c r="G440" s="18" t="s">
        <v>31</v>
      </c>
      <c r="H440" s="18" t="s">
        <v>18</v>
      </c>
      <c r="I440" s="18">
        <v>6150</v>
      </c>
      <c r="J440" s="18">
        <v>2</v>
      </c>
      <c r="K440" s="19">
        <f t="shared" si="18"/>
        <v>12300</v>
      </c>
      <c r="L440" s="20">
        <v>44978</v>
      </c>
      <c r="M440" s="19" t="str">
        <f t="shared" si="19"/>
        <v>Tuesday</v>
      </c>
      <c r="N440" s="19" t="str">
        <f t="shared" si="20"/>
        <v>Weekday</v>
      </c>
      <c r="Q440" s="19"/>
      <c r="R440" s="18"/>
      <c r="S440" s="21"/>
      <c r="T440"/>
      <c r="U440" s="6"/>
      <c r="W440" s="7"/>
      <c r="Z440" s="4"/>
    </row>
    <row r="441" spans="1:26" x14ac:dyDescent="0.3">
      <c r="A441" t="s">
        <v>812</v>
      </c>
      <c r="B441" s="22" t="s">
        <v>104</v>
      </c>
      <c r="C441" s="23" t="s">
        <v>366</v>
      </c>
      <c r="D441" s="24" t="s">
        <v>326</v>
      </c>
      <c r="E441" s="25">
        <v>30</v>
      </c>
      <c r="F441" t="s">
        <v>381</v>
      </c>
      <c r="G441" s="24" t="s">
        <v>31</v>
      </c>
      <c r="H441" s="24" t="s">
        <v>18</v>
      </c>
      <c r="I441" s="24">
        <v>6150</v>
      </c>
      <c r="J441" s="24">
        <v>1</v>
      </c>
      <c r="K441" s="25">
        <f t="shared" si="18"/>
        <v>6150</v>
      </c>
      <c r="L441" s="26">
        <v>45274</v>
      </c>
      <c r="M441" s="25" t="str">
        <f t="shared" si="19"/>
        <v>Thursday</v>
      </c>
      <c r="N441" s="25" t="str">
        <f t="shared" si="20"/>
        <v>Weekday</v>
      </c>
      <c r="Q441" s="25"/>
      <c r="R441" s="24"/>
      <c r="S441" s="27"/>
      <c r="T441"/>
      <c r="U441" s="6"/>
      <c r="W441" s="7"/>
      <c r="Z441" s="4"/>
    </row>
    <row r="442" spans="1:26" x14ac:dyDescent="0.3">
      <c r="A442" t="s">
        <v>813</v>
      </c>
      <c r="B442" s="16" t="s">
        <v>138</v>
      </c>
      <c r="C442" s="17" t="s">
        <v>20</v>
      </c>
      <c r="D442" s="18" t="s">
        <v>323</v>
      </c>
      <c r="E442" s="19">
        <v>37</v>
      </c>
      <c r="F442" t="s">
        <v>370</v>
      </c>
      <c r="G442" s="18" t="s">
        <v>17</v>
      </c>
      <c r="H442" s="18" t="s">
        <v>18</v>
      </c>
      <c r="I442" s="18">
        <v>12300</v>
      </c>
      <c r="J442" s="18">
        <v>3</v>
      </c>
      <c r="K442" s="19">
        <f t="shared" si="18"/>
        <v>36900</v>
      </c>
      <c r="L442" s="20">
        <v>44992</v>
      </c>
      <c r="M442" s="19" t="str">
        <f t="shared" si="19"/>
        <v>Tuesday</v>
      </c>
      <c r="N442" s="19" t="str">
        <f t="shared" si="20"/>
        <v>Weekday</v>
      </c>
      <c r="Q442" s="19"/>
      <c r="R442" s="18"/>
      <c r="S442" s="21"/>
      <c r="T442"/>
      <c r="U442" s="6"/>
      <c r="W442" s="7"/>
      <c r="Z442" s="4"/>
    </row>
    <row r="443" spans="1:26" x14ac:dyDescent="0.3">
      <c r="A443" t="s">
        <v>814</v>
      </c>
      <c r="B443" s="22" t="s">
        <v>173</v>
      </c>
      <c r="C443" s="23" t="s">
        <v>20</v>
      </c>
      <c r="D443" s="24" t="s">
        <v>325</v>
      </c>
      <c r="E443" s="25">
        <v>55</v>
      </c>
      <c r="F443" t="s">
        <v>373</v>
      </c>
      <c r="G443" s="24" t="s">
        <v>32</v>
      </c>
      <c r="H443" s="24" t="s">
        <v>18</v>
      </c>
      <c r="I443" s="24">
        <v>3690</v>
      </c>
      <c r="J443" s="24">
        <v>1</v>
      </c>
      <c r="K443" s="25">
        <f t="shared" si="18"/>
        <v>3690</v>
      </c>
      <c r="L443" s="26">
        <v>45071</v>
      </c>
      <c r="M443" s="25" t="str">
        <f t="shared" si="19"/>
        <v>Thursday</v>
      </c>
      <c r="N443" s="25" t="str">
        <f t="shared" si="20"/>
        <v>Weekday</v>
      </c>
      <c r="Q443" s="25"/>
      <c r="R443" s="24"/>
      <c r="S443" s="27"/>
      <c r="T443"/>
      <c r="U443" s="6"/>
      <c r="W443" s="7"/>
      <c r="Z443" s="4"/>
    </row>
    <row r="444" spans="1:26" x14ac:dyDescent="0.3">
      <c r="A444" t="s">
        <v>815</v>
      </c>
      <c r="B444" s="16" t="s">
        <v>69</v>
      </c>
      <c r="C444" s="17" t="s">
        <v>11</v>
      </c>
      <c r="D444" s="18" t="s">
        <v>322</v>
      </c>
      <c r="E444" s="19">
        <v>68</v>
      </c>
      <c r="F444" t="s">
        <v>375</v>
      </c>
      <c r="G444" s="18" t="s">
        <v>13</v>
      </c>
      <c r="H444" s="18" t="s">
        <v>14</v>
      </c>
      <c r="I444" s="18">
        <v>36900</v>
      </c>
      <c r="J444" s="18">
        <v>3</v>
      </c>
      <c r="K444" s="19">
        <f t="shared" si="18"/>
        <v>110700</v>
      </c>
      <c r="L444" s="20">
        <v>44966</v>
      </c>
      <c r="M444" s="19" t="str">
        <f t="shared" si="19"/>
        <v>Thursday</v>
      </c>
      <c r="N444" s="19" t="str">
        <f t="shared" si="20"/>
        <v>Weekday</v>
      </c>
      <c r="Q444" s="19"/>
      <c r="R444" s="18"/>
      <c r="S444" s="21"/>
      <c r="T444"/>
      <c r="U444" s="6"/>
      <c r="W444" s="7"/>
      <c r="Z444" s="4"/>
    </row>
    <row r="445" spans="1:26" x14ac:dyDescent="0.3">
      <c r="A445" t="s">
        <v>816</v>
      </c>
      <c r="B445" s="22" t="s">
        <v>175</v>
      </c>
      <c r="C445" s="23" t="s">
        <v>20</v>
      </c>
      <c r="D445" s="24" t="s">
        <v>322</v>
      </c>
      <c r="E445" s="25">
        <v>60</v>
      </c>
      <c r="F445" t="s">
        <v>370</v>
      </c>
      <c r="G445" s="24" t="s">
        <v>31</v>
      </c>
      <c r="H445" s="24" t="s">
        <v>18</v>
      </c>
      <c r="I445" s="24">
        <v>6150</v>
      </c>
      <c r="J445" s="24">
        <v>3</v>
      </c>
      <c r="K445" s="25">
        <f t="shared" si="18"/>
        <v>18450</v>
      </c>
      <c r="L445" s="26">
        <v>45612</v>
      </c>
      <c r="M445" s="25" t="str">
        <f t="shared" si="19"/>
        <v>Saturday</v>
      </c>
      <c r="N445" s="25" t="str">
        <f t="shared" si="20"/>
        <v>Weekend</v>
      </c>
      <c r="Q445" s="25"/>
      <c r="R445" s="24"/>
      <c r="S445" s="27"/>
      <c r="T445"/>
      <c r="U445" s="6"/>
      <c r="W445" s="7"/>
      <c r="Z445" s="4"/>
    </row>
    <row r="446" spans="1:26" x14ac:dyDescent="0.3">
      <c r="A446" t="s">
        <v>817</v>
      </c>
      <c r="B446" s="16" t="s">
        <v>175</v>
      </c>
      <c r="C446" s="17" t="s">
        <v>20</v>
      </c>
      <c r="D446" s="18" t="s">
        <v>322</v>
      </c>
      <c r="E446" s="19">
        <v>60</v>
      </c>
      <c r="F446" t="s">
        <v>375</v>
      </c>
      <c r="G446" s="18" t="s">
        <v>13</v>
      </c>
      <c r="H446" s="18" t="s">
        <v>14</v>
      </c>
      <c r="I446" s="18">
        <v>36900</v>
      </c>
      <c r="J446" s="18">
        <v>4</v>
      </c>
      <c r="K446" s="19">
        <f t="shared" si="18"/>
        <v>147600</v>
      </c>
      <c r="L446" s="20">
        <v>45158</v>
      </c>
      <c r="M446" s="19" t="str">
        <f t="shared" si="19"/>
        <v>Sunday</v>
      </c>
      <c r="N446" s="19" t="str">
        <f t="shared" si="20"/>
        <v>Weekday</v>
      </c>
      <c r="Q446" s="19"/>
      <c r="R446" s="18"/>
      <c r="S446" s="21"/>
      <c r="T446"/>
      <c r="U446" s="6"/>
      <c r="W446" s="7"/>
      <c r="Z446" s="4"/>
    </row>
    <row r="447" spans="1:26" x14ac:dyDescent="0.3">
      <c r="A447" t="s">
        <v>818</v>
      </c>
      <c r="B447" s="22" t="s">
        <v>195</v>
      </c>
      <c r="C447" s="23" t="s">
        <v>20</v>
      </c>
      <c r="D447" s="24" t="s">
        <v>323</v>
      </c>
      <c r="E447" s="25">
        <v>52</v>
      </c>
      <c r="F447" t="s">
        <v>370</v>
      </c>
      <c r="G447" s="24" t="s">
        <v>26</v>
      </c>
      <c r="H447" s="24" t="s">
        <v>27</v>
      </c>
      <c r="I447" s="24">
        <v>24600</v>
      </c>
      <c r="J447" s="24">
        <v>5</v>
      </c>
      <c r="K447" s="25">
        <f t="shared" si="18"/>
        <v>123000</v>
      </c>
      <c r="L447" s="26">
        <v>44987</v>
      </c>
      <c r="M447" s="25" t="str">
        <f t="shared" si="19"/>
        <v>Thursday</v>
      </c>
      <c r="N447" s="25" t="str">
        <f t="shared" si="20"/>
        <v>Weekday</v>
      </c>
      <c r="Q447" s="25"/>
      <c r="R447" s="24"/>
      <c r="S447" s="27"/>
      <c r="T447"/>
      <c r="U447" s="6"/>
      <c r="W447" s="7"/>
      <c r="Z447" s="4"/>
    </row>
    <row r="448" spans="1:26" x14ac:dyDescent="0.3">
      <c r="A448" t="s">
        <v>819</v>
      </c>
      <c r="B448" s="16" t="s">
        <v>134</v>
      </c>
      <c r="C448" s="17" t="s">
        <v>366</v>
      </c>
      <c r="D448" s="18" t="s">
        <v>322</v>
      </c>
      <c r="E448" s="19">
        <v>33</v>
      </c>
      <c r="F448" t="s">
        <v>373</v>
      </c>
      <c r="G448" s="18" t="s">
        <v>31</v>
      </c>
      <c r="H448" s="18" t="s">
        <v>18</v>
      </c>
      <c r="I448" s="18">
        <v>6150</v>
      </c>
      <c r="J448" s="18">
        <v>3</v>
      </c>
      <c r="K448" s="19">
        <f t="shared" si="18"/>
        <v>18450</v>
      </c>
      <c r="L448" s="20">
        <v>45053</v>
      </c>
      <c r="M448" s="19" t="str">
        <f t="shared" si="19"/>
        <v>Sunday</v>
      </c>
      <c r="N448" s="19" t="str">
        <f t="shared" si="20"/>
        <v>Weekday</v>
      </c>
      <c r="Q448" s="19"/>
      <c r="R448" s="18"/>
      <c r="S448" s="21"/>
      <c r="T448"/>
      <c r="U448" s="6"/>
      <c r="W448" s="7"/>
      <c r="Z448" s="4"/>
    </row>
    <row r="449" spans="1:26" x14ac:dyDescent="0.3">
      <c r="A449" t="s">
        <v>820</v>
      </c>
      <c r="B449" s="22" t="s">
        <v>205</v>
      </c>
      <c r="C449" s="23" t="s">
        <v>20</v>
      </c>
      <c r="D449" s="24" t="s">
        <v>328</v>
      </c>
      <c r="E449" s="25">
        <v>61</v>
      </c>
      <c r="F449" t="s">
        <v>373</v>
      </c>
      <c r="G449" s="24" t="s">
        <v>13</v>
      </c>
      <c r="H449" s="24" t="s">
        <v>14</v>
      </c>
      <c r="I449" s="24">
        <v>36900</v>
      </c>
      <c r="J449" s="24">
        <v>1</v>
      </c>
      <c r="K449" s="25">
        <f t="shared" si="18"/>
        <v>36900</v>
      </c>
      <c r="L449" s="26">
        <v>44940</v>
      </c>
      <c r="M449" s="25" t="str">
        <f t="shared" si="19"/>
        <v>Saturday</v>
      </c>
      <c r="N449" s="25" t="str">
        <f t="shared" si="20"/>
        <v>Weekend</v>
      </c>
      <c r="Q449" s="25"/>
      <c r="R449" s="24"/>
      <c r="S449" s="27"/>
      <c r="T449"/>
      <c r="U449" s="6"/>
      <c r="W449" s="7"/>
      <c r="Z449" s="4"/>
    </row>
    <row r="450" spans="1:26" x14ac:dyDescent="0.3">
      <c r="A450" t="s">
        <v>821</v>
      </c>
      <c r="B450" s="16" t="s">
        <v>113</v>
      </c>
      <c r="C450" s="17" t="s">
        <v>11</v>
      </c>
      <c r="D450" s="18" t="s">
        <v>322</v>
      </c>
      <c r="E450" s="19">
        <v>58</v>
      </c>
      <c r="F450" t="s">
        <v>381</v>
      </c>
      <c r="G450" s="18" t="s">
        <v>32</v>
      </c>
      <c r="H450" s="18" t="s">
        <v>18</v>
      </c>
      <c r="I450" s="18">
        <v>3690</v>
      </c>
      <c r="J450" s="18">
        <v>1</v>
      </c>
      <c r="K450" s="19">
        <f t="shared" ref="K450:K513" si="21">I450*J450</f>
        <v>3690</v>
      </c>
      <c r="L450" s="20">
        <v>45061</v>
      </c>
      <c r="M450" s="19" t="str">
        <f t="shared" ref="M450:M513" si="22">TEXT(L450, "dddd")</f>
        <v>Monday</v>
      </c>
      <c r="N450" s="19" t="str">
        <f t="shared" ref="N450:N513" si="23">IF(OR(WEEKDAY(L450, 2)=5, WEEKDAY(L450, 2)=6), "Weekend", "Weekday")</f>
        <v>Weekday</v>
      </c>
      <c r="Q450" s="19"/>
      <c r="R450" s="18"/>
      <c r="S450" s="21"/>
      <c r="T450"/>
      <c r="U450" s="6"/>
      <c r="W450" s="7"/>
      <c r="Z450" s="4"/>
    </row>
    <row r="451" spans="1:26" x14ac:dyDescent="0.3">
      <c r="A451" t="s">
        <v>822</v>
      </c>
      <c r="B451" s="22" t="s">
        <v>254</v>
      </c>
      <c r="C451" s="23" t="s">
        <v>20</v>
      </c>
      <c r="D451" s="24" t="s">
        <v>325</v>
      </c>
      <c r="E451" s="25">
        <v>55</v>
      </c>
      <c r="F451" t="s">
        <v>381</v>
      </c>
      <c r="G451" s="24" t="s">
        <v>31</v>
      </c>
      <c r="H451" s="24" t="s">
        <v>18</v>
      </c>
      <c r="I451" s="24">
        <v>6150</v>
      </c>
      <c r="J451" s="24">
        <v>4</v>
      </c>
      <c r="K451" s="25">
        <f t="shared" si="21"/>
        <v>24600</v>
      </c>
      <c r="L451" s="26">
        <v>45151</v>
      </c>
      <c r="M451" s="25" t="str">
        <f t="shared" si="22"/>
        <v>Sunday</v>
      </c>
      <c r="N451" s="25" t="str">
        <f t="shared" si="23"/>
        <v>Weekday</v>
      </c>
      <c r="Q451" s="25"/>
      <c r="R451" s="24"/>
      <c r="S451" s="27"/>
      <c r="T451"/>
      <c r="U451" s="6"/>
      <c r="W451" s="7"/>
      <c r="Z451" s="4"/>
    </row>
    <row r="452" spans="1:26" x14ac:dyDescent="0.3">
      <c r="A452" t="s">
        <v>823</v>
      </c>
      <c r="B452" s="16" t="s">
        <v>236</v>
      </c>
      <c r="C452" s="17" t="s">
        <v>20</v>
      </c>
      <c r="D452" s="18" t="s">
        <v>329</v>
      </c>
      <c r="E452" s="19">
        <v>18</v>
      </c>
      <c r="F452" t="s">
        <v>373</v>
      </c>
      <c r="G452" s="18" t="s">
        <v>31</v>
      </c>
      <c r="H452" s="18" t="s">
        <v>18</v>
      </c>
      <c r="I452" s="18">
        <v>6150</v>
      </c>
      <c r="J452" s="18">
        <v>4</v>
      </c>
      <c r="K452" s="19">
        <f t="shared" si="21"/>
        <v>24600</v>
      </c>
      <c r="L452" s="20">
        <v>45158</v>
      </c>
      <c r="M452" s="19" t="str">
        <f t="shared" si="22"/>
        <v>Sunday</v>
      </c>
      <c r="N452" s="19" t="str">
        <f t="shared" si="23"/>
        <v>Weekday</v>
      </c>
      <c r="Q452" s="19"/>
      <c r="R452" s="18"/>
      <c r="S452" s="21"/>
      <c r="T452"/>
      <c r="U452" s="6"/>
      <c r="W452" s="7"/>
      <c r="Z452" s="4"/>
    </row>
    <row r="453" spans="1:26" x14ac:dyDescent="0.3">
      <c r="A453" t="s">
        <v>824</v>
      </c>
      <c r="B453" s="22" t="s">
        <v>87</v>
      </c>
      <c r="C453" s="23" t="s">
        <v>20</v>
      </c>
      <c r="D453" s="24" t="s">
        <v>322</v>
      </c>
      <c r="E453" s="25">
        <v>41</v>
      </c>
      <c r="F453" t="s">
        <v>370</v>
      </c>
      <c r="G453" s="24" t="s">
        <v>42</v>
      </c>
      <c r="H453" s="24" t="s">
        <v>14</v>
      </c>
      <c r="I453" s="24">
        <v>98400</v>
      </c>
      <c r="J453" s="24">
        <v>1</v>
      </c>
      <c r="K453" s="25">
        <f t="shared" si="21"/>
        <v>98400</v>
      </c>
      <c r="L453" s="26">
        <v>45141</v>
      </c>
      <c r="M453" s="25" t="str">
        <f t="shared" si="22"/>
        <v>Thursday</v>
      </c>
      <c r="N453" s="25" t="str">
        <f t="shared" si="23"/>
        <v>Weekday</v>
      </c>
      <c r="Q453" s="25"/>
      <c r="R453" s="24"/>
      <c r="S453" s="27"/>
      <c r="T453"/>
      <c r="U453" s="6"/>
      <c r="W453" s="7"/>
      <c r="Z453" s="4"/>
    </row>
    <row r="454" spans="1:26" x14ac:dyDescent="0.3">
      <c r="A454" t="s">
        <v>825</v>
      </c>
      <c r="B454" s="16" t="s">
        <v>255</v>
      </c>
      <c r="C454" s="17" t="s">
        <v>20</v>
      </c>
      <c r="D454" s="18" t="s">
        <v>322</v>
      </c>
      <c r="E454" s="19">
        <v>56</v>
      </c>
      <c r="F454" t="s">
        <v>375</v>
      </c>
      <c r="G454" s="18" t="s">
        <v>17</v>
      </c>
      <c r="H454" s="18" t="s">
        <v>18</v>
      </c>
      <c r="I454" s="18">
        <v>12300</v>
      </c>
      <c r="J454" s="18">
        <v>3</v>
      </c>
      <c r="K454" s="19">
        <f t="shared" si="21"/>
        <v>36900</v>
      </c>
      <c r="L454" s="20">
        <v>45255</v>
      </c>
      <c r="M454" s="19" t="str">
        <f t="shared" si="22"/>
        <v>Saturday</v>
      </c>
      <c r="N454" s="19" t="str">
        <f t="shared" si="23"/>
        <v>Weekend</v>
      </c>
      <c r="Q454" s="19"/>
      <c r="R454" s="18"/>
      <c r="S454" s="21"/>
      <c r="T454"/>
      <c r="U454" s="6"/>
      <c r="W454" s="7"/>
      <c r="Z454" s="4"/>
    </row>
    <row r="455" spans="1:26" x14ac:dyDescent="0.3">
      <c r="A455" t="s">
        <v>826</v>
      </c>
      <c r="B455" s="22" t="s">
        <v>256</v>
      </c>
      <c r="C455" s="23" t="s">
        <v>11</v>
      </c>
      <c r="D455" s="24" t="s">
        <v>322</v>
      </c>
      <c r="E455" s="25">
        <v>69</v>
      </c>
      <c r="F455" t="s">
        <v>373</v>
      </c>
      <c r="G455" s="24" t="s">
        <v>24</v>
      </c>
      <c r="H455" s="24" t="s">
        <v>14</v>
      </c>
      <c r="I455" s="24">
        <v>184500</v>
      </c>
      <c r="J455" s="24">
        <v>2</v>
      </c>
      <c r="K455" s="25">
        <f t="shared" si="21"/>
        <v>369000</v>
      </c>
      <c r="L455" s="26">
        <v>45229</v>
      </c>
      <c r="M455" s="25" t="str">
        <f t="shared" si="22"/>
        <v>Monday</v>
      </c>
      <c r="N455" s="25" t="str">
        <f t="shared" si="23"/>
        <v>Weekday</v>
      </c>
      <c r="Q455" s="25"/>
      <c r="R455" s="24"/>
      <c r="S455" s="27"/>
      <c r="T455"/>
      <c r="U455" s="6"/>
      <c r="W455" s="7"/>
      <c r="Z455" s="4"/>
    </row>
    <row r="456" spans="1:26" x14ac:dyDescent="0.3">
      <c r="A456" t="s">
        <v>827</v>
      </c>
      <c r="B456" s="16" t="s">
        <v>88</v>
      </c>
      <c r="C456" s="17" t="s">
        <v>20</v>
      </c>
      <c r="D456" s="18" t="s">
        <v>323</v>
      </c>
      <c r="E456" s="19">
        <v>61</v>
      </c>
      <c r="F456" t="s">
        <v>373</v>
      </c>
      <c r="G456" s="18" t="s">
        <v>42</v>
      </c>
      <c r="H456" s="18" t="s">
        <v>14</v>
      </c>
      <c r="I456" s="18">
        <v>98400</v>
      </c>
      <c r="J456" s="18">
        <v>5</v>
      </c>
      <c r="K456" s="19">
        <f t="shared" si="21"/>
        <v>492000</v>
      </c>
      <c r="L456" s="20">
        <v>44994</v>
      </c>
      <c r="M456" s="19" t="str">
        <f t="shared" si="22"/>
        <v>Thursday</v>
      </c>
      <c r="N456" s="19" t="str">
        <f t="shared" si="23"/>
        <v>Weekday</v>
      </c>
      <c r="Q456" s="19"/>
      <c r="R456" s="18"/>
      <c r="S456" s="21"/>
      <c r="T456"/>
      <c r="U456" s="6"/>
      <c r="W456" s="7"/>
      <c r="Z456" s="4"/>
    </row>
    <row r="457" spans="1:26" x14ac:dyDescent="0.3">
      <c r="A457" t="s">
        <v>828</v>
      </c>
      <c r="B457" s="22" t="s">
        <v>200</v>
      </c>
      <c r="C457" s="23" t="s">
        <v>366</v>
      </c>
      <c r="D457" s="24" t="s">
        <v>322</v>
      </c>
      <c r="E457" s="25">
        <v>46</v>
      </c>
      <c r="F457" t="s">
        <v>370</v>
      </c>
      <c r="G457" s="24" t="s">
        <v>42</v>
      </c>
      <c r="H457" s="24" t="s">
        <v>14</v>
      </c>
      <c r="I457" s="24">
        <v>98400</v>
      </c>
      <c r="J457" s="24">
        <v>2</v>
      </c>
      <c r="K457" s="25">
        <f t="shared" si="21"/>
        <v>196800</v>
      </c>
      <c r="L457" s="26">
        <v>44933</v>
      </c>
      <c r="M457" s="25" t="str">
        <f t="shared" si="22"/>
        <v>Saturday</v>
      </c>
      <c r="N457" s="25" t="str">
        <f t="shared" si="23"/>
        <v>Weekend</v>
      </c>
      <c r="Q457" s="25"/>
      <c r="R457" s="24"/>
      <c r="S457" s="27"/>
      <c r="T457"/>
      <c r="U457" s="6"/>
      <c r="W457" s="7"/>
      <c r="Z457" s="4"/>
    </row>
    <row r="458" spans="1:26" x14ac:dyDescent="0.3">
      <c r="A458" t="s">
        <v>829</v>
      </c>
      <c r="B458" s="16" t="s">
        <v>147</v>
      </c>
      <c r="C458" s="17" t="s">
        <v>11</v>
      </c>
      <c r="D458" s="18" t="s">
        <v>322</v>
      </c>
      <c r="E458" s="19">
        <v>30</v>
      </c>
      <c r="F458" t="s">
        <v>373</v>
      </c>
      <c r="G458" s="18" t="s">
        <v>26</v>
      </c>
      <c r="H458" s="18" t="s">
        <v>27</v>
      </c>
      <c r="I458" s="18">
        <v>24600</v>
      </c>
      <c r="J458" s="18">
        <v>2</v>
      </c>
      <c r="K458" s="19">
        <f t="shared" si="21"/>
        <v>49200</v>
      </c>
      <c r="L458" s="20">
        <v>45146</v>
      </c>
      <c r="M458" s="19" t="str">
        <f t="shared" si="22"/>
        <v>Tuesday</v>
      </c>
      <c r="N458" s="19" t="str">
        <f t="shared" si="23"/>
        <v>Weekday</v>
      </c>
      <c r="Q458" s="19"/>
      <c r="R458" s="18"/>
      <c r="S458" s="21"/>
      <c r="T458"/>
      <c r="U458" s="6"/>
      <c r="W458" s="7"/>
      <c r="Z458" s="4"/>
    </row>
    <row r="459" spans="1:26" x14ac:dyDescent="0.3">
      <c r="A459" t="s">
        <v>830</v>
      </c>
      <c r="B459" s="22" t="s">
        <v>64</v>
      </c>
      <c r="C459" s="23" t="s">
        <v>20</v>
      </c>
      <c r="D459" s="24" t="s">
        <v>324</v>
      </c>
      <c r="E459" s="25">
        <v>58</v>
      </c>
      <c r="F459" t="s">
        <v>373</v>
      </c>
      <c r="G459" s="24" t="s">
        <v>42</v>
      </c>
      <c r="H459" s="24" t="s">
        <v>14</v>
      </c>
      <c r="I459" s="24">
        <v>98400</v>
      </c>
      <c r="J459" s="24">
        <v>5</v>
      </c>
      <c r="K459" s="25">
        <f t="shared" si="21"/>
        <v>492000</v>
      </c>
      <c r="L459" s="26">
        <v>45276</v>
      </c>
      <c r="M459" s="25" t="str">
        <f t="shared" si="22"/>
        <v>Saturday</v>
      </c>
      <c r="N459" s="25" t="str">
        <f t="shared" si="23"/>
        <v>Weekend</v>
      </c>
      <c r="Q459" s="25"/>
      <c r="R459" s="24"/>
      <c r="S459" s="27"/>
      <c r="T459"/>
      <c r="U459" s="6"/>
      <c r="W459" s="7"/>
      <c r="Z459" s="4"/>
    </row>
    <row r="460" spans="1:26" x14ac:dyDescent="0.3">
      <c r="A460" t="s">
        <v>831</v>
      </c>
      <c r="B460" s="16" t="s">
        <v>215</v>
      </c>
      <c r="C460" s="17" t="s">
        <v>20</v>
      </c>
      <c r="D460" s="18" t="s">
        <v>326</v>
      </c>
      <c r="E460" s="19">
        <v>49</v>
      </c>
      <c r="F460" t="s">
        <v>370</v>
      </c>
      <c r="G460" s="18" t="s">
        <v>13</v>
      </c>
      <c r="H460" s="18" t="s">
        <v>14</v>
      </c>
      <c r="I460" s="18">
        <v>36900</v>
      </c>
      <c r="J460" s="18">
        <v>3</v>
      </c>
      <c r="K460" s="19">
        <f t="shared" si="21"/>
        <v>110700</v>
      </c>
      <c r="L460" s="20">
        <v>45075</v>
      </c>
      <c r="M460" s="19" t="str">
        <f t="shared" si="22"/>
        <v>Monday</v>
      </c>
      <c r="N460" s="19" t="str">
        <f t="shared" si="23"/>
        <v>Weekday</v>
      </c>
      <c r="Q460" s="19"/>
      <c r="R460" s="18"/>
      <c r="S460" s="21"/>
      <c r="T460"/>
      <c r="U460" s="6"/>
      <c r="W460" s="7"/>
      <c r="Z460" s="4"/>
    </row>
    <row r="461" spans="1:26" x14ac:dyDescent="0.3">
      <c r="A461" t="s">
        <v>832</v>
      </c>
      <c r="B461" s="22" t="s">
        <v>119</v>
      </c>
      <c r="C461" s="23" t="s">
        <v>11</v>
      </c>
      <c r="D461" s="24" t="s">
        <v>323</v>
      </c>
      <c r="E461" s="25">
        <v>29</v>
      </c>
      <c r="F461" t="s">
        <v>373</v>
      </c>
      <c r="G461" s="24" t="s">
        <v>13</v>
      </c>
      <c r="H461" s="24" t="s">
        <v>14</v>
      </c>
      <c r="I461" s="24">
        <v>36900</v>
      </c>
      <c r="J461" s="24">
        <v>4</v>
      </c>
      <c r="K461" s="25">
        <f t="shared" si="21"/>
        <v>147600</v>
      </c>
      <c r="L461" s="26">
        <v>45173</v>
      </c>
      <c r="M461" s="25" t="str">
        <f t="shared" si="22"/>
        <v>Monday</v>
      </c>
      <c r="N461" s="25" t="str">
        <f t="shared" si="23"/>
        <v>Weekday</v>
      </c>
      <c r="Q461" s="25"/>
      <c r="R461" s="24"/>
      <c r="S461" s="27"/>
      <c r="T461"/>
      <c r="U461" s="6"/>
      <c r="W461" s="7"/>
      <c r="Z461" s="4"/>
    </row>
    <row r="462" spans="1:26" x14ac:dyDescent="0.3">
      <c r="A462" t="s">
        <v>833</v>
      </c>
      <c r="B462" s="16" t="s">
        <v>158</v>
      </c>
      <c r="C462" s="17" t="s">
        <v>20</v>
      </c>
      <c r="D462" s="18" t="s">
        <v>322</v>
      </c>
      <c r="E462" s="19">
        <v>54</v>
      </c>
      <c r="F462" t="s">
        <v>381</v>
      </c>
      <c r="G462" s="18" t="s">
        <v>42</v>
      </c>
      <c r="H462" s="18" t="s">
        <v>14</v>
      </c>
      <c r="I462" s="18">
        <v>98400</v>
      </c>
      <c r="J462" s="18">
        <v>1</v>
      </c>
      <c r="K462" s="19">
        <f t="shared" si="21"/>
        <v>98400</v>
      </c>
      <c r="L462" s="20">
        <v>45168</v>
      </c>
      <c r="M462" s="19" t="str">
        <f t="shared" si="22"/>
        <v>Wednesday</v>
      </c>
      <c r="N462" s="19" t="str">
        <f t="shared" si="23"/>
        <v>Weekday</v>
      </c>
      <c r="Q462" s="19"/>
      <c r="R462" s="18"/>
      <c r="S462" s="21"/>
      <c r="T462"/>
      <c r="U462" s="6"/>
      <c r="W462" s="7"/>
      <c r="Z462" s="4"/>
    </row>
    <row r="463" spans="1:26" x14ac:dyDescent="0.3">
      <c r="A463" t="s">
        <v>834</v>
      </c>
      <c r="B463" s="22" t="s">
        <v>69</v>
      </c>
      <c r="C463" s="23" t="s">
        <v>11</v>
      </c>
      <c r="D463" s="24" t="s">
        <v>322</v>
      </c>
      <c r="E463" s="25">
        <v>68</v>
      </c>
      <c r="F463" t="s">
        <v>381</v>
      </c>
      <c r="G463" s="24" t="s">
        <v>31</v>
      </c>
      <c r="H463" s="24" t="s">
        <v>18</v>
      </c>
      <c r="I463" s="24">
        <v>6150</v>
      </c>
      <c r="J463" s="24">
        <v>3</v>
      </c>
      <c r="K463" s="25">
        <f t="shared" si="21"/>
        <v>18450</v>
      </c>
      <c r="L463" s="26">
        <v>44959</v>
      </c>
      <c r="M463" s="25" t="str">
        <f t="shared" si="22"/>
        <v>Thursday</v>
      </c>
      <c r="N463" s="25" t="str">
        <f t="shared" si="23"/>
        <v>Weekday</v>
      </c>
      <c r="Q463" s="25"/>
      <c r="R463" s="24"/>
      <c r="S463" s="27"/>
      <c r="T463"/>
      <c r="U463" s="6"/>
      <c r="W463" s="7"/>
      <c r="Z463" s="4"/>
    </row>
    <row r="464" spans="1:26" x14ac:dyDescent="0.3">
      <c r="A464" t="s">
        <v>835</v>
      </c>
      <c r="B464" s="16" t="s">
        <v>167</v>
      </c>
      <c r="C464" s="17" t="s">
        <v>11</v>
      </c>
      <c r="D464" s="18" t="s">
        <v>322</v>
      </c>
      <c r="E464" s="19">
        <v>66</v>
      </c>
      <c r="F464" t="s">
        <v>381</v>
      </c>
      <c r="G464" s="18" t="s">
        <v>13</v>
      </c>
      <c r="H464" s="18" t="s">
        <v>14</v>
      </c>
      <c r="I464" s="18">
        <v>36900</v>
      </c>
      <c r="J464" s="18">
        <v>4</v>
      </c>
      <c r="K464" s="19">
        <f t="shared" si="21"/>
        <v>147600</v>
      </c>
      <c r="L464" s="20">
        <v>45181</v>
      </c>
      <c r="M464" s="19" t="str">
        <f t="shared" si="22"/>
        <v>Tuesday</v>
      </c>
      <c r="N464" s="19" t="str">
        <f t="shared" si="23"/>
        <v>Weekday</v>
      </c>
      <c r="Q464" s="19"/>
      <c r="R464" s="18"/>
      <c r="S464" s="21"/>
      <c r="T464"/>
      <c r="U464" s="6"/>
      <c r="W464" s="7"/>
      <c r="Z464" s="4"/>
    </row>
    <row r="465" spans="1:26" x14ac:dyDescent="0.3">
      <c r="A465" t="s">
        <v>836</v>
      </c>
      <c r="B465" s="22" t="s">
        <v>257</v>
      </c>
      <c r="C465" s="23" t="s">
        <v>11</v>
      </c>
      <c r="D465" s="24" t="s">
        <v>325</v>
      </c>
      <c r="E465" s="25">
        <v>39</v>
      </c>
      <c r="F465" t="s">
        <v>381</v>
      </c>
      <c r="G465" s="24" t="s">
        <v>31</v>
      </c>
      <c r="H465" s="24" t="s">
        <v>18</v>
      </c>
      <c r="I465" s="24">
        <v>6150</v>
      </c>
      <c r="J465" s="24">
        <v>4</v>
      </c>
      <c r="K465" s="25">
        <f t="shared" si="21"/>
        <v>24600</v>
      </c>
      <c r="L465" s="26">
        <v>45281</v>
      </c>
      <c r="M465" s="25" t="str">
        <f t="shared" si="22"/>
        <v>Thursday</v>
      </c>
      <c r="N465" s="25" t="str">
        <f t="shared" si="23"/>
        <v>Weekday</v>
      </c>
      <c r="Q465" s="25"/>
      <c r="R465" s="24"/>
      <c r="S465" s="27"/>
      <c r="T465"/>
      <c r="U465" s="6"/>
      <c r="W465" s="7"/>
      <c r="Z465" s="4"/>
    </row>
    <row r="466" spans="1:26" x14ac:dyDescent="0.3">
      <c r="A466" t="s">
        <v>837</v>
      </c>
      <c r="B466" s="16" t="s">
        <v>233</v>
      </c>
      <c r="C466" s="17" t="s">
        <v>20</v>
      </c>
      <c r="D466" s="18" t="s">
        <v>327</v>
      </c>
      <c r="E466" s="19">
        <v>64</v>
      </c>
      <c r="F466" t="s">
        <v>373</v>
      </c>
      <c r="G466" s="18" t="s">
        <v>42</v>
      </c>
      <c r="H466" s="18" t="s">
        <v>14</v>
      </c>
      <c r="I466" s="18">
        <v>98400</v>
      </c>
      <c r="J466" s="18">
        <v>1</v>
      </c>
      <c r="K466" s="19">
        <f t="shared" si="21"/>
        <v>98400</v>
      </c>
      <c r="L466" s="20">
        <v>45206</v>
      </c>
      <c r="M466" s="19" t="str">
        <f t="shared" si="22"/>
        <v>Saturday</v>
      </c>
      <c r="N466" s="19" t="str">
        <f t="shared" si="23"/>
        <v>Weekend</v>
      </c>
      <c r="Q466" s="19"/>
      <c r="R466" s="18"/>
      <c r="S466" s="21"/>
      <c r="T466"/>
      <c r="U466" s="6"/>
      <c r="W466" s="7"/>
      <c r="Z466" s="4"/>
    </row>
    <row r="467" spans="1:26" x14ac:dyDescent="0.3">
      <c r="A467" t="s">
        <v>838</v>
      </c>
      <c r="B467" s="22" t="s">
        <v>54</v>
      </c>
      <c r="C467" s="23" t="s">
        <v>11</v>
      </c>
      <c r="D467" s="24" t="s">
        <v>322</v>
      </c>
      <c r="E467" s="25">
        <v>57</v>
      </c>
      <c r="F467" t="s">
        <v>375</v>
      </c>
      <c r="G467" s="24" t="s">
        <v>31</v>
      </c>
      <c r="H467" s="24" t="s">
        <v>18</v>
      </c>
      <c r="I467" s="24">
        <v>6150</v>
      </c>
      <c r="J467" s="24">
        <v>2</v>
      </c>
      <c r="K467" s="25">
        <f t="shared" si="21"/>
        <v>12300</v>
      </c>
      <c r="L467" s="26">
        <v>45246</v>
      </c>
      <c r="M467" s="25" t="str">
        <f t="shared" si="22"/>
        <v>Thursday</v>
      </c>
      <c r="N467" s="25" t="str">
        <f t="shared" si="23"/>
        <v>Weekday</v>
      </c>
      <c r="Q467" s="25"/>
      <c r="R467" s="24"/>
      <c r="S467" s="27"/>
      <c r="T467"/>
      <c r="U467" s="6"/>
      <c r="W467" s="7"/>
      <c r="Z467" s="4"/>
    </row>
    <row r="468" spans="1:26" x14ac:dyDescent="0.3">
      <c r="A468" t="s">
        <v>839</v>
      </c>
      <c r="B468" s="16" t="s">
        <v>33</v>
      </c>
      <c r="C468" s="17" t="s">
        <v>11</v>
      </c>
      <c r="D468" s="18" t="s">
        <v>323</v>
      </c>
      <c r="E468" s="19">
        <v>29</v>
      </c>
      <c r="F468" t="s">
        <v>381</v>
      </c>
      <c r="G468" s="18" t="s">
        <v>13</v>
      </c>
      <c r="H468" s="18" t="s">
        <v>14</v>
      </c>
      <c r="I468" s="18">
        <v>36900</v>
      </c>
      <c r="J468" s="18">
        <v>5</v>
      </c>
      <c r="K468" s="19">
        <f t="shared" si="21"/>
        <v>184500</v>
      </c>
      <c r="L468" s="20">
        <v>45229</v>
      </c>
      <c r="M468" s="19" t="str">
        <f t="shared" si="22"/>
        <v>Monday</v>
      </c>
      <c r="N468" s="19" t="str">
        <f t="shared" si="23"/>
        <v>Weekday</v>
      </c>
      <c r="Q468" s="19"/>
      <c r="R468" s="18"/>
      <c r="S468" s="21"/>
      <c r="T468"/>
      <c r="U468" s="6"/>
      <c r="W468" s="7"/>
      <c r="Z468" s="4"/>
    </row>
    <row r="469" spans="1:26" x14ac:dyDescent="0.3">
      <c r="A469" t="s">
        <v>840</v>
      </c>
      <c r="B469" s="22" t="s">
        <v>170</v>
      </c>
      <c r="C469" s="23" t="s">
        <v>20</v>
      </c>
      <c r="D469" s="24" t="s">
        <v>326</v>
      </c>
      <c r="E469" s="25">
        <v>42</v>
      </c>
      <c r="F469" t="s">
        <v>381</v>
      </c>
      <c r="G469" s="24" t="s">
        <v>32</v>
      </c>
      <c r="H469" s="24" t="s">
        <v>18</v>
      </c>
      <c r="I469" s="24">
        <v>3690</v>
      </c>
      <c r="J469" s="24">
        <v>5</v>
      </c>
      <c r="K469" s="25">
        <f t="shared" si="21"/>
        <v>18450</v>
      </c>
      <c r="L469" s="26">
        <v>44978</v>
      </c>
      <c r="M469" s="25" t="str">
        <f t="shared" si="22"/>
        <v>Tuesday</v>
      </c>
      <c r="N469" s="25" t="str">
        <f t="shared" si="23"/>
        <v>Weekday</v>
      </c>
      <c r="Q469" s="25"/>
      <c r="R469" s="24"/>
      <c r="S469" s="27"/>
      <c r="T469"/>
      <c r="U469" s="6"/>
      <c r="W469" s="7"/>
      <c r="Z469" s="4"/>
    </row>
    <row r="470" spans="1:26" x14ac:dyDescent="0.3">
      <c r="A470" t="s">
        <v>841</v>
      </c>
      <c r="B470" s="16" t="s">
        <v>194</v>
      </c>
      <c r="C470" s="17" t="s">
        <v>11</v>
      </c>
      <c r="D470" s="18" t="s">
        <v>323</v>
      </c>
      <c r="E470" s="19">
        <v>28</v>
      </c>
      <c r="F470" t="s">
        <v>373</v>
      </c>
      <c r="G470" s="18" t="s">
        <v>13</v>
      </c>
      <c r="H470" s="18" t="s">
        <v>14</v>
      </c>
      <c r="I470" s="18">
        <v>36900</v>
      </c>
      <c r="J470" s="18">
        <v>5</v>
      </c>
      <c r="K470" s="19">
        <f t="shared" si="21"/>
        <v>184500</v>
      </c>
      <c r="L470" s="20">
        <v>44997</v>
      </c>
      <c r="M470" s="19" t="str">
        <f t="shared" si="22"/>
        <v>Sunday</v>
      </c>
      <c r="N470" s="19" t="str">
        <f t="shared" si="23"/>
        <v>Weekday</v>
      </c>
      <c r="Q470" s="19"/>
      <c r="R470" s="18"/>
      <c r="S470" s="21"/>
      <c r="T470"/>
      <c r="U470" s="6"/>
      <c r="W470" s="7"/>
      <c r="Z470" s="4"/>
    </row>
    <row r="471" spans="1:26" x14ac:dyDescent="0.3">
      <c r="A471" t="s">
        <v>842</v>
      </c>
      <c r="B471" s="22" t="s">
        <v>258</v>
      </c>
      <c r="C471" s="23" t="s">
        <v>20</v>
      </c>
      <c r="D471" s="24" t="s">
        <v>322</v>
      </c>
      <c r="E471" s="25">
        <v>36</v>
      </c>
      <c r="F471" t="s">
        <v>373</v>
      </c>
      <c r="G471" s="24" t="s">
        <v>32</v>
      </c>
      <c r="H471" s="24" t="s">
        <v>18</v>
      </c>
      <c r="I471" s="24">
        <v>3690</v>
      </c>
      <c r="J471" s="24">
        <v>5</v>
      </c>
      <c r="K471" s="25">
        <f t="shared" si="21"/>
        <v>18450</v>
      </c>
      <c r="L471" s="26">
        <v>45216</v>
      </c>
      <c r="M471" s="25" t="str">
        <f t="shared" si="22"/>
        <v>Tuesday</v>
      </c>
      <c r="N471" s="25" t="str">
        <f t="shared" si="23"/>
        <v>Weekday</v>
      </c>
      <c r="Q471" s="25"/>
      <c r="R471" s="24"/>
      <c r="S471" s="27"/>
      <c r="T471"/>
      <c r="U471" s="6"/>
      <c r="W471" s="7"/>
      <c r="Z471" s="4"/>
    </row>
    <row r="472" spans="1:26" x14ac:dyDescent="0.3">
      <c r="A472" t="s">
        <v>843</v>
      </c>
      <c r="B472" s="16" t="s">
        <v>167</v>
      </c>
      <c r="C472" s="17" t="s">
        <v>11</v>
      </c>
      <c r="D472" s="18" t="s">
        <v>322</v>
      </c>
      <c r="E472" s="19">
        <v>66</v>
      </c>
      <c r="F472" t="s">
        <v>370</v>
      </c>
      <c r="G472" s="18" t="s">
        <v>32</v>
      </c>
      <c r="H472" s="18" t="s">
        <v>18</v>
      </c>
      <c r="I472" s="18">
        <v>3690</v>
      </c>
      <c r="J472" s="18">
        <v>2</v>
      </c>
      <c r="K472" s="19">
        <f t="shared" si="21"/>
        <v>7380</v>
      </c>
      <c r="L472" s="20">
        <v>45082</v>
      </c>
      <c r="M472" s="19" t="str">
        <f t="shared" si="22"/>
        <v>Monday</v>
      </c>
      <c r="N472" s="19" t="str">
        <f t="shared" si="23"/>
        <v>Weekday</v>
      </c>
      <c r="Q472" s="19"/>
      <c r="R472" s="18"/>
      <c r="S472" s="21"/>
      <c r="T472"/>
      <c r="U472" s="6"/>
      <c r="W472" s="7"/>
      <c r="Z472" s="4"/>
    </row>
    <row r="473" spans="1:26" x14ac:dyDescent="0.3">
      <c r="A473" t="s">
        <v>844</v>
      </c>
      <c r="B473" s="22" t="s">
        <v>149</v>
      </c>
      <c r="C473" s="23" t="s">
        <v>366</v>
      </c>
      <c r="D473" s="24" t="s">
        <v>322</v>
      </c>
      <c r="E473" s="25">
        <v>58</v>
      </c>
      <c r="F473" t="s">
        <v>381</v>
      </c>
      <c r="G473" s="24" t="s">
        <v>13</v>
      </c>
      <c r="H473" s="24" t="s">
        <v>14</v>
      </c>
      <c r="I473" s="24">
        <v>36900</v>
      </c>
      <c r="J473" s="24">
        <v>4</v>
      </c>
      <c r="K473" s="25">
        <f t="shared" si="21"/>
        <v>147600</v>
      </c>
      <c r="L473" s="26">
        <v>44988</v>
      </c>
      <c r="M473" s="25" t="str">
        <f t="shared" si="22"/>
        <v>Friday</v>
      </c>
      <c r="N473" s="25" t="str">
        <f t="shared" si="23"/>
        <v>Weekend</v>
      </c>
      <c r="Q473" s="25"/>
      <c r="R473" s="24"/>
      <c r="S473" s="27"/>
      <c r="T473"/>
      <c r="U473" s="6"/>
      <c r="W473" s="7"/>
      <c r="Z473" s="4"/>
    </row>
    <row r="474" spans="1:26" x14ac:dyDescent="0.3">
      <c r="A474" t="s">
        <v>845</v>
      </c>
      <c r="B474" s="16" t="s">
        <v>212</v>
      </c>
      <c r="C474" s="17" t="s">
        <v>20</v>
      </c>
      <c r="D474" s="18" t="s">
        <v>322</v>
      </c>
      <c r="E474" s="19">
        <v>54</v>
      </c>
      <c r="F474" t="s">
        <v>370</v>
      </c>
      <c r="G474" s="18" t="s">
        <v>42</v>
      </c>
      <c r="H474" s="18" t="s">
        <v>14</v>
      </c>
      <c r="I474" s="18">
        <v>98400</v>
      </c>
      <c r="J474" s="18">
        <v>5</v>
      </c>
      <c r="K474" s="19">
        <f t="shared" si="21"/>
        <v>492000</v>
      </c>
      <c r="L474" s="20">
        <v>45119</v>
      </c>
      <c r="M474" s="19" t="str">
        <f t="shared" si="22"/>
        <v>Wednesday</v>
      </c>
      <c r="N474" s="19" t="str">
        <f t="shared" si="23"/>
        <v>Weekday</v>
      </c>
      <c r="Q474" s="19"/>
      <c r="R474" s="18"/>
      <c r="S474" s="21"/>
      <c r="T474"/>
      <c r="U474" s="6"/>
      <c r="W474" s="7"/>
      <c r="Z474" s="4"/>
    </row>
    <row r="475" spans="1:26" x14ac:dyDescent="0.3">
      <c r="A475" t="s">
        <v>846</v>
      </c>
      <c r="B475" s="22" t="s">
        <v>166</v>
      </c>
      <c r="C475" s="23" t="s">
        <v>366</v>
      </c>
      <c r="D475" s="24" t="s">
        <v>326</v>
      </c>
      <c r="E475" s="25">
        <v>57</v>
      </c>
      <c r="F475" t="s">
        <v>381</v>
      </c>
      <c r="G475" s="24" t="s">
        <v>13</v>
      </c>
      <c r="H475" s="24" t="s">
        <v>14</v>
      </c>
      <c r="I475" s="24">
        <v>36900</v>
      </c>
      <c r="J475" s="24">
        <v>1</v>
      </c>
      <c r="K475" s="25">
        <f t="shared" si="21"/>
        <v>36900</v>
      </c>
      <c r="L475" s="26">
        <v>44962</v>
      </c>
      <c r="M475" s="25" t="str">
        <f t="shared" si="22"/>
        <v>Sunday</v>
      </c>
      <c r="N475" s="25" t="str">
        <f t="shared" si="23"/>
        <v>Weekday</v>
      </c>
      <c r="Q475" s="25"/>
      <c r="R475" s="24"/>
      <c r="S475" s="27"/>
      <c r="T475"/>
      <c r="U475" s="6"/>
      <c r="W475" s="7"/>
      <c r="Z475" s="4"/>
    </row>
    <row r="476" spans="1:26" x14ac:dyDescent="0.3">
      <c r="A476" t="s">
        <v>847</v>
      </c>
      <c r="B476" s="16" t="s">
        <v>36</v>
      </c>
      <c r="C476" s="17" t="s">
        <v>366</v>
      </c>
      <c r="D476" s="18" t="s">
        <v>324</v>
      </c>
      <c r="E476" s="19">
        <v>41</v>
      </c>
      <c r="F476" t="s">
        <v>375</v>
      </c>
      <c r="G476" s="18" t="s">
        <v>42</v>
      </c>
      <c r="H476" s="18" t="s">
        <v>14</v>
      </c>
      <c r="I476" s="18">
        <v>98400</v>
      </c>
      <c r="J476" s="18">
        <v>3</v>
      </c>
      <c r="K476" s="19">
        <f t="shared" si="21"/>
        <v>295200</v>
      </c>
      <c r="L476" s="20">
        <v>45191</v>
      </c>
      <c r="M476" s="19" t="str">
        <f t="shared" si="22"/>
        <v>Friday</v>
      </c>
      <c r="N476" s="19" t="str">
        <f t="shared" si="23"/>
        <v>Weekend</v>
      </c>
      <c r="Q476" s="19"/>
      <c r="R476" s="18"/>
      <c r="S476" s="21"/>
      <c r="T476"/>
      <c r="U476" s="6"/>
      <c r="W476" s="7"/>
      <c r="Z476" s="4"/>
    </row>
    <row r="477" spans="1:26" x14ac:dyDescent="0.3">
      <c r="A477" t="s">
        <v>848</v>
      </c>
      <c r="B477" s="22" t="s">
        <v>137</v>
      </c>
      <c r="C477" s="23" t="s">
        <v>11</v>
      </c>
      <c r="D477" s="24" t="s">
        <v>329</v>
      </c>
      <c r="E477" s="25">
        <v>54</v>
      </c>
      <c r="F477" t="s">
        <v>373</v>
      </c>
      <c r="G477" s="24" t="s">
        <v>24</v>
      </c>
      <c r="H477" s="24" t="s">
        <v>14</v>
      </c>
      <c r="I477" s="24">
        <v>184500</v>
      </c>
      <c r="J477" s="24">
        <v>4</v>
      </c>
      <c r="K477" s="25">
        <f t="shared" si="21"/>
        <v>738000</v>
      </c>
      <c r="L477" s="26">
        <v>45119</v>
      </c>
      <c r="M477" s="25" t="str">
        <f t="shared" si="22"/>
        <v>Wednesday</v>
      </c>
      <c r="N477" s="25" t="str">
        <f t="shared" si="23"/>
        <v>Weekday</v>
      </c>
      <c r="Q477" s="25"/>
      <c r="R477" s="24"/>
      <c r="S477" s="27"/>
      <c r="T477"/>
      <c r="U477" s="6"/>
      <c r="W477" s="7"/>
      <c r="Z477" s="4"/>
    </row>
    <row r="478" spans="1:26" x14ac:dyDescent="0.3">
      <c r="A478" t="s">
        <v>849</v>
      </c>
      <c r="B478" s="16" t="s">
        <v>45</v>
      </c>
      <c r="C478" s="17" t="s">
        <v>20</v>
      </c>
      <c r="D478" s="18" t="s">
        <v>323</v>
      </c>
      <c r="E478" s="19">
        <v>37</v>
      </c>
      <c r="F478" t="s">
        <v>373</v>
      </c>
      <c r="G478" s="18" t="s">
        <v>24</v>
      </c>
      <c r="H478" s="18" t="s">
        <v>14</v>
      </c>
      <c r="I478" s="18">
        <v>184500</v>
      </c>
      <c r="J478" s="18">
        <v>1</v>
      </c>
      <c r="K478" s="19">
        <f t="shared" si="21"/>
        <v>184500</v>
      </c>
      <c r="L478" s="20">
        <v>45236</v>
      </c>
      <c r="M478" s="19" t="str">
        <f t="shared" si="22"/>
        <v>Monday</v>
      </c>
      <c r="N478" s="19" t="str">
        <f t="shared" si="23"/>
        <v>Weekday</v>
      </c>
      <c r="Q478" s="19"/>
      <c r="R478" s="18"/>
      <c r="S478" s="21"/>
      <c r="T478"/>
      <c r="U478" s="6"/>
      <c r="W478" s="7"/>
      <c r="Z478" s="4"/>
    </row>
    <row r="479" spans="1:26" x14ac:dyDescent="0.3">
      <c r="A479" t="s">
        <v>850</v>
      </c>
      <c r="B479" s="22" t="s">
        <v>259</v>
      </c>
      <c r="C479" s="23" t="s">
        <v>366</v>
      </c>
      <c r="D479" s="24" t="s">
        <v>328</v>
      </c>
      <c r="E479" s="25">
        <v>58</v>
      </c>
      <c r="F479" t="s">
        <v>370</v>
      </c>
      <c r="G479" s="24" t="s">
        <v>17</v>
      </c>
      <c r="H479" s="24" t="s">
        <v>18</v>
      </c>
      <c r="I479" s="24">
        <v>12300</v>
      </c>
      <c r="J479" s="24">
        <v>5</v>
      </c>
      <c r="K479" s="25">
        <f t="shared" si="21"/>
        <v>61500</v>
      </c>
      <c r="L479" s="26">
        <v>45151</v>
      </c>
      <c r="M479" s="25" t="str">
        <f t="shared" si="22"/>
        <v>Sunday</v>
      </c>
      <c r="N479" s="25" t="str">
        <f t="shared" si="23"/>
        <v>Weekday</v>
      </c>
      <c r="Q479" s="25"/>
      <c r="R479" s="24"/>
      <c r="S479" s="27"/>
      <c r="T479"/>
      <c r="U479" s="6"/>
      <c r="W479" s="7"/>
      <c r="Z479" s="4"/>
    </row>
    <row r="480" spans="1:26" x14ac:dyDescent="0.3">
      <c r="A480" t="s">
        <v>851</v>
      </c>
      <c r="B480" s="16" t="s">
        <v>101</v>
      </c>
      <c r="C480" s="17" t="s">
        <v>11</v>
      </c>
      <c r="D480" s="18" t="s">
        <v>322</v>
      </c>
      <c r="E480" s="19">
        <v>19</v>
      </c>
      <c r="F480" t="s">
        <v>370</v>
      </c>
      <c r="G480" s="18" t="s">
        <v>42</v>
      </c>
      <c r="H480" s="18" t="s">
        <v>14</v>
      </c>
      <c r="I480" s="18">
        <v>98400</v>
      </c>
      <c r="J480" s="18">
        <v>4</v>
      </c>
      <c r="K480" s="19">
        <f t="shared" si="21"/>
        <v>393600</v>
      </c>
      <c r="L480" s="20">
        <v>44949</v>
      </c>
      <c r="M480" s="19" t="str">
        <f t="shared" si="22"/>
        <v>Monday</v>
      </c>
      <c r="N480" s="19" t="str">
        <f t="shared" si="23"/>
        <v>Weekday</v>
      </c>
      <c r="Q480" s="19"/>
      <c r="R480" s="18"/>
      <c r="S480" s="21"/>
      <c r="T480"/>
      <c r="U480" s="6"/>
      <c r="W480" s="7"/>
      <c r="Z480" s="4"/>
    </row>
    <row r="481" spans="1:26" x14ac:dyDescent="0.3">
      <c r="A481" t="s">
        <v>852</v>
      </c>
      <c r="B481" s="22" t="s">
        <v>90</v>
      </c>
      <c r="C481" s="23" t="s">
        <v>20</v>
      </c>
      <c r="D481" s="24" t="s">
        <v>323</v>
      </c>
      <c r="E481" s="25">
        <v>50</v>
      </c>
      <c r="F481" t="s">
        <v>373</v>
      </c>
      <c r="G481" s="24" t="s">
        <v>13</v>
      </c>
      <c r="H481" s="24" t="s">
        <v>14</v>
      </c>
      <c r="I481" s="24">
        <v>36900</v>
      </c>
      <c r="J481" s="24">
        <v>4</v>
      </c>
      <c r="K481" s="25">
        <f t="shared" si="21"/>
        <v>147600</v>
      </c>
      <c r="L481" s="26">
        <v>45206</v>
      </c>
      <c r="M481" s="25" t="str">
        <f t="shared" si="22"/>
        <v>Saturday</v>
      </c>
      <c r="N481" s="25" t="str">
        <f t="shared" si="23"/>
        <v>Weekend</v>
      </c>
      <c r="Q481" s="25"/>
      <c r="R481" s="24"/>
      <c r="S481" s="27"/>
      <c r="T481"/>
      <c r="U481" s="6"/>
      <c r="W481" s="7"/>
      <c r="Z481" s="4"/>
    </row>
    <row r="482" spans="1:26" x14ac:dyDescent="0.3">
      <c r="A482" t="s">
        <v>853</v>
      </c>
      <c r="B482" s="16" t="s">
        <v>90</v>
      </c>
      <c r="C482" s="17" t="s">
        <v>20</v>
      </c>
      <c r="D482" s="18" t="s">
        <v>323</v>
      </c>
      <c r="E482" s="19">
        <v>50</v>
      </c>
      <c r="F482" t="s">
        <v>373</v>
      </c>
      <c r="G482" s="18" t="s">
        <v>32</v>
      </c>
      <c r="H482" s="18" t="s">
        <v>18</v>
      </c>
      <c r="I482" s="18">
        <v>3690</v>
      </c>
      <c r="J482" s="18">
        <v>1</v>
      </c>
      <c r="K482" s="19">
        <f t="shared" si="21"/>
        <v>3690</v>
      </c>
      <c r="L482" s="20">
        <v>45245</v>
      </c>
      <c r="M482" s="19" t="str">
        <f t="shared" si="22"/>
        <v>Wednesday</v>
      </c>
      <c r="N482" s="19" t="str">
        <f t="shared" si="23"/>
        <v>Weekday</v>
      </c>
      <c r="Q482" s="19"/>
      <c r="R482" s="18"/>
      <c r="S482" s="21"/>
      <c r="T482"/>
      <c r="U482" s="6"/>
      <c r="W482" s="7"/>
      <c r="Z482" s="4"/>
    </row>
    <row r="483" spans="1:26" x14ac:dyDescent="0.3">
      <c r="A483" t="s">
        <v>854</v>
      </c>
      <c r="B483" s="22" t="s">
        <v>50</v>
      </c>
      <c r="C483" s="23" t="s">
        <v>20</v>
      </c>
      <c r="D483" s="24" t="s">
        <v>326</v>
      </c>
      <c r="E483" s="25">
        <v>59</v>
      </c>
      <c r="F483" t="s">
        <v>373</v>
      </c>
      <c r="G483" s="24" t="s">
        <v>13</v>
      </c>
      <c r="H483" s="24" t="s">
        <v>14</v>
      </c>
      <c r="I483" s="24">
        <v>36900</v>
      </c>
      <c r="J483" s="24">
        <v>3</v>
      </c>
      <c r="K483" s="25">
        <f t="shared" si="21"/>
        <v>110700</v>
      </c>
      <c r="L483" s="26">
        <v>45286</v>
      </c>
      <c r="M483" s="25" t="str">
        <f t="shared" si="22"/>
        <v>Tuesday</v>
      </c>
      <c r="N483" s="25" t="str">
        <f t="shared" si="23"/>
        <v>Weekday</v>
      </c>
      <c r="Q483" s="25"/>
      <c r="R483" s="24"/>
      <c r="S483" s="27"/>
      <c r="T483"/>
      <c r="U483" s="6"/>
      <c r="W483" s="7"/>
      <c r="Z483" s="4"/>
    </row>
    <row r="484" spans="1:26" x14ac:dyDescent="0.3">
      <c r="A484" t="s">
        <v>855</v>
      </c>
      <c r="B484" s="16" t="s">
        <v>258</v>
      </c>
      <c r="C484" s="17" t="s">
        <v>20</v>
      </c>
      <c r="D484" s="18" t="s">
        <v>322</v>
      </c>
      <c r="E484" s="19">
        <v>36</v>
      </c>
      <c r="F484" t="s">
        <v>381</v>
      </c>
      <c r="G484" s="18" t="s">
        <v>32</v>
      </c>
      <c r="H484" s="18" t="s">
        <v>18</v>
      </c>
      <c r="I484" s="18">
        <v>3690</v>
      </c>
      <c r="J484" s="18">
        <v>5</v>
      </c>
      <c r="K484" s="19">
        <f t="shared" si="21"/>
        <v>18450</v>
      </c>
      <c r="L484" s="20">
        <v>45241</v>
      </c>
      <c r="M484" s="19" t="str">
        <f t="shared" si="22"/>
        <v>Saturday</v>
      </c>
      <c r="N484" s="19" t="str">
        <f t="shared" si="23"/>
        <v>Weekend</v>
      </c>
      <c r="Q484" s="19"/>
      <c r="R484" s="18"/>
      <c r="S484" s="21"/>
      <c r="T484"/>
      <c r="U484" s="6"/>
      <c r="W484" s="7"/>
      <c r="Z484" s="4"/>
    </row>
    <row r="485" spans="1:26" x14ac:dyDescent="0.3">
      <c r="A485" t="s">
        <v>856</v>
      </c>
      <c r="B485" s="22" t="s">
        <v>223</v>
      </c>
      <c r="C485" s="23" t="s">
        <v>366</v>
      </c>
      <c r="D485" s="24" t="s">
        <v>326</v>
      </c>
      <c r="E485" s="25">
        <v>37</v>
      </c>
      <c r="F485" t="s">
        <v>381</v>
      </c>
      <c r="G485" s="24" t="s">
        <v>17</v>
      </c>
      <c r="H485" s="24" t="s">
        <v>18</v>
      </c>
      <c r="I485" s="24">
        <v>12300</v>
      </c>
      <c r="J485" s="24">
        <v>5</v>
      </c>
      <c r="K485" s="25">
        <f t="shared" si="21"/>
        <v>61500</v>
      </c>
      <c r="L485" s="26">
        <v>45037</v>
      </c>
      <c r="M485" s="25" t="str">
        <f t="shared" si="22"/>
        <v>Friday</v>
      </c>
      <c r="N485" s="25" t="str">
        <f t="shared" si="23"/>
        <v>Weekend</v>
      </c>
      <c r="Q485" s="25"/>
      <c r="R485" s="24"/>
      <c r="S485" s="27"/>
      <c r="T485"/>
      <c r="U485" s="6"/>
      <c r="W485" s="7"/>
      <c r="Z485" s="4"/>
    </row>
    <row r="486" spans="1:26" x14ac:dyDescent="0.3">
      <c r="A486" t="s">
        <v>857</v>
      </c>
      <c r="B486" s="16" t="s">
        <v>71</v>
      </c>
      <c r="C486" s="17" t="s">
        <v>20</v>
      </c>
      <c r="D486" s="18" t="s">
        <v>323</v>
      </c>
      <c r="E486" s="19">
        <v>67</v>
      </c>
      <c r="F486" t="s">
        <v>375</v>
      </c>
      <c r="G486" s="18" t="s">
        <v>31</v>
      </c>
      <c r="H486" s="18" t="s">
        <v>18</v>
      </c>
      <c r="I486" s="18">
        <v>6150</v>
      </c>
      <c r="J486" s="18">
        <v>5</v>
      </c>
      <c r="K486" s="19">
        <f t="shared" si="21"/>
        <v>30750</v>
      </c>
      <c r="L486" s="20">
        <v>45064</v>
      </c>
      <c r="M486" s="19" t="str">
        <f t="shared" si="22"/>
        <v>Thursday</v>
      </c>
      <c r="N486" s="19" t="str">
        <f t="shared" si="23"/>
        <v>Weekday</v>
      </c>
      <c r="Q486" s="19"/>
      <c r="R486" s="18"/>
      <c r="S486" s="21"/>
      <c r="T486"/>
      <c r="U486" s="6"/>
      <c r="W486" s="7"/>
      <c r="Z486" s="4"/>
    </row>
    <row r="487" spans="1:26" x14ac:dyDescent="0.3">
      <c r="A487" t="s">
        <v>858</v>
      </c>
      <c r="B487" s="22" t="s">
        <v>260</v>
      </c>
      <c r="C487" s="23" t="s">
        <v>11</v>
      </c>
      <c r="D487" s="24" t="s">
        <v>322</v>
      </c>
      <c r="E487" s="25">
        <v>55</v>
      </c>
      <c r="F487" t="s">
        <v>381</v>
      </c>
      <c r="G487" s="24" t="s">
        <v>17</v>
      </c>
      <c r="H487" s="24" t="s">
        <v>18</v>
      </c>
      <c r="I487" s="24">
        <v>12300</v>
      </c>
      <c r="J487" s="24">
        <v>5</v>
      </c>
      <c r="K487" s="25">
        <f t="shared" si="21"/>
        <v>61500</v>
      </c>
      <c r="L487" s="26">
        <v>45062</v>
      </c>
      <c r="M487" s="25" t="str">
        <f t="shared" si="22"/>
        <v>Tuesday</v>
      </c>
      <c r="N487" s="25" t="str">
        <f t="shared" si="23"/>
        <v>Weekday</v>
      </c>
      <c r="Q487" s="25"/>
      <c r="R487" s="24"/>
      <c r="S487" s="27"/>
      <c r="T487"/>
      <c r="U487" s="6"/>
      <c r="W487" s="7"/>
      <c r="Z487" s="4"/>
    </row>
    <row r="488" spans="1:26" x14ac:dyDescent="0.3">
      <c r="A488" t="s">
        <v>859</v>
      </c>
      <c r="B488" s="16" t="s">
        <v>261</v>
      </c>
      <c r="C488" s="17" t="s">
        <v>20</v>
      </c>
      <c r="D488" s="18" t="s">
        <v>325</v>
      </c>
      <c r="E488" s="19">
        <v>49</v>
      </c>
      <c r="F488" t="s">
        <v>373</v>
      </c>
      <c r="G488" s="18" t="s">
        <v>32</v>
      </c>
      <c r="H488" s="18" t="s">
        <v>18</v>
      </c>
      <c r="I488" s="18">
        <v>3690</v>
      </c>
      <c r="J488" s="18">
        <v>5</v>
      </c>
      <c r="K488" s="19">
        <f t="shared" si="21"/>
        <v>18450</v>
      </c>
      <c r="L488" s="20">
        <v>45180</v>
      </c>
      <c r="M488" s="19" t="str">
        <f t="shared" si="22"/>
        <v>Monday</v>
      </c>
      <c r="N488" s="19" t="str">
        <f t="shared" si="23"/>
        <v>Weekday</v>
      </c>
      <c r="Q488" s="19"/>
      <c r="R488" s="18"/>
      <c r="S488" s="21"/>
      <c r="T488"/>
      <c r="U488" s="6"/>
      <c r="W488" s="7"/>
      <c r="Z488" s="4"/>
    </row>
    <row r="489" spans="1:26" x14ac:dyDescent="0.3">
      <c r="A489" t="s">
        <v>860</v>
      </c>
      <c r="B489" s="22" t="s">
        <v>186</v>
      </c>
      <c r="C489" s="23" t="s">
        <v>20</v>
      </c>
      <c r="D489" s="24" t="s">
        <v>324</v>
      </c>
      <c r="E489" s="25">
        <v>51</v>
      </c>
      <c r="F489" t="s">
        <v>381</v>
      </c>
      <c r="G489" s="24" t="s">
        <v>42</v>
      </c>
      <c r="H489" s="24" t="s">
        <v>14</v>
      </c>
      <c r="I489" s="24">
        <v>98400</v>
      </c>
      <c r="J489" s="24">
        <v>5</v>
      </c>
      <c r="K489" s="25">
        <f t="shared" si="21"/>
        <v>492000</v>
      </c>
      <c r="L489" s="26">
        <v>45089</v>
      </c>
      <c r="M489" s="25" t="str">
        <f t="shared" si="22"/>
        <v>Monday</v>
      </c>
      <c r="N489" s="25" t="str">
        <f t="shared" si="23"/>
        <v>Weekday</v>
      </c>
      <c r="Q489" s="25"/>
      <c r="R489" s="24"/>
      <c r="S489" s="27"/>
      <c r="T489"/>
      <c r="U489" s="6"/>
      <c r="W489" s="7"/>
      <c r="Z489" s="4"/>
    </row>
    <row r="490" spans="1:26" x14ac:dyDescent="0.3">
      <c r="A490" t="s">
        <v>861</v>
      </c>
      <c r="B490" s="16" t="s">
        <v>150</v>
      </c>
      <c r="C490" s="17" t="s">
        <v>11</v>
      </c>
      <c r="D490" s="18" t="s">
        <v>326</v>
      </c>
      <c r="E490" s="19">
        <v>56</v>
      </c>
      <c r="F490" t="s">
        <v>370</v>
      </c>
      <c r="G490" s="18" t="s">
        <v>26</v>
      </c>
      <c r="H490" s="18" t="s">
        <v>27</v>
      </c>
      <c r="I490" s="18">
        <v>24600</v>
      </c>
      <c r="J490" s="18">
        <v>5</v>
      </c>
      <c r="K490" s="19">
        <f t="shared" si="21"/>
        <v>123000</v>
      </c>
      <c r="L490" s="20">
        <v>45565</v>
      </c>
      <c r="M490" s="19" t="str">
        <f t="shared" si="22"/>
        <v>Monday</v>
      </c>
      <c r="N490" s="19" t="str">
        <f t="shared" si="23"/>
        <v>Weekday</v>
      </c>
      <c r="Q490" s="19"/>
      <c r="R490" s="18"/>
      <c r="S490" s="21"/>
      <c r="T490"/>
      <c r="U490" s="6"/>
      <c r="W490" s="7"/>
      <c r="Z490" s="4"/>
    </row>
    <row r="491" spans="1:26" x14ac:dyDescent="0.3">
      <c r="A491" t="s">
        <v>862</v>
      </c>
      <c r="B491" s="22" t="s">
        <v>229</v>
      </c>
      <c r="C491" s="23" t="s">
        <v>11</v>
      </c>
      <c r="D491" s="24" t="s">
        <v>324</v>
      </c>
      <c r="E491" s="25">
        <v>66</v>
      </c>
      <c r="F491" t="s">
        <v>373</v>
      </c>
      <c r="G491" s="24" t="s">
        <v>42</v>
      </c>
      <c r="H491" s="24" t="s">
        <v>14</v>
      </c>
      <c r="I491" s="24">
        <v>98400</v>
      </c>
      <c r="J491" s="24">
        <v>1</v>
      </c>
      <c r="K491" s="25">
        <f t="shared" si="21"/>
        <v>98400</v>
      </c>
      <c r="L491" s="26">
        <v>45195</v>
      </c>
      <c r="M491" s="25" t="str">
        <f t="shared" si="22"/>
        <v>Tuesday</v>
      </c>
      <c r="N491" s="25" t="str">
        <f t="shared" si="23"/>
        <v>Weekday</v>
      </c>
      <c r="Q491" s="25"/>
      <c r="R491" s="24"/>
      <c r="S491" s="27"/>
      <c r="T491"/>
      <c r="U491" s="6"/>
      <c r="W491" s="7"/>
      <c r="Z491" s="4"/>
    </row>
    <row r="492" spans="1:26" x14ac:dyDescent="0.3">
      <c r="A492" t="s">
        <v>863</v>
      </c>
      <c r="B492" s="16" t="s">
        <v>111</v>
      </c>
      <c r="C492" s="17" t="s">
        <v>20</v>
      </c>
      <c r="D492" s="18" t="s">
        <v>329</v>
      </c>
      <c r="E492" s="19">
        <v>57</v>
      </c>
      <c r="F492" t="s">
        <v>381</v>
      </c>
      <c r="G492" s="18" t="s">
        <v>24</v>
      </c>
      <c r="H492" s="18" t="s">
        <v>14</v>
      </c>
      <c r="I492" s="18">
        <v>184500</v>
      </c>
      <c r="J492" s="18">
        <v>1</v>
      </c>
      <c r="K492" s="19">
        <f t="shared" si="21"/>
        <v>184500</v>
      </c>
      <c r="L492" s="20">
        <v>45252</v>
      </c>
      <c r="M492" s="19" t="str">
        <f t="shared" si="22"/>
        <v>Wednesday</v>
      </c>
      <c r="N492" s="19" t="str">
        <f t="shared" si="23"/>
        <v>Weekday</v>
      </c>
      <c r="Q492" s="19"/>
      <c r="R492" s="18"/>
      <c r="S492" s="21"/>
      <c r="T492"/>
      <c r="U492" s="6"/>
      <c r="W492" s="7"/>
      <c r="Z492" s="4"/>
    </row>
    <row r="493" spans="1:26" x14ac:dyDescent="0.3">
      <c r="A493" t="s">
        <v>864</v>
      </c>
      <c r="B493" s="22" t="s">
        <v>232</v>
      </c>
      <c r="C493" s="23" t="s">
        <v>366</v>
      </c>
      <c r="D493" s="24" t="s">
        <v>323</v>
      </c>
      <c r="E493" s="25">
        <v>42</v>
      </c>
      <c r="F493" t="s">
        <v>373</v>
      </c>
      <c r="G493" s="24" t="s">
        <v>24</v>
      </c>
      <c r="H493" s="24" t="s">
        <v>14</v>
      </c>
      <c r="I493" s="24">
        <v>184500</v>
      </c>
      <c r="J493" s="24">
        <v>4</v>
      </c>
      <c r="K493" s="25">
        <f t="shared" si="21"/>
        <v>738000</v>
      </c>
      <c r="L493" s="26">
        <v>45117</v>
      </c>
      <c r="M493" s="25" t="str">
        <f t="shared" si="22"/>
        <v>Monday</v>
      </c>
      <c r="N493" s="25" t="str">
        <f t="shared" si="23"/>
        <v>Weekday</v>
      </c>
      <c r="Q493" s="25"/>
      <c r="R493" s="24"/>
      <c r="S493" s="27"/>
      <c r="T493"/>
      <c r="U493" s="6"/>
      <c r="W493" s="7"/>
      <c r="Z493" s="4"/>
    </row>
    <row r="494" spans="1:26" x14ac:dyDescent="0.3">
      <c r="A494" t="s">
        <v>865</v>
      </c>
      <c r="B494" s="16" t="s">
        <v>100</v>
      </c>
      <c r="C494" s="17" t="s">
        <v>366</v>
      </c>
      <c r="D494" s="18" t="s">
        <v>328</v>
      </c>
      <c r="E494" s="19">
        <v>40</v>
      </c>
      <c r="F494" t="s">
        <v>370</v>
      </c>
      <c r="G494" s="18" t="s">
        <v>31</v>
      </c>
      <c r="H494" s="18" t="s">
        <v>18</v>
      </c>
      <c r="I494" s="18">
        <v>6150</v>
      </c>
      <c r="J494" s="18">
        <v>2</v>
      </c>
      <c r="K494" s="19">
        <f t="shared" si="21"/>
        <v>12300</v>
      </c>
      <c r="L494" s="20">
        <v>45253</v>
      </c>
      <c r="M494" s="19" t="str">
        <f t="shared" si="22"/>
        <v>Thursday</v>
      </c>
      <c r="N494" s="19" t="str">
        <f t="shared" si="23"/>
        <v>Weekday</v>
      </c>
      <c r="Q494" s="19"/>
      <c r="R494" s="18"/>
      <c r="S494" s="21"/>
      <c r="T494"/>
      <c r="U494" s="6"/>
      <c r="W494" s="7"/>
      <c r="Z494" s="4"/>
    </row>
    <row r="495" spans="1:26" x14ac:dyDescent="0.3">
      <c r="A495" t="s">
        <v>866</v>
      </c>
      <c r="B495" s="22" t="s">
        <v>65</v>
      </c>
      <c r="C495" s="23" t="s">
        <v>11</v>
      </c>
      <c r="D495" s="24" t="s">
        <v>326</v>
      </c>
      <c r="E495" s="25">
        <v>61</v>
      </c>
      <c r="F495" t="s">
        <v>370</v>
      </c>
      <c r="G495" s="24" t="s">
        <v>24</v>
      </c>
      <c r="H495" s="24" t="s">
        <v>14</v>
      </c>
      <c r="I495" s="24">
        <v>184500</v>
      </c>
      <c r="J495" s="24">
        <v>3</v>
      </c>
      <c r="K495" s="25">
        <f t="shared" si="21"/>
        <v>553500</v>
      </c>
      <c r="L495" s="26">
        <v>45227</v>
      </c>
      <c r="M495" s="25" t="str">
        <f t="shared" si="22"/>
        <v>Saturday</v>
      </c>
      <c r="N495" s="25" t="str">
        <f t="shared" si="23"/>
        <v>Weekend</v>
      </c>
      <c r="Q495" s="25"/>
      <c r="R495" s="24"/>
      <c r="S495" s="27"/>
      <c r="T495"/>
      <c r="U495" s="6"/>
      <c r="W495" s="7"/>
      <c r="Z495" s="4"/>
    </row>
    <row r="496" spans="1:26" x14ac:dyDescent="0.3">
      <c r="A496" t="s">
        <v>867</v>
      </c>
      <c r="B496" s="16" t="s">
        <v>230</v>
      </c>
      <c r="C496" s="17" t="s">
        <v>11</v>
      </c>
      <c r="D496" s="18" t="s">
        <v>328</v>
      </c>
      <c r="E496" s="19">
        <v>22</v>
      </c>
      <c r="F496" t="s">
        <v>381</v>
      </c>
      <c r="G496" s="18" t="s">
        <v>31</v>
      </c>
      <c r="H496" s="18" t="s">
        <v>18</v>
      </c>
      <c r="I496" s="18">
        <v>6150</v>
      </c>
      <c r="J496" s="18">
        <v>4</v>
      </c>
      <c r="K496" s="19">
        <f t="shared" si="21"/>
        <v>24600</v>
      </c>
      <c r="L496" s="20">
        <v>44931</v>
      </c>
      <c r="M496" s="19" t="str">
        <f t="shared" si="22"/>
        <v>Thursday</v>
      </c>
      <c r="N496" s="19" t="str">
        <f t="shared" si="23"/>
        <v>Weekday</v>
      </c>
      <c r="Q496" s="19"/>
      <c r="R496" s="18"/>
      <c r="S496" s="21"/>
      <c r="T496"/>
      <c r="U496" s="6"/>
      <c r="W496" s="7"/>
      <c r="Z496" s="4"/>
    </row>
    <row r="497" spans="1:26" x14ac:dyDescent="0.3">
      <c r="A497" t="s">
        <v>868</v>
      </c>
      <c r="B497" s="22" t="s">
        <v>237</v>
      </c>
      <c r="C497" s="23" t="s">
        <v>366</v>
      </c>
      <c r="D497" s="24" t="s">
        <v>322</v>
      </c>
      <c r="E497" s="25">
        <v>23</v>
      </c>
      <c r="F497" t="s">
        <v>373</v>
      </c>
      <c r="G497" s="24" t="s">
        <v>26</v>
      </c>
      <c r="H497" s="24" t="s">
        <v>27</v>
      </c>
      <c r="I497" s="24">
        <v>24600</v>
      </c>
      <c r="J497" s="24">
        <v>5</v>
      </c>
      <c r="K497" s="25">
        <f t="shared" si="21"/>
        <v>123000</v>
      </c>
      <c r="L497" s="26">
        <v>45245</v>
      </c>
      <c r="M497" s="25" t="str">
        <f t="shared" si="22"/>
        <v>Wednesday</v>
      </c>
      <c r="N497" s="25" t="str">
        <f t="shared" si="23"/>
        <v>Weekday</v>
      </c>
      <c r="Q497" s="25"/>
      <c r="R497" s="24"/>
      <c r="S497" s="27"/>
      <c r="T497"/>
      <c r="U497" s="6"/>
      <c r="W497" s="7"/>
      <c r="Z497" s="4"/>
    </row>
    <row r="498" spans="1:26" x14ac:dyDescent="0.3">
      <c r="A498" t="s">
        <v>869</v>
      </c>
      <c r="B498" s="16" t="s">
        <v>209</v>
      </c>
      <c r="C498" s="17" t="s">
        <v>11</v>
      </c>
      <c r="D498" s="18" t="s">
        <v>329</v>
      </c>
      <c r="E498" s="19">
        <v>63</v>
      </c>
      <c r="F498" t="s">
        <v>375</v>
      </c>
      <c r="G498" s="18" t="s">
        <v>32</v>
      </c>
      <c r="H498" s="18" t="s">
        <v>18</v>
      </c>
      <c r="I498" s="18">
        <v>3690</v>
      </c>
      <c r="J498" s="18">
        <v>4</v>
      </c>
      <c r="K498" s="19">
        <f t="shared" si="21"/>
        <v>14760</v>
      </c>
      <c r="L498" s="20">
        <v>44996</v>
      </c>
      <c r="M498" s="19" t="str">
        <f t="shared" si="22"/>
        <v>Saturday</v>
      </c>
      <c r="N498" s="19" t="str">
        <f t="shared" si="23"/>
        <v>Weekend</v>
      </c>
      <c r="Q498" s="19"/>
      <c r="R498" s="18"/>
      <c r="S498" s="21"/>
      <c r="T498"/>
      <c r="U498" s="6"/>
      <c r="W498" s="7"/>
      <c r="Z498" s="4"/>
    </row>
    <row r="499" spans="1:26" x14ac:dyDescent="0.3">
      <c r="A499" t="s">
        <v>870</v>
      </c>
      <c r="B499" s="22" t="s">
        <v>101</v>
      </c>
      <c r="C499" s="23" t="s">
        <v>11</v>
      </c>
      <c r="D499" s="24" t="s">
        <v>322</v>
      </c>
      <c r="E499" s="25">
        <v>19</v>
      </c>
      <c r="F499" t="s">
        <v>370</v>
      </c>
      <c r="G499" s="24" t="s">
        <v>32</v>
      </c>
      <c r="H499" s="24" t="s">
        <v>18</v>
      </c>
      <c r="I499" s="24">
        <v>3690</v>
      </c>
      <c r="J499" s="24">
        <v>1</v>
      </c>
      <c r="K499" s="25">
        <f t="shared" si="21"/>
        <v>3690</v>
      </c>
      <c r="L499" s="26">
        <v>45169</v>
      </c>
      <c r="M499" s="25" t="str">
        <f t="shared" si="22"/>
        <v>Thursday</v>
      </c>
      <c r="N499" s="25" t="str">
        <f t="shared" si="23"/>
        <v>Weekday</v>
      </c>
      <c r="Q499" s="25"/>
      <c r="R499" s="24"/>
      <c r="S499" s="27"/>
      <c r="T499"/>
      <c r="U499" s="6"/>
      <c r="W499" s="7"/>
      <c r="Z499" s="4"/>
    </row>
    <row r="500" spans="1:26" x14ac:dyDescent="0.3">
      <c r="A500" t="s">
        <v>871</v>
      </c>
      <c r="B500" s="16" t="s">
        <v>161</v>
      </c>
      <c r="C500" s="17" t="s">
        <v>11</v>
      </c>
      <c r="D500" s="18" t="s">
        <v>322</v>
      </c>
      <c r="E500" s="19">
        <v>26</v>
      </c>
      <c r="F500" t="s">
        <v>375</v>
      </c>
      <c r="G500" s="18" t="s">
        <v>17</v>
      </c>
      <c r="H500" s="18" t="s">
        <v>18</v>
      </c>
      <c r="I500" s="18">
        <v>12300</v>
      </c>
      <c r="J500" s="18">
        <v>2</v>
      </c>
      <c r="K500" s="19">
        <f t="shared" si="21"/>
        <v>24600</v>
      </c>
      <c r="L500" s="20">
        <v>45272</v>
      </c>
      <c r="M500" s="19" t="str">
        <f t="shared" si="22"/>
        <v>Tuesday</v>
      </c>
      <c r="N500" s="19" t="str">
        <f t="shared" si="23"/>
        <v>Weekday</v>
      </c>
      <c r="Q500" s="19"/>
      <c r="R500" s="18"/>
      <c r="S500" s="21"/>
      <c r="T500"/>
      <c r="U500" s="6"/>
      <c r="W500" s="7"/>
      <c r="Z500" s="4"/>
    </row>
    <row r="501" spans="1:26" x14ac:dyDescent="0.3">
      <c r="A501" t="s">
        <v>872</v>
      </c>
      <c r="B501" s="22" t="s">
        <v>262</v>
      </c>
      <c r="C501" s="23" t="s">
        <v>20</v>
      </c>
      <c r="D501" s="24" t="s">
        <v>324</v>
      </c>
      <c r="E501" s="25">
        <v>35</v>
      </c>
      <c r="F501" t="s">
        <v>381</v>
      </c>
      <c r="G501" s="24" t="s">
        <v>13</v>
      </c>
      <c r="H501" s="24" t="s">
        <v>14</v>
      </c>
      <c r="I501" s="24">
        <v>36900</v>
      </c>
      <c r="J501" s="24">
        <v>5</v>
      </c>
      <c r="K501" s="25">
        <f t="shared" si="21"/>
        <v>184500</v>
      </c>
      <c r="L501" s="26">
        <v>44948</v>
      </c>
      <c r="M501" s="25" t="str">
        <f t="shared" si="22"/>
        <v>Sunday</v>
      </c>
      <c r="N501" s="25" t="str">
        <f t="shared" si="23"/>
        <v>Weekday</v>
      </c>
      <c r="Q501" s="25"/>
      <c r="R501" s="24"/>
      <c r="S501" s="27"/>
      <c r="T501"/>
      <c r="U501" s="6"/>
      <c r="W501" s="7"/>
      <c r="Z501" s="4"/>
    </row>
    <row r="502" spans="1:26" x14ac:dyDescent="0.3">
      <c r="A502" t="s">
        <v>873</v>
      </c>
      <c r="B502" s="16" t="s">
        <v>162</v>
      </c>
      <c r="C502" s="17" t="s">
        <v>11</v>
      </c>
      <c r="D502" s="18" t="s">
        <v>329</v>
      </c>
      <c r="E502" s="19">
        <v>27</v>
      </c>
      <c r="F502" t="s">
        <v>370</v>
      </c>
      <c r="G502" s="18" t="s">
        <v>31</v>
      </c>
      <c r="H502" s="18" t="s">
        <v>18</v>
      </c>
      <c r="I502" s="18">
        <v>6150</v>
      </c>
      <c r="J502" s="18">
        <v>5</v>
      </c>
      <c r="K502" s="19">
        <f t="shared" si="21"/>
        <v>30750</v>
      </c>
      <c r="L502" s="20">
        <v>45291</v>
      </c>
      <c r="M502" s="19" t="str">
        <f t="shared" si="22"/>
        <v>Sunday</v>
      </c>
      <c r="N502" s="19" t="str">
        <f t="shared" si="23"/>
        <v>Weekday</v>
      </c>
      <c r="Q502" s="19"/>
      <c r="R502" s="18"/>
      <c r="S502" s="21"/>
      <c r="T502"/>
      <c r="U502" s="6"/>
      <c r="W502" s="7"/>
      <c r="Z502" s="4"/>
    </row>
    <row r="503" spans="1:26" x14ac:dyDescent="0.3">
      <c r="A503" t="s">
        <v>874</v>
      </c>
      <c r="B503" s="22" t="s">
        <v>263</v>
      </c>
      <c r="C503" s="23" t="s">
        <v>366</v>
      </c>
      <c r="D503" s="24" t="s">
        <v>322</v>
      </c>
      <c r="E503" s="25">
        <v>26</v>
      </c>
      <c r="F503" t="s">
        <v>375</v>
      </c>
      <c r="G503" s="24" t="s">
        <v>42</v>
      </c>
      <c r="H503" s="24" t="s">
        <v>14</v>
      </c>
      <c r="I503" s="24">
        <v>98400</v>
      </c>
      <c r="J503" s="24">
        <v>5</v>
      </c>
      <c r="K503" s="25">
        <f t="shared" si="21"/>
        <v>492000</v>
      </c>
      <c r="L503" s="26">
        <v>45291</v>
      </c>
      <c r="M503" s="25" t="str">
        <f t="shared" si="22"/>
        <v>Sunday</v>
      </c>
      <c r="N503" s="25" t="str">
        <f t="shared" si="23"/>
        <v>Weekday</v>
      </c>
      <c r="Q503" s="25"/>
      <c r="R503" s="24"/>
      <c r="S503" s="27"/>
      <c r="T503"/>
      <c r="U503" s="6"/>
      <c r="W503" s="7"/>
      <c r="Z503" s="4"/>
    </row>
    <row r="504" spans="1:26" x14ac:dyDescent="0.3">
      <c r="A504" t="s">
        <v>875</v>
      </c>
      <c r="B504" s="16" t="s">
        <v>22</v>
      </c>
      <c r="C504" s="17" t="s">
        <v>11</v>
      </c>
      <c r="D504" s="18" t="s">
        <v>326</v>
      </c>
      <c r="E504" s="19">
        <v>23</v>
      </c>
      <c r="F504" t="s">
        <v>370</v>
      </c>
      <c r="G504" s="18" t="s">
        <v>31</v>
      </c>
      <c r="H504" s="18" t="s">
        <v>18</v>
      </c>
      <c r="I504" s="18">
        <v>6150</v>
      </c>
      <c r="J504" s="18">
        <v>5</v>
      </c>
      <c r="K504" s="19">
        <f t="shared" si="21"/>
        <v>30750</v>
      </c>
      <c r="L504" s="20">
        <v>45156</v>
      </c>
      <c r="M504" s="19" t="str">
        <f t="shared" si="22"/>
        <v>Friday</v>
      </c>
      <c r="N504" s="19" t="str">
        <f t="shared" si="23"/>
        <v>Weekend</v>
      </c>
      <c r="Q504" s="19"/>
      <c r="R504" s="18"/>
      <c r="S504" s="21"/>
      <c r="T504"/>
      <c r="U504" s="6"/>
      <c r="W504" s="7"/>
      <c r="Z504" s="4"/>
    </row>
    <row r="505" spans="1:26" x14ac:dyDescent="0.3">
      <c r="A505" t="s">
        <v>876</v>
      </c>
      <c r="B505" s="22" t="s">
        <v>35</v>
      </c>
      <c r="C505" s="23" t="s">
        <v>20</v>
      </c>
      <c r="D505" s="24" t="s">
        <v>326</v>
      </c>
      <c r="E505" s="25">
        <v>67</v>
      </c>
      <c r="F505" t="s">
        <v>375</v>
      </c>
      <c r="G505" s="24" t="s">
        <v>24</v>
      </c>
      <c r="H505" s="24" t="s">
        <v>14</v>
      </c>
      <c r="I505" s="24">
        <v>184500</v>
      </c>
      <c r="J505" s="24">
        <v>1</v>
      </c>
      <c r="K505" s="25">
        <f t="shared" si="21"/>
        <v>184500</v>
      </c>
      <c r="L505" s="26">
        <v>45102</v>
      </c>
      <c r="M505" s="25" t="str">
        <f t="shared" si="22"/>
        <v>Sunday</v>
      </c>
      <c r="N505" s="25" t="str">
        <f t="shared" si="23"/>
        <v>Weekday</v>
      </c>
      <c r="Q505" s="25"/>
      <c r="R505" s="24"/>
      <c r="S505" s="27"/>
      <c r="T505"/>
      <c r="U505" s="6"/>
      <c r="W505" s="7"/>
      <c r="Z505" s="4"/>
    </row>
    <row r="506" spans="1:26" x14ac:dyDescent="0.3">
      <c r="A506" t="s">
        <v>877</v>
      </c>
      <c r="B506" s="16" t="s">
        <v>221</v>
      </c>
      <c r="C506" s="17" t="s">
        <v>20</v>
      </c>
      <c r="D506" s="18" t="s">
        <v>323</v>
      </c>
      <c r="E506" s="19">
        <v>41</v>
      </c>
      <c r="F506" t="s">
        <v>373</v>
      </c>
      <c r="G506" s="18" t="s">
        <v>24</v>
      </c>
      <c r="H506" s="18" t="s">
        <v>14</v>
      </c>
      <c r="I506" s="18">
        <v>184500</v>
      </c>
      <c r="J506" s="18">
        <v>1</v>
      </c>
      <c r="K506" s="19">
        <f t="shared" si="21"/>
        <v>184500</v>
      </c>
      <c r="L506" s="20">
        <v>45220</v>
      </c>
      <c r="M506" s="19" t="str">
        <f t="shared" si="22"/>
        <v>Saturday</v>
      </c>
      <c r="N506" s="19" t="str">
        <f t="shared" si="23"/>
        <v>Weekend</v>
      </c>
      <c r="Q506" s="19"/>
      <c r="R506" s="18"/>
      <c r="S506" s="21"/>
      <c r="T506"/>
      <c r="U506" s="6"/>
      <c r="W506" s="7"/>
      <c r="Z506" s="4"/>
    </row>
    <row r="507" spans="1:26" x14ac:dyDescent="0.3">
      <c r="A507" t="s">
        <v>878</v>
      </c>
      <c r="B507" s="22" t="s">
        <v>114</v>
      </c>
      <c r="C507" s="23" t="s">
        <v>20</v>
      </c>
      <c r="D507" s="24" t="s">
        <v>324</v>
      </c>
      <c r="E507" s="25">
        <v>40</v>
      </c>
      <c r="F507" t="s">
        <v>373</v>
      </c>
      <c r="G507" s="24" t="s">
        <v>32</v>
      </c>
      <c r="H507" s="24" t="s">
        <v>18</v>
      </c>
      <c r="I507" s="24">
        <v>3690</v>
      </c>
      <c r="J507" s="24">
        <v>2</v>
      </c>
      <c r="K507" s="25">
        <f t="shared" si="21"/>
        <v>7380</v>
      </c>
      <c r="L507" s="26">
        <v>45251</v>
      </c>
      <c r="M507" s="25" t="str">
        <f t="shared" si="22"/>
        <v>Tuesday</v>
      </c>
      <c r="N507" s="25" t="str">
        <f t="shared" si="23"/>
        <v>Weekday</v>
      </c>
      <c r="Q507" s="25"/>
      <c r="R507" s="24"/>
      <c r="S507" s="27"/>
      <c r="T507"/>
      <c r="U507" s="6"/>
      <c r="W507" s="7"/>
      <c r="Z507" s="4"/>
    </row>
    <row r="508" spans="1:26" x14ac:dyDescent="0.3">
      <c r="A508" t="s">
        <v>879</v>
      </c>
      <c r="B508" s="16" t="s">
        <v>221</v>
      </c>
      <c r="C508" s="17" t="s">
        <v>20</v>
      </c>
      <c r="D508" s="18" t="s">
        <v>323</v>
      </c>
      <c r="E508" s="19">
        <v>41</v>
      </c>
      <c r="F508" t="s">
        <v>381</v>
      </c>
      <c r="G508" s="18" t="s">
        <v>17</v>
      </c>
      <c r="H508" s="18" t="s">
        <v>18</v>
      </c>
      <c r="I508" s="18">
        <v>12300</v>
      </c>
      <c r="J508" s="18">
        <v>2</v>
      </c>
      <c r="K508" s="19">
        <f t="shared" si="21"/>
        <v>24600</v>
      </c>
      <c r="L508" s="20">
        <v>45039</v>
      </c>
      <c r="M508" s="19" t="str">
        <f t="shared" si="22"/>
        <v>Sunday</v>
      </c>
      <c r="N508" s="19" t="str">
        <f t="shared" si="23"/>
        <v>Weekday</v>
      </c>
      <c r="Q508" s="19"/>
      <c r="R508" s="18"/>
      <c r="S508" s="21"/>
      <c r="T508"/>
      <c r="U508" s="6"/>
      <c r="W508" s="7"/>
      <c r="Z508" s="4"/>
    </row>
    <row r="509" spans="1:26" x14ac:dyDescent="0.3">
      <c r="A509" t="s">
        <v>880</v>
      </c>
      <c r="B509" s="22" t="s">
        <v>98</v>
      </c>
      <c r="C509" s="23" t="s">
        <v>11</v>
      </c>
      <c r="D509" s="24" t="s">
        <v>323</v>
      </c>
      <c r="E509" s="25">
        <v>64</v>
      </c>
      <c r="F509" t="s">
        <v>370</v>
      </c>
      <c r="G509" s="24" t="s">
        <v>13</v>
      </c>
      <c r="H509" s="24" t="s">
        <v>14</v>
      </c>
      <c r="I509" s="24">
        <v>36900</v>
      </c>
      <c r="J509" s="24">
        <v>4</v>
      </c>
      <c r="K509" s="25">
        <f t="shared" si="21"/>
        <v>147600</v>
      </c>
      <c r="L509" s="26">
        <v>45178</v>
      </c>
      <c r="M509" s="25" t="str">
        <f t="shared" si="22"/>
        <v>Saturday</v>
      </c>
      <c r="N509" s="25" t="str">
        <f t="shared" si="23"/>
        <v>Weekend</v>
      </c>
      <c r="Q509" s="25"/>
      <c r="R509" s="24"/>
      <c r="S509" s="27"/>
      <c r="T509"/>
      <c r="U509" s="6"/>
      <c r="W509" s="7"/>
      <c r="Z509" s="4"/>
    </row>
    <row r="510" spans="1:26" x14ac:dyDescent="0.3">
      <c r="A510" t="s">
        <v>881</v>
      </c>
      <c r="B510" s="16" t="s">
        <v>97</v>
      </c>
      <c r="C510" s="17" t="s">
        <v>20</v>
      </c>
      <c r="D510" s="18" t="s">
        <v>322</v>
      </c>
      <c r="E510" s="19">
        <v>33</v>
      </c>
      <c r="F510" t="s">
        <v>375</v>
      </c>
      <c r="G510" s="18" t="s">
        <v>24</v>
      </c>
      <c r="H510" s="18" t="s">
        <v>14</v>
      </c>
      <c r="I510" s="18">
        <v>184500</v>
      </c>
      <c r="J510" s="18">
        <v>2</v>
      </c>
      <c r="K510" s="19">
        <f t="shared" si="21"/>
        <v>369000</v>
      </c>
      <c r="L510" s="20">
        <v>45031</v>
      </c>
      <c r="M510" s="19" t="str">
        <f t="shared" si="22"/>
        <v>Saturday</v>
      </c>
      <c r="N510" s="19" t="str">
        <f t="shared" si="23"/>
        <v>Weekend</v>
      </c>
      <c r="Q510" s="19"/>
      <c r="R510" s="18"/>
      <c r="S510" s="21"/>
      <c r="T510"/>
      <c r="U510" s="6"/>
      <c r="W510" s="7"/>
      <c r="Z510" s="4"/>
    </row>
    <row r="511" spans="1:26" x14ac:dyDescent="0.3">
      <c r="A511" t="s">
        <v>882</v>
      </c>
      <c r="B511" s="22" t="s">
        <v>201</v>
      </c>
      <c r="C511" s="23" t="s">
        <v>20</v>
      </c>
      <c r="D511" s="24" t="s">
        <v>322</v>
      </c>
      <c r="E511" s="25">
        <v>50</v>
      </c>
      <c r="F511" t="s">
        <v>381</v>
      </c>
      <c r="G511" s="24" t="s">
        <v>42</v>
      </c>
      <c r="H511" s="24" t="s">
        <v>14</v>
      </c>
      <c r="I511" s="24">
        <v>98400</v>
      </c>
      <c r="J511" s="24">
        <v>3</v>
      </c>
      <c r="K511" s="25">
        <f t="shared" si="21"/>
        <v>295200</v>
      </c>
      <c r="L511" s="26">
        <v>45103</v>
      </c>
      <c r="M511" s="25" t="str">
        <f t="shared" si="22"/>
        <v>Monday</v>
      </c>
      <c r="N511" s="25" t="str">
        <f t="shared" si="23"/>
        <v>Weekday</v>
      </c>
      <c r="Q511" s="25"/>
      <c r="R511" s="24"/>
      <c r="S511" s="27"/>
      <c r="T511"/>
      <c r="U511" s="6"/>
      <c r="W511" s="7"/>
      <c r="Z511" s="4"/>
    </row>
    <row r="512" spans="1:26" x14ac:dyDescent="0.3">
      <c r="A512" t="s">
        <v>883</v>
      </c>
      <c r="B512" s="16" t="s">
        <v>60</v>
      </c>
      <c r="C512" s="17" t="s">
        <v>20</v>
      </c>
      <c r="D512" s="18" t="s">
        <v>322</v>
      </c>
      <c r="E512" s="19">
        <v>64</v>
      </c>
      <c r="F512" t="s">
        <v>373</v>
      </c>
      <c r="G512" s="18" t="s">
        <v>17</v>
      </c>
      <c r="H512" s="18" t="s">
        <v>18</v>
      </c>
      <c r="I512" s="18">
        <v>12300</v>
      </c>
      <c r="J512" s="18">
        <v>2</v>
      </c>
      <c r="K512" s="19">
        <f t="shared" si="21"/>
        <v>24600</v>
      </c>
      <c r="L512" s="20">
        <v>45080</v>
      </c>
      <c r="M512" s="19" t="str">
        <f t="shared" si="22"/>
        <v>Saturday</v>
      </c>
      <c r="N512" s="19" t="str">
        <f t="shared" si="23"/>
        <v>Weekend</v>
      </c>
      <c r="Q512" s="19"/>
      <c r="R512" s="18"/>
      <c r="S512" s="21"/>
      <c r="T512"/>
      <c r="U512" s="6"/>
      <c r="W512" s="7"/>
      <c r="Z512" s="4"/>
    </row>
    <row r="513" spans="1:26" x14ac:dyDescent="0.3">
      <c r="A513" t="s">
        <v>884</v>
      </c>
      <c r="B513" s="22" t="s">
        <v>264</v>
      </c>
      <c r="C513" s="23" t="s">
        <v>11</v>
      </c>
      <c r="D513" s="24" t="s">
        <v>322</v>
      </c>
      <c r="E513" s="25">
        <v>40</v>
      </c>
      <c r="F513" t="s">
        <v>373</v>
      </c>
      <c r="G513" s="24" t="s">
        <v>24</v>
      </c>
      <c r="H513" s="24" t="s">
        <v>14</v>
      </c>
      <c r="I513" s="24">
        <v>184500</v>
      </c>
      <c r="J513" s="24">
        <v>1</v>
      </c>
      <c r="K513" s="25">
        <f t="shared" si="21"/>
        <v>184500</v>
      </c>
      <c r="L513" s="26">
        <v>45066</v>
      </c>
      <c r="M513" s="25" t="str">
        <f t="shared" si="22"/>
        <v>Saturday</v>
      </c>
      <c r="N513" s="25" t="str">
        <f t="shared" si="23"/>
        <v>Weekend</v>
      </c>
      <c r="Q513" s="25"/>
      <c r="R513" s="24"/>
      <c r="S513" s="27"/>
      <c r="T513"/>
      <c r="U513" s="6"/>
      <c r="W513" s="7"/>
      <c r="Z513" s="4"/>
    </row>
    <row r="514" spans="1:26" x14ac:dyDescent="0.3">
      <c r="A514" t="s">
        <v>885</v>
      </c>
      <c r="B514" s="16" t="s">
        <v>265</v>
      </c>
      <c r="C514" s="17" t="s">
        <v>11</v>
      </c>
      <c r="D514" s="18" t="s">
        <v>322</v>
      </c>
      <c r="E514" s="19">
        <v>64</v>
      </c>
      <c r="F514" t="s">
        <v>381</v>
      </c>
      <c r="G514" s="18" t="s">
        <v>26</v>
      </c>
      <c r="H514" s="18" t="s">
        <v>27</v>
      </c>
      <c r="I514" s="18">
        <v>24600</v>
      </c>
      <c r="J514" s="18">
        <v>3</v>
      </c>
      <c r="K514" s="19">
        <f t="shared" ref="K514:K577" si="24">I514*J514</f>
        <v>73800</v>
      </c>
      <c r="L514" s="20">
        <v>45023</v>
      </c>
      <c r="M514" s="19" t="str">
        <f t="shared" ref="M514:M577" si="25">TEXT(L514, "dddd")</f>
        <v>Friday</v>
      </c>
      <c r="N514" s="19" t="str">
        <f t="shared" ref="N514:N577" si="26">IF(OR(WEEKDAY(L514, 2)=5, WEEKDAY(L514, 2)=6), "Weekend", "Weekday")</f>
        <v>Weekend</v>
      </c>
      <c r="Q514" s="19"/>
      <c r="R514" s="18"/>
      <c r="S514" s="21"/>
      <c r="T514"/>
      <c r="U514" s="6"/>
      <c r="W514" s="7"/>
      <c r="Z514" s="4"/>
    </row>
    <row r="515" spans="1:26" x14ac:dyDescent="0.3">
      <c r="A515" t="s">
        <v>886</v>
      </c>
      <c r="B515" s="22" t="s">
        <v>120</v>
      </c>
      <c r="C515" s="23" t="s">
        <v>20</v>
      </c>
      <c r="D515" s="24" t="s">
        <v>328</v>
      </c>
      <c r="E515" s="25">
        <v>37</v>
      </c>
      <c r="F515" t="s">
        <v>370</v>
      </c>
      <c r="G515" s="24" t="s">
        <v>26</v>
      </c>
      <c r="H515" s="24" t="s">
        <v>27</v>
      </c>
      <c r="I515" s="24">
        <v>24600</v>
      </c>
      <c r="J515" s="24">
        <v>5</v>
      </c>
      <c r="K515" s="25">
        <f t="shared" si="24"/>
        <v>123000</v>
      </c>
      <c r="L515" s="26">
        <v>45248</v>
      </c>
      <c r="M515" s="25" t="str">
        <f t="shared" si="25"/>
        <v>Saturday</v>
      </c>
      <c r="N515" s="25" t="str">
        <f t="shared" si="26"/>
        <v>Weekend</v>
      </c>
      <c r="Q515" s="25"/>
      <c r="R515" s="24"/>
      <c r="S515" s="27"/>
      <c r="T515"/>
      <c r="U515" s="6"/>
      <c r="W515" s="7"/>
      <c r="Z515" s="4"/>
    </row>
    <row r="516" spans="1:26" x14ac:dyDescent="0.3">
      <c r="A516" t="s">
        <v>887</v>
      </c>
      <c r="B516" s="16" t="s">
        <v>68</v>
      </c>
      <c r="C516" s="17" t="s">
        <v>11</v>
      </c>
      <c r="D516" s="18" t="s">
        <v>323</v>
      </c>
      <c r="E516" s="19">
        <v>44</v>
      </c>
      <c r="F516" t="s">
        <v>375</v>
      </c>
      <c r="G516" s="18" t="s">
        <v>24</v>
      </c>
      <c r="H516" s="18" t="s">
        <v>14</v>
      </c>
      <c r="I516" s="18">
        <v>184500</v>
      </c>
      <c r="J516" s="18">
        <v>3</v>
      </c>
      <c r="K516" s="19">
        <f t="shared" si="24"/>
        <v>553500</v>
      </c>
      <c r="L516" s="20">
        <v>45047</v>
      </c>
      <c r="M516" s="19" t="str">
        <f t="shared" si="25"/>
        <v>Monday</v>
      </c>
      <c r="N516" s="19" t="str">
        <f t="shared" si="26"/>
        <v>Weekday</v>
      </c>
      <c r="Q516" s="19"/>
      <c r="R516" s="18"/>
      <c r="S516" s="21"/>
      <c r="T516"/>
      <c r="U516" s="6"/>
      <c r="W516" s="7"/>
      <c r="Z516" s="4"/>
    </row>
    <row r="517" spans="1:26" x14ac:dyDescent="0.3">
      <c r="A517" t="s">
        <v>888</v>
      </c>
      <c r="B517" s="22" t="s">
        <v>263</v>
      </c>
      <c r="C517" s="23" t="s">
        <v>366</v>
      </c>
      <c r="D517" s="24" t="s">
        <v>322</v>
      </c>
      <c r="E517" s="25">
        <v>26</v>
      </c>
      <c r="F517" t="s">
        <v>373</v>
      </c>
      <c r="G517" s="24" t="s">
        <v>24</v>
      </c>
      <c r="H517" s="24" t="s">
        <v>14</v>
      </c>
      <c r="I517" s="24">
        <v>184500</v>
      </c>
      <c r="J517" s="24">
        <v>3</v>
      </c>
      <c r="K517" s="25">
        <f t="shared" si="24"/>
        <v>553500</v>
      </c>
      <c r="L517" s="26">
        <v>45073</v>
      </c>
      <c r="M517" s="25" t="str">
        <f t="shared" si="25"/>
        <v>Saturday</v>
      </c>
      <c r="N517" s="25" t="str">
        <f t="shared" si="26"/>
        <v>Weekend</v>
      </c>
      <c r="Q517" s="25"/>
      <c r="R517" s="24"/>
      <c r="S517" s="27"/>
      <c r="T517"/>
      <c r="U517" s="6"/>
      <c r="W517" s="7"/>
      <c r="Z517" s="4"/>
    </row>
    <row r="518" spans="1:26" x14ac:dyDescent="0.3">
      <c r="A518" t="s">
        <v>889</v>
      </c>
      <c r="B518" s="16" t="s">
        <v>107</v>
      </c>
      <c r="C518" s="17" t="s">
        <v>11</v>
      </c>
      <c r="D518" s="18" t="s">
        <v>322</v>
      </c>
      <c r="E518" s="19">
        <v>18</v>
      </c>
      <c r="F518" t="s">
        <v>381</v>
      </c>
      <c r="G518" s="18" t="s">
        <v>24</v>
      </c>
      <c r="H518" s="18" t="s">
        <v>14</v>
      </c>
      <c r="I518" s="18">
        <v>184500</v>
      </c>
      <c r="J518" s="18">
        <v>2</v>
      </c>
      <c r="K518" s="19">
        <f t="shared" si="24"/>
        <v>369000</v>
      </c>
      <c r="L518" s="20">
        <v>44949</v>
      </c>
      <c r="M518" s="19" t="str">
        <f t="shared" si="25"/>
        <v>Monday</v>
      </c>
      <c r="N518" s="19" t="str">
        <f t="shared" si="26"/>
        <v>Weekday</v>
      </c>
      <c r="Q518" s="19"/>
      <c r="R518" s="18"/>
      <c r="S518" s="21"/>
      <c r="T518"/>
      <c r="U518" s="6"/>
      <c r="W518" s="7"/>
      <c r="Z518" s="4"/>
    </row>
    <row r="519" spans="1:26" x14ac:dyDescent="0.3">
      <c r="A519" t="s">
        <v>890</v>
      </c>
      <c r="B519" s="22" t="s">
        <v>214</v>
      </c>
      <c r="C519" s="23" t="s">
        <v>11</v>
      </c>
      <c r="D519" s="24" t="s">
        <v>325</v>
      </c>
      <c r="E519" s="25">
        <v>67</v>
      </c>
      <c r="F519" t="s">
        <v>373</v>
      </c>
      <c r="G519" s="24" t="s">
        <v>31</v>
      </c>
      <c r="H519" s="24" t="s">
        <v>18</v>
      </c>
      <c r="I519" s="24">
        <v>6150</v>
      </c>
      <c r="J519" s="24">
        <v>4</v>
      </c>
      <c r="K519" s="25">
        <f t="shared" si="24"/>
        <v>24600</v>
      </c>
      <c r="L519" s="26">
        <v>45207</v>
      </c>
      <c r="M519" s="25" t="str">
        <f t="shared" si="25"/>
        <v>Sunday</v>
      </c>
      <c r="N519" s="25" t="str">
        <f t="shared" si="26"/>
        <v>Weekday</v>
      </c>
      <c r="Q519" s="25"/>
      <c r="R519" s="24"/>
      <c r="S519" s="27"/>
      <c r="T519"/>
      <c r="U519" s="6"/>
      <c r="W519" s="7"/>
      <c r="Z519" s="4"/>
    </row>
    <row r="520" spans="1:26" x14ac:dyDescent="0.3">
      <c r="A520" t="s">
        <v>891</v>
      </c>
      <c r="B520" s="16" t="s">
        <v>73</v>
      </c>
      <c r="C520" s="17" t="s">
        <v>11</v>
      </c>
      <c r="D520" s="18" t="s">
        <v>322</v>
      </c>
      <c r="E520" s="19">
        <v>68</v>
      </c>
      <c r="F520" t="s">
        <v>373</v>
      </c>
      <c r="G520" s="18" t="s">
        <v>17</v>
      </c>
      <c r="H520" s="18" t="s">
        <v>18</v>
      </c>
      <c r="I520" s="18">
        <v>12300</v>
      </c>
      <c r="J520" s="18">
        <v>4</v>
      </c>
      <c r="K520" s="19">
        <f t="shared" si="24"/>
        <v>49200</v>
      </c>
      <c r="L520" s="20">
        <v>45259</v>
      </c>
      <c r="M520" s="19" t="str">
        <f t="shared" si="25"/>
        <v>Wednesday</v>
      </c>
      <c r="N520" s="19" t="str">
        <f t="shared" si="26"/>
        <v>Weekday</v>
      </c>
      <c r="Q520" s="19"/>
      <c r="R520" s="18"/>
      <c r="S520" s="21"/>
      <c r="T520"/>
      <c r="U520" s="6"/>
      <c r="W520" s="7"/>
      <c r="Z520" s="4"/>
    </row>
    <row r="521" spans="1:26" x14ac:dyDescent="0.3">
      <c r="A521" t="s">
        <v>892</v>
      </c>
      <c r="B521" s="22" t="s">
        <v>266</v>
      </c>
      <c r="C521" s="23" t="s">
        <v>20</v>
      </c>
      <c r="D521" s="24" t="s">
        <v>322</v>
      </c>
      <c r="E521" s="25">
        <v>64</v>
      </c>
      <c r="F521" t="s">
        <v>375</v>
      </c>
      <c r="G521" s="24" t="s">
        <v>13</v>
      </c>
      <c r="H521" s="24" t="s">
        <v>14</v>
      </c>
      <c r="I521" s="24">
        <v>36900</v>
      </c>
      <c r="J521" s="24">
        <v>3</v>
      </c>
      <c r="K521" s="25">
        <f t="shared" si="24"/>
        <v>110700</v>
      </c>
      <c r="L521" s="26">
        <v>45198</v>
      </c>
      <c r="M521" s="25" t="str">
        <f t="shared" si="25"/>
        <v>Friday</v>
      </c>
      <c r="N521" s="25" t="str">
        <f t="shared" si="26"/>
        <v>Weekend</v>
      </c>
      <c r="Q521" s="25"/>
      <c r="R521" s="24"/>
      <c r="S521" s="27"/>
      <c r="T521"/>
      <c r="U521" s="6"/>
      <c r="W521" s="7"/>
      <c r="Z521" s="4"/>
    </row>
    <row r="522" spans="1:26" x14ac:dyDescent="0.3">
      <c r="A522" t="s">
        <v>893</v>
      </c>
      <c r="B522" s="16" t="s">
        <v>61</v>
      </c>
      <c r="C522" s="17" t="s">
        <v>11</v>
      </c>
      <c r="D522" s="18" t="s">
        <v>322</v>
      </c>
      <c r="E522" s="19">
        <v>68</v>
      </c>
      <c r="F522" t="s">
        <v>370</v>
      </c>
      <c r="G522" s="18" t="s">
        <v>24</v>
      </c>
      <c r="H522" s="18" t="s">
        <v>14</v>
      </c>
      <c r="I522" s="18">
        <v>184500</v>
      </c>
      <c r="J522" s="18">
        <v>4</v>
      </c>
      <c r="K522" s="19">
        <f t="shared" si="24"/>
        <v>738000</v>
      </c>
      <c r="L522" s="20">
        <v>45237</v>
      </c>
      <c r="M522" s="19" t="str">
        <f t="shared" si="25"/>
        <v>Tuesday</v>
      </c>
      <c r="N522" s="19" t="str">
        <f t="shared" si="26"/>
        <v>Weekday</v>
      </c>
      <c r="Q522" s="19"/>
      <c r="R522" s="18"/>
      <c r="S522" s="21"/>
      <c r="T522"/>
      <c r="U522" s="6"/>
      <c r="W522" s="7"/>
      <c r="Z522" s="4"/>
    </row>
    <row r="523" spans="1:26" x14ac:dyDescent="0.3">
      <c r="A523" t="s">
        <v>894</v>
      </c>
      <c r="B523" s="22" t="s">
        <v>176</v>
      </c>
      <c r="C523" s="23" t="s">
        <v>11</v>
      </c>
      <c r="D523" s="24" t="s">
        <v>323</v>
      </c>
      <c r="E523" s="25">
        <v>54</v>
      </c>
      <c r="F523" t="s">
        <v>370</v>
      </c>
      <c r="G523" s="24" t="s">
        <v>17</v>
      </c>
      <c r="H523" s="24" t="s">
        <v>18</v>
      </c>
      <c r="I523" s="24">
        <v>12300</v>
      </c>
      <c r="J523" s="24">
        <v>5</v>
      </c>
      <c r="K523" s="25">
        <f t="shared" si="24"/>
        <v>61500</v>
      </c>
      <c r="L523" s="26">
        <v>45219</v>
      </c>
      <c r="M523" s="25" t="str">
        <f t="shared" si="25"/>
        <v>Friday</v>
      </c>
      <c r="N523" s="25" t="str">
        <f t="shared" si="26"/>
        <v>Weekend</v>
      </c>
      <c r="Q523" s="25"/>
      <c r="R523" s="24"/>
      <c r="S523" s="27"/>
      <c r="T523"/>
      <c r="U523" s="6"/>
      <c r="W523" s="7"/>
      <c r="Z523" s="4"/>
    </row>
    <row r="524" spans="1:26" x14ac:dyDescent="0.3">
      <c r="A524" t="s">
        <v>895</v>
      </c>
      <c r="B524" s="16" t="s">
        <v>51</v>
      </c>
      <c r="C524" s="17" t="s">
        <v>20</v>
      </c>
      <c r="D524" s="18" t="s">
        <v>324</v>
      </c>
      <c r="E524" s="19">
        <v>25</v>
      </c>
      <c r="F524" t="s">
        <v>375</v>
      </c>
      <c r="G524" s="18" t="s">
        <v>24</v>
      </c>
      <c r="H524" s="18" t="s">
        <v>14</v>
      </c>
      <c r="I524" s="18">
        <v>184500</v>
      </c>
      <c r="J524" s="18">
        <v>4</v>
      </c>
      <c r="K524" s="19">
        <f t="shared" si="24"/>
        <v>738000</v>
      </c>
      <c r="L524" s="20">
        <v>45187</v>
      </c>
      <c r="M524" s="19" t="str">
        <f t="shared" si="25"/>
        <v>Monday</v>
      </c>
      <c r="N524" s="19" t="str">
        <f t="shared" si="26"/>
        <v>Weekday</v>
      </c>
      <c r="Q524" s="19"/>
      <c r="R524" s="18"/>
      <c r="S524" s="21"/>
      <c r="T524"/>
      <c r="U524" s="6"/>
      <c r="W524" s="7"/>
      <c r="Z524" s="4"/>
    </row>
    <row r="525" spans="1:26" x14ac:dyDescent="0.3">
      <c r="A525" t="s">
        <v>896</v>
      </c>
      <c r="B525" s="22" t="s">
        <v>134</v>
      </c>
      <c r="C525" s="23" t="s">
        <v>366</v>
      </c>
      <c r="D525" s="24" t="s">
        <v>322</v>
      </c>
      <c r="E525" s="25">
        <v>33</v>
      </c>
      <c r="F525" t="s">
        <v>381</v>
      </c>
      <c r="G525" s="24" t="s">
        <v>42</v>
      </c>
      <c r="H525" s="24" t="s">
        <v>14</v>
      </c>
      <c r="I525" s="24">
        <v>98400</v>
      </c>
      <c r="J525" s="24">
        <v>4</v>
      </c>
      <c r="K525" s="25">
        <f t="shared" si="24"/>
        <v>393600</v>
      </c>
      <c r="L525" s="26">
        <v>45130</v>
      </c>
      <c r="M525" s="25" t="str">
        <f t="shared" si="25"/>
        <v>Sunday</v>
      </c>
      <c r="N525" s="25" t="str">
        <f t="shared" si="26"/>
        <v>Weekday</v>
      </c>
      <c r="Q525" s="25"/>
      <c r="R525" s="24"/>
      <c r="S525" s="27"/>
      <c r="T525"/>
      <c r="U525" s="6"/>
      <c r="W525" s="7"/>
      <c r="Z525" s="4"/>
    </row>
    <row r="526" spans="1:26" x14ac:dyDescent="0.3">
      <c r="A526" t="s">
        <v>897</v>
      </c>
      <c r="B526" s="16" t="s">
        <v>222</v>
      </c>
      <c r="C526" s="17" t="s">
        <v>11</v>
      </c>
      <c r="D526" s="18" t="s">
        <v>323</v>
      </c>
      <c r="E526" s="19">
        <v>18</v>
      </c>
      <c r="F526" t="s">
        <v>381</v>
      </c>
      <c r="G526" s="18" t="s">
        <v>42</v>
      </c>
      <c r="H526" s="18" t="s">
        <v>14</v>
      </c>
      <c r="I526" s="18">
        <v>98400</v>
      </c>
      <c r="J526" s="18">
        <v>5</v>
      </c>
      <c r="K526" s="19">
        <f t="shared" si="24"/>
        <v>492000</v>
      </c>
      <c r="L526" s="20">
        <v>45048</v>
      </c>
      <c r="M526" s="19" t="str">
        <f t="shared" si="25"/>
        <v>Tuesday</v>
      </c>
      <c r="N526" s="19" t="str">
        <f t="shared" si="26"/>
        <v>Weekday</v>
      </c>
      <c r="Q526" s="19"/>
      <c r="R526" s="18"/>
      <c r="S526" s="21"/>
      <c r="T526"/>
      <c r="U526" s="6"/>
      <c r="W526" s="7"/>
      <c r="Z526" s="4"/>
    </row>
    <row r="527" spans="1:26" x14ac:dyDescent="0.3">
      <c r="A527" t="s">
        <v>898</v>
      </c>
      <c r="B527" s="22" t="s">
        <v>200</v>
      </c>
      <c r="C527" s="23" t="s">
        <v>366</v>
      </c>
      <c r="D527" s="24" t="s">
        <v>322</v>
      </c>
      <c r="E527" s="25">
        <v>46</v>
      </c>
      <c r="F527" t="s">
        <v>370</v>
      </c>
      <c r="G527" s="24" t="s">
        <v>17</v>
      </c>
      <c r="H527" s="24" t="s">
        <v>18</v>
      </c>
      <c r="I527" s="24">
        <v>12300</v>
      </c>
      <c r="J527" s="24">
        <v>1</v>
      </c>
      <c r="K527" s="25">
        <f t="shared" si="24"/>
        <v>12300</v>
      </c>
      <c r="L527" s="26">
        <v>45264</v>
      </c>
      <c r="M527" s="25" t="str">
        <f t="shared" si="25"/>
        <v>Monday</v>
      </c>
      <c r="N527" s="25" t="str">
        <f t="shared" si="26"/>
        <v>Weekday</v>
      </c>
      <c r="Q527" s="25"/>
      <c r="R527" s="24"/>
      <c r="S527" s="27"/>
      <c r="T527"/>
      <c r="U527" s="6"/>
      <c r="W527" s="7"/>
      <c r="Z527" s="4"/>
    </row>
    <row r="528" spans="1:26" x14ac:dyDescent="0.3">
      <c r="A528" t="s">
        <v>899</v>
      </c>
      <c r="B528" s="16" t="s">
        <v>267</v>
      </c>
      <c r="C528" s="17" t="s">
        <v>366</v>
      </c>
      <c r="D528" s="18" t="s">
        <v>325</v>
      </c>
      <c r="E528" s="19">
        <v>67</v>
      </c>
      <c r="F528" t="s">
        <v>373</v>
      </c>
      <c r="G528" s="18" t="s">
        <v>13</v>
      </c>
      <c r="H528" s="18" t="s">
        <v>14</v>
      </c>
      <c r="I528" s="18">
        <v>36900</v>
      </c>
      <c r="J528" s="18">
        <v>1</v>
      </c>
      <c r="K528" s="19">
        <f t="shared" si="24"/>
        <v>36900</v>
      </c>
      <c r="L528" s="20">
        <v>45165</v>
      </c>
      <c r="M528" s="19" t="str">
        <f t="shared" si="25"/>
        <v>Sunday</v>
      </c>
      <c r="N528" s="19" t="str">
        <f t="shared" si="26"/>
        <v>Weekday</v>
      </c>
      <c r="Q528" s="19"/>
      <c r="R528" s="18"/>
      <c r="S528" s="21"/>
      <c r="T528"/>
      <c r="U528" s="6"/>
      <c r="W528" s="7"/>
      <c r="Z528" s="4"/>
    </row>
    <row r="529" spans="1:26" x14ac:dyDescent="0.3">
      <c r="A529" t="s">
        <v>900</v>
      </c>
      <c r="B529" s="22" t="s">
        <v>198</v>
      </c>
      <c r="C529" s="23" t="s">
        <v>366</v>
      </c>
      <c r="D529" s="24" t="s">
        <v>324</v>
      </c>
      <c r="E529" s="25">
        <v>66</v>
      </c>
      <c r="F529" t="s">
        <v>373</v>
      </c>
      <c r="G529" s="24" t="s">
        <v>17</v>
      </c>
      <c r="H529" s="24" t="s">
        <v>18</v>
      </c>
      <c r="I529" s="24">
        <v>12300</v>
      </c>
      <c r="J529" s="24">
        <v>5</v>
      </c>
      <c r="K529" s="25">
        <f t="shared" si="24"/>
        <v>61500</v>
      </c>
      <c r="L529" s="26">
        <v>45085</v>
      </c>
      <c r="M529" s="25" t="str">
        <f t="shared" si="25"/>
        <v>Thursday</v>
      </c>
      <c r="N529" s="25" t="str">
        <f t="shared" si="26"/>
        <v>Weekday</v>
      </c>
      <c r="Q529" s="25"/>
      <c r="R529" s="24"/>
      <c r="S529" s="27"/>
      <c r="T529"/>
      <c r="U529" s="6"/>
      <c r="W529" s="7"/>
      <c r="Z529" s="4"/>
    </row>
    <row r="530" spans="1:26" x14ac:dyDescent="0.3">
      <c r="A530" t="s">
        <v>901</v>
      </c>
      <c r="B530" s="16" t="s">
        <v>268</v>
      </c>
      <c r="C530" s="17" t="s">
        <v>20</v>
      </c>
      <c r="D530" s="18" t="s">
        <v>323</v>
      </c>
      <c r="E530" s="19">
        <v>55</v>
      </c>
      <c r="F530" t="s">
        <v>381</v>
      </c>
      <c r="G530" s="18" t="s">
        <v>13</v>
      </c>
      <c r="H530" s="18" t="s">
        <v>14</v>
      </c>
      <c r="I530" s="18">
        <v>36900</v>
      </c>
      <c r="J530" s="18">
        <v>1</v>
      </c>
      <c r="K530" s="19">
        <f t="shared" si="24"/>
        <v>36900</v>
      </c>
      <c r="L530" s="20">
        <v>45225</v>
      </c>
      <c r="M530" s="19" t="str">
        <f t="shared" si="25"/>
        <v>Thursday</v>
      </c>
      <c r="N530" s="19" t="str">
        <f t="shared" si="26"/>
        <v>Weekday</v>
      </c>
      <c r="Q530" s="19"/>
      <c r="R530" s="18"/>
      <c r="S530" s="21"/>
      <c r="T530"/>
      <c r="U530" s="6"/>
      <c r="W530" s="7"/>
      <c r="Z530" s="4"/>
    </row>
    <row r="531" spans="1:26" x14ac:dyDescent="0.3">
      <c r="A531" t="s">
        <v>902</v>
      </c>
      <c r="B531" s="22" t="s">
        <v>253</v>
      </c>
      <c r="C531" s="23" t="s">
        <v>366</v>
      </c>
      <c r="D531" s="24" t="s">
        <v>323</v>
      </c>
      <c r="E531" s="25">
        <v>51</v>
      </c>
      <c r="F531" t="s">
        <v>375</v>
      </c>
      <c r="G531" s="24" t="s">
        <v>24</v>
      </c>
      <c r="H531" s="24" t="s">
        <v>14</v>
      </c>
      <c r="I531" s="24">
        <v>184500</v>
      </c>
      <c r="J531" s="24">
        <v>5</v>
      </c>
      <c r="K531" s="25">
        <f t="shared" si="24"/>
        <v>922500</v>
      </c>
      <c r="L531" s="26">
        <v>44933</v>
      </c>
      <c r="M531" s="25" t="str">
        <f t="shared" si="25"/>
        <v>Saturday</v>
      </c>
      <c r="N531" s="25" t="str">
        <f t="shared" si="26"/>
        <v>Weekend</v>
      </c>
      <c r="Q531" s="25"/>
      <c r="R531" s="24"/>
      <c r="S531" s="27"/>
      <c r="T531"/>
      <c r="U531" s="6"/>
      <c r="W531" s="7"/>
      <c r="Z531" s="4"/>
    </row>
    <row r="532" spans="1:26" x14ac:dyDescent="0.3">
      <c r="A532" t="s">
        <v>903</v>
      </c>
      <c r="B532" s="16" t="s">
        <v>45</v>
      </c>
      <c r="C532" s="17" t="s">
        <v>20</v>
      </c>
      <c r="D532" s="18" t="s">
        <v>323</v>
      </c>
      <c r="E532" s="19">
        <v>37</v>
      </c>
      <c r="F532" t="s">
        <v>373</v>
      </c>
      <c r="G532" s="18" t="s">
        <v>26</v>
      </c>
      <c r="H532" s="18" t="s">
        <v>27</v>
      </c>
      <c r="I532" s="18">
        <v>24600</v>
      </c>
      <c r="J532" s="18">
        <v>5</v>
      </c>
      <c r="K532" s="19">
        <f t="shared" si="24"/>
        <v>123000</v>
      </c>
      <c r="L532" s="20">
        <v>45039</v>
      </c>
      <c r="M532" s="19" t="str">
        <f t="shared" si="25"/>
        <v>Sunday</v>
      </c>
      <c r="N532" s="19" t="str">
        <f t="shared" si="26"/>
        <v>Weekday</v>
      </c>
      <c r="Q532" s="19"/>
      <c r="R532" s="18"/>
      <c r="S532" s="21"/>
      <c r="T532"/>
      <c r="U532" s="6"/>
      <c r="W532" s="7"/>
      <c r="Z532" s="4"/>
    </row>
    <row r="533" spans="1:26" x14ac:dyDescent="0.3">
      <c r="A533" t="s">
        <v>904</v>
      </c>
      <c r="B533" s="22" t="s">
        <v>97</v>
      </c>
      <c r="C533" s="23" t="s">
        <v>20</v>
      </c>
      <c r="D533" s="24" t="s">
        <v>322</v>
      </c>
      <c r="E533" s="25">
        <v>33</v>
      </c>
      <c r="F533" t="s">
        <v>381</v>
      </c>
      <c r="G533" s="24" t="s">
        <v>42</v>
      </c>
      <c r="H533" s="24" t="s">
        <v>14</v>
      </c>
      <c r="I533" s="24">
        <v>98400</v>
      </c>
      <c r="J533" s="24">
        <v>3</v>
      </c>
      <c r="K533" s="25">
        <f t="shared" si="24"/>
        <v>295200</v>
      </c>
      <c r="L533" s="26">
        <v>45181</v>
      </c>
      <c r="M533" s="25" t="str">
        <f t="shared" si="25"/>
        <v>Tuesday</v>
      </c>
      <c r="N533" s="25" t="str">
        <f t="shared" si="26"/>
        <v>Weekday</v>
      </c>
      <c r="Q533" s="25"/>
      <c r="R533" s="24"/>
      <c r="S533" s="27"/>
      <c r="T533"/>
      <c r="U533" s="6"/>
      <c r="W533" s="7"/>
      <c r="Z533" s="4"/>
    </row>
    <row r="534" spans="1:26" x14ac:dyDescent="0.3">
      <c r="A534" t="s">
        <v>905</v>
      </c>
      <c r="B534" s="16" t="s">
        <v>58</v>
      </c>
      <c r="C534" s="17" t="s">
        <v>366</v>
      </c>
      <c r="D534" s="18" t="s">
        <v>322</v>
      </c>
      <c r="E534" s="19">
        <v>35</v>
      </c>
      <c r="F534" t="s">
        <v>375</v>
      </c>
      <c r="G534" s="18" t="s">
        <v>31</v>
      </c>
      <c r="H534" s="18" t="s">
        <v>18</v>
      </c>
      <c r="I534" s="18">
        <v>6150</v>
      </c>
      <c r="J534" s="18">
        <v>1</v>
      </c>
      <c r="K534" s="19">
        <f t="shared" si="24"/>
        <v>6150</v>
      </c>
      <c r="L534" s="20">
        <v>44954</v>
      </c>
      <c r="M534" s="19" t="str">
        <f t="shared" si="25"/>
        <v>Saturday</v>
      </c>
      <c r="N534" s="19" t="str">
        <f t="shared" si="26"/>
        <v>Weekend</v>
      </c>
      <c r="Q534" s="19"/>
      <c r="R534" s="18"/>
      <c r="S534" s="21"/>
      <c r="T534"/>
      <c r="U534" s="6"/>
      <c r="W534" s="7"/>
      <c r="Z534" s="4"/>
    </row>
    <row r="535" spans="1:26" x14ac:dyDescent="0.3">
      <c r="A535" t="s">
        <v>906</v>
      </c>
      <c r="B535" s="22" t="s">
        <v>206</v>
      </c>
      <c r="C535" s="23" t="s">
        <v>11</v>
      </c>
      <c r="D535" s="24" t="s">
        <v>322</v>
      </c>
      <c r="E535" s="25">
        <v>69</v>
      </c>
      <c r="F535" t="s">
        <v>370</v>
      </c>
      <c r="G535" s="24" t="s">
        <v>26</v>
      </c>
      <c r="H535" s="24" t="s">
        <v>27</v>
      </c>
      <c r="I535" s="24">
        <v>24600</v>
      </c>
      <c r="J535" s="24">
        <v>3</v>
      </c>
      <c r="K535" s="25">
        <f t="shared" si="24"/>
        <v>73800</v>
      </c>
      <c r="L535" s="26">
        <v>45123</v>
      </c>
      <c r="M535" s="25" t="str">
        <f t="shared" si="25"/>
        <v>Sunday</v>
      </c>
      <c r="N535" s="25" t="str">
        <f t="shared" si="26"/>
        <v>Weekday</v>
      </c>
      <c r="Q535" s="25"/>
      <c r="R535" s="24"/>
      <c r="S535" s="27"/>
      <c r="T535"/>
      <c r="U535" s="6"/>
      <c r="W535" s="7"/>
      <c r="Z535" s="4"/>
    </row>
    <row r="536" spans="1:26" x14ac:dyDescent="0.3">
      <c r="A536" t="s">
        <v>907</v>
      </c>
      <c r="B536" s="16" t="s">
        <v>49</v>
      </c>
      <c r="C536" s="17" t="s">
        <v>20</v>
      </c>
      <c r="D536" s="18" t="s">
        <v>323</v>
      </c>
      <c r="E536" s="19">
        <v>57</v>
      </c>
      <c r="F536" t="s">
        <v>375</v>
      </c>
      <c r="G536" s="18" t="s">
        <v>26</v>
      </c>
      <c r="H536" s="18" t="s">
        <v>27</v>
      </c>
      <c r="I536" s="18">
        <v>24600</v>
      </c>
      <c r="J536" s="18">
        <v>5</v>
      </c>
      <c r="K536" s="19">
        <f t="shared" si="24"/>
        <v>123000</v>
      </c>
      <c r="L536" s="20">
        <v>44930</v>
      </c>
      <c r="M536" s="19" t="str">
        <f t="shared" si="25"/>
        <v>Wednesday</v>
      </c>
      <c r="N536" s="19" t="str">
        <f t="shared" si="26"/>
        <v>Weekday</v>
      </c>
      <c r="Q536" s="19"/>
      <c r="R536" s="18"/>
      <c r="S536" s="21"/>
      <c r="T536"/>
      <c r="U536" s="6"/>
      <c r="W536" s="7"/>
      <c r="Z536" s="4"/>
    </row>
    <row r="537" spans="1:26" x14ac:dyDescent="0.3">
      <c r="A537" t="s">
        <v>908</v>
      </c>
      <c r="B537" s="22" t="s">
        <v>269</v>
      </c>
      <c r="C537" s="23" t="s">
        <v>11</v>
      </c>
      <c r="D537" s="24" t="s">
        <v>327</v>
      </c>
      <c r="E537" s="25">
        <v>19</v>
      </c>
      <c r="F537" t="s">
        <v>370</v>
      </c>
      <c r="G537" s="24" t="s">
        <v>17</v>
      </c>
      <c r="H537" s="24" t="s">
        <v>18</v>
      </c>
      <c r="I537" s="24">
        <v>12300</v>
      </c>
      <c r="J537" s="24">
        <v>5</v>
      </c>
      <c r="K537" s="25">
        <f t="shared" si="24"/>
        <v>61500</v>
      </c>
      <c r="L537" s="26">
        <v>45024</v>
      </c>
      <c r="M537" s="25" t="str">
        <f t="shared" si="25"/>
        <v>Saturday</v>
      </c>
      <c r="N537" s="25" t="str">
        <f t="shared" si="26"/>
        <v>Weekend</v>
      </c>
      <c r="Q537" s="25"/>
      <c r="R537" s="24"/>
      <c r="S537" s="27"/>
      <c r="T537"/>
      <c r="U537" s="6"/>
      <c r="W537" s="7"/>
      <c r="Z537" s="4"/>
    </row>
    <row r="538" spans="1:26" x14ac:dyDescent="0.3">
      <c r="A538" t="s">
        <v>909</v>
      </c>
      <c r="B538" s="16" t="s">
        <v>270</v>
      </c>
      <c r="C538" s="17" t="s">
        <v>366</v>
      </c>
      <c r="D538" s="18" t="s">
        <v>322</v>
      </c>
      <c r="E538" s="19">
        <v>43</v>
      </c>
      <c r="F538" t="s">
        <v>381</v>
      </c>
      <c r="G538" s="18" t="s">
        <v>24</v>
      </c>
      <c r="H538" s="18" t="s">
        <v>14</v>
      </c>
      <c r="I538" s="18">
        <v>184500</v>
      </c>
      <c r="J538" s="18">
        <v>5</v>
      </c>
      <c r="K538" s="19">
        <f t="shared" si="24"/>
        <v>922500</v>
      </c>
      <c r="L538" s="20">
        <v>45049</v>
      </c>
      <c r="M538" s="19" t="str">
        <f t="shared" si="25"/>
        <v>Wednesday</v>
      </c>
      <c r="N538" s="19" t="str">
        <f t="shared" si="26"/>
        <v>Weekday</v>
      </c>
      <c r="Q538" s="19"/>
      <c r="R538" s="18"/>
      <c r="S538" s="21"/>
      <c r="T538"/>
      <c r="U538" s="6"/>
      <c r="W538" s="7"/>
      <c r="Z538" s="4"/>
    </row>
    <row r="539" spans="1:26" x14ac:dyDescent="0.3">
      <c r="A539" t="s">
        <v>910</v>
      </c>
      <c r="B539" s="22" t="s">
        <v>237</v>
      </c>
      <c r="C539" s="23" t="s">
        <v>366</v>
      </c>
      <c r="D539" s="24" t="s">
        <v>322</v>
      </c>
      <c r="E539" s="25">
        <v>23</v>
      </c>
      <c r="F539" t="s">
        <v>375</v>
      </c>
      <c r="G539" s="24" t="s">
        <v>32</v>
      </c>
      <c r="H539" s="24" t="s">
        <v>18</v>
      </c>
      <c r="I539" s="24">
        <v>3690</v>
      </c>
      <c r="J539" s="24">
        <v>2</v>
      </c>
      <c r="K539" s="25">
        <f t="shared" si="24"/>
        <v>7380</v>
      </c>
      <c r="L539" s="26">
        <v>45122</v>
      </c>
      <c r="M539" s="25" t="str">
        <f t="shared" si="25"/>
        <v>Saturday</v>
      </c>
      <c r="N539" s="25" t="str">
        <f t="shared" si="26"/>
        <v>Weekend</v>
      </c>
      <c r="Q539" s="25"/>
      <c r="R539" s="24"/>
      <c r="S539" s="27"/>
      <c r="T539"/>
      <c r="U539" s="6"/>
      <c r="W539" s="7"/>
      <c r="Z539" s="4"/>
    </row>
    <row r="540" spans="1:26" x14ac:dyDescent="0.3">
      <c r="A540" t="s">
        <v>911</v>
      </c>
      <c r="B540" s="16" t="s">
        <v>96</v>
      </c>
      <c r="C540" s="17" t="s">
        <v>11</v>
      </c>
      <c r="D540" s="18" t="s">
        <v>322</v>
      </c>
      <c r="E540" s="19">
        <v>45</v>
      </c>
      <c r="F540" t="s">
        <v>381</v>
      </c>
      <c r="G540" s="18" t="s">
        <v>42</v>
      </c>
      <c r="H540" s="18" t="s">
        <v>14</v>
      </c>
      <c r="I540" s="18">
        <v>98400</v>
      </c>
      <c r="J540" s="18">
        <v>4</v>
      </c>
      <c r="K540" s="19">
        <f t="shared" si="24"/>
        <v>393600</v>
      </c>
      <c r="L540" s="20">
        <v>45197</v>
      </c>
      <c r="M540" s="19" t="str">
        <f t="shared" si="25"/>
        <v>Thursday</v>
      </c>
      <c r="N540" s="19" t="str">
        <f t="shared" si="26"/>
        <v>Weekday</v>
      </c>
      <c r="Q540" s="19"/>
      <c r="R540" s="18"/>
      <c r="S540" s="21"/>
      <c r="T540"/>
      <c r="U540" s="6"/>
      <c r="W540" s="7"/>
      <c r="Z540" s="4"/>
    </row>
    <row r="541" spans="1:26" x14ac:dyDescent="0.3">
      <c r="A541" t="s">
        <v>912</v>
      </c>
      <c r="B541" s="22" t="s">
        <v>271</v>
      </c>
      <c r="C541" s="23" t="s">
        <v>20</v>
      </c>
      <c r="D541" s="24" t="s">
        <v>322</v>
      </c>
      <c r="E541" s="25">
        <v>48</v>
      </c>
      <c r="F541" t="s">
        <v>370</v>
      </c>
      <c r="G541" s="24" t="s">
        <v>31</v>
      </c>
      <c r="H541" s="24" t="s">
        <v>18</v>
      </c>
      <c r="I541" s="24">
        <v>6150</v>
      </c>
      <c r="J541" s="24">
        <v>4</v>
      </c>
      <c r="K541" s="25">
        <f t="shared" si="24"/>
        <v>24600</v>
      </c>
      <c r="L541" s="26">
        <v>45068</v>
      </c>
      <c r="M541" s="25" t="str">
        <f t="shared" si="25"/>
        <v>Monday</v>
      </c>
      <c r="N541" s="25" t="str">
        <f t="shared" si="26"/>
        <v>Weekday</v>
      </c>
      <c r="Q541" s="25"/>
      <c r="R541" s="24"/>
      <c r="S541" s="27"/>
      <c r="T541"/>
      <c r="U541" s="6"/>
      <c r="W541" s="7"/>
      <c r="Z541" s="4"/>
    </row>
    <row r="542" spans="1:26" x14ac:dyDescent="0.3">
      <c r="A542" t="s">
        <v>913</v>
      </c>
      <c r="B542" s="16" t="s">
        <v>190</v>
      </c>
      <c r="C542" s="17" t="s">
        <v>366</v>
      </c>
      <c r="D542" s="18" t="s">
        <v>324</v>
      </c>
      <c r="E542" s="19">
        <v>52</v>
      </c>
      <c r="F542" t="s">
        <v>373</v>
      </c>
      <c r="G542" s="18" t="s">
        <v>32</v>
      </c>
      <c r="H542" s="18" t="s">
        <v>18</v>
      </c>
      <c r="I542" s="18">
        <v>3690</v>
      </c>
      <c r="J542" s="18">
        <v>3</v>
      </c>
      <c r="K542" s="19">
        <f t="shared" si="24"/>
        <v>11070</v>
      </c>
      <c r="L542" s="20">
        <v>45015</v>
      </c>
      <c r="M542" s="19" t="str">
        <f t="shared" si="25"/>
        <v>Thursday</v>
      </c>
      <c r="N542" s="19" t="str">
        <f t="shared" si="26"/>
        <v>Weekday</v>
      </c>
      <c r="Q542" s="19"/>
      <c r="R542" s="18"/>
      <c r="S542" s="21"/>
      <c r="T542"/>
      <c r="U542" s="6"/>
      <c r="W542" s="7"/>
      <c r="Z542" s="4"/>
    </row>
    <row r="543" spans="1:26" x14ac:dyDescent="0.3">
      <c r="A543" t="s">
        <v>914</v>
      </c>
      <c r="B543" s="22" t="s">
        <v>200</v>
      </c>
      <c r="C543" s="23" t="s">
        <v>366</v>
      </c>
      <c r="D543" s="24" t="s">
        <v>322</v>
      </c>
      <c r="E543" s="25">
        <v>46</v>
      </c>
      <c r="F543" t="s">
        <v>373</v>
      </c>
      <c r="G543" s="24" t="s">
        <v>17</v>
      </c>
      <c r="H543" s="24" t="s">
        <v>18</v>
      </c>
      <c r="I543" s="24">
        <v>12300</v>
      </c>
      <c r="J543" s="24">
        <v>5</v>
      </c>
      <c r="K543" s="25">
        <f t="shared" si="24"/>
        <v>61500</v>
      </c>
      <c r="L543" s="26">
        <v>45140</v>
      </c>
      <c r="M543" s="25" t="str">
        <f t="shared" si="25"/>
        <v>Wednesday</v>
      </c>
      <c r="N543" s="25" t="str">
        <f t="shared" si="26"/>
        <v>Weekday</v>
      </c>
      <c r="Q543" s="25"/>
      <c r="R543" s="24"/>
      <c r="S543" s="27"/>
      <c r="T543"/>
      <c r="U543" s="6"/>
      <c r="W543" s="7"/>
      <c r="Z543" s="4"/>
    </row>
    <row r="544" spans="1:26" x14ac:dyDescent="0.3">
      <c r="A544" t="s">
        <v>915</v>
      </c>
      <c r="B544" s="16" t="s">
        <v>10</v>
      </c>
      <c r="C544" s="17" t="s">
        <v>11</v>
      </c>
      <c r="D544" s="18" t="s">
        <v>322</v>
      </c>
      <c r="E544" s="19">
        <v>21</v>
      </c>
      <c r="F544" t="s">
        <v>370</v>
      </c>
      <c r="G544" s="18" t="s">
        <v>31</v>
      </c>
      <c r="H544" s="18" t="s">
        <v>18</v>
      </c>
      <c r="I544" s="18">
        <v>6150</v>
      </c>
      <c r="J544" s="18">
        <v>3</v>
      </c>
      <c r="K544" s="19">
        <f t="shared" si="24"/>
        <v>18450</v>
      </c>
      <c r="L544" s="20">
        <v>45066</v>
      </c>
      <c r="M544" s="19" t="str">
        <f t="shared" si="25"/>
        <v>Saturday</v>
      </c>
      <c r="N544" s="19" t="str">
        <f t="shared" si="26"/>
        <v>Weekend</v>
      </c>
      <c r="Q544" s="19"/>
      <c r="R544" s="18"/>
      <c r="S544" s="21"/>
      <c r="T544"/>
      <c r="U544" s="6"/>
      <c r="W544" s="7"/>
      <c r="Z544" s="4"/>
    </row>
    <row r="545" spans="1:26" x14ac:dyDescent="0.3">
      <c r="A545" t="s">
        <v>916</v>
      </c>
      <c r="B545" s="22" t="s">
        <v>272</v>
      </c>
      <c r="C545" s="23" t="s">
        <v>20</v>
      </c>
      <c r="D545" s="24" t="s">
        <v>322</v>
      </c>
      <c r="E545" s="25">
        <v>36</v>
      </c>
      <c r="F545" t="s">
        <v>373</v>
      </c>
      <c r="G545" s="24" t="s">
        <v>31</v>
      </c>
      <c r="H545" s="24" t="s">
        <v>18</v>
      </c>
      <c r="I545" s="24">
        <v>6150</v>
      </c>
      <c r="J545" s="24">
        <v>5</v>
      </c>
      <c r="K545" s="25">
        <f t="shared" si="24"/>
        <v>30750</v>
      </c>
      <c r="L545" s="26">
        <v>45277</v>
      </c>
      <c r="M545" s="25" t="str">
        <f t="shared" si="25"/>
        <v>Sunday</v>
      </c>
      <c r="N545" s="25" t="str">
        <f t="shared" si="26"/>
        <v>Weekday</v>
      </c>
      <c r="Q545" s="25"/>
      <c r="R545" s="24"/>
      <c r="S545" s="27"/>
      <c r="T545"/>
      <c r="U545" s="6"/>
      <c r="W545" s="7"/>
      <c r="Z545" s="4"/>
    </row>
    <row r="546" spans="1:26" x14ac:dyDescent="0.3">
      <c r="A546" t="s">
        <v>917</v>
      </c>
      <c r="B546" s="16" t="s">
        <v>228</v>
      </c>
      <c r="C546" s="17" t="s">
        <v>11</v>
      </c>
      <c r="D546" s="18" t="s">
        <v>325</v>
      </c>
      <c r="E546" s="19">
        <v>33</v>
      </c>
      <c r="F546" t="s">
        <v>373</v>
      </c>
      <c r="G546" s="18" t="s">
        <v>13</v>
      </c>
      <c r="H546" s="18" t="s">
        <v>14</v>
      </c>
      <c r="I546" s="18">
        <v>36900</v>
      </c>
      <c r="J546" s="18">
        <v>3</v>
      </c>
      <c r="K546" s="19">
        <f t="shared" si="24"/>
        <v>110700</v>
      </c>
      <c r="L546" s="20">
        <v>45231</v>
      </c>
      <c r="M546" s="19" t="str">
        <f t="shared" si="25"/>
        <v>Wednesday</v>
      </c>
      <c r="N546" s="19" t="str">
        <f t="shared" si="26"/>
        <v>Weekday</v>
      </c>
      <c r="Q546" s="19"/>
      <c r="R546" s="18"/>
      <c r="S546" s="21"/>
      <c r="T546"/>
      <c r="U546" s="6"/>
      <c r="W546" s="7"/>
      <c r="Z546" s="4"/>
    </row>
    <row r="547" spans="1:26" x14ac:dyDescent="0.3">
      <c r="A547" t="s">
        <v>918</v>
      </c>
      <c r="B547" s="22" t="s">
        <v>286</v>
      </c>
      <c r="C547" s="23" t="s">
        <v>20</v>
      </c>
      <c r="D547" s="24" t="s">
        <v>325</v>
      </c>
      <c r="E547" s="25">
        <v>45</v>
      </c>
      <c r="F547" t="s">
        <v>375</v>
      </c>
      <c r="G547" s="24" t="s">
        <v>32</v>
      </c>
      <c r="H547" s="24" t="s">
        <v>18</v>
      </c>
      <c r="I547" s="24">
        <v>3690</v>
      </c>
      <c r="J547" s="24">
        <v>2</v>
      </c>
      <c r="K547" s="25">
        <f t="shared" si="24"/>
        <v>7380</v>
      </c>
      <c r="L547" s="26">
        <v>45347</v>
      </c>
      <c r="M547" s="25" t="str">
        <f t="shared" si="25"/>
        <v>Sunday</v>
      </c>
      <c r="N547" s="25" t="str">
        <f t="shared" si="26"/>
        <v>Weekday</v>
      </c>
      <c r="Q547" s="25"/>
      <c r="R547" s="24"/>
      <c r="S547" s="27"/>
      <c r="T547"/>
      <c r="U547" s="6"/>
      <c r="W547" s="7"/>
      <c r="Z547" s="4"/>
    </row>
    <row r="548" spans="1:26" x14ac:dyDescent="0.3">
      <c r="A548" t="s">
        <v>919</v>
      </c>
      <c r="B548" s="16" t="s">
        <v>92</v>
      </c>
      <c r="C548" s="17" t="s">
        <v>11</v>
      </c>
      <c r="D548" s="18" t="s">
        <v>323</v>
      </c>
      <c r="E548" s="19">
        <v>50</v>
      </c>
      <c r="F548" t="s">
        <v>375</v>
      </c>
      <c r="G548" s="18" t="s">
        <v>13</v>
      </c>
      <c r="H548" s="18" t="s">
        <v>14</v>
      </c>
      <c r="I548" s="18">
        <v>36900</v>
      </c>
      <c r="J548" s="18">
        <v>3</v>
      </c>
      <c r="K548" s="19">
        <f t="shared" si="24"/>
        <v>110700</v>
      </c>
      <c r="L548" s="20">
        <v>44934</v>
      </c>
      <c r="M548" s="19" t="str">
        <f t="shared" si="25"/>
        <v>Sunday</v>
      </c>
      <c r="N548" s="19" t="str">
        <f t="shared" si="26"/>
        <v>Weekday</v>
      </c>
      <c r="Q548" s="19"/>
      <c r="R548" s="18"/>
      <c r="S548" s="21"/>
      <c r="T548"/>
      <c r="U548" s="6"/>
      <c r="W548" s="7"/>
      <c r="Z548" s="4"/>
    </row>
    <row r="549" spans="1:26" x14ac:dyDescent="0.3">
      <c r="A549" t="s">
        <v>920</v>
      </c>
      <c r="B549" s="22" t="s">
        <v>186</v>
      </c>
      <c r="C549" s="23" t="s">
        <v>20</v>
      </c>
      <c r="D549" s="24" t="s">
        <v>324</v>
      </c>
      <c r="E549" s="25">
        <v>51</v>
      </c>
      <c r="F549" t="s">
        <v>373</v>
      </c>
      <c r="G549" s="24" t="s">
        <v>17</v>
      </c>
      <c r="H549" s="24" t="s">
        <v>18</v>
      </c>
      <c r="I549" s="24">
        <v>12300</v>
      </c>
      <c r="J549" s="24">
        <v>4</v>
      </c>
      <c r="K549" s="25">
        <f t="shared" si="24"/>
        <v>49200</v>
      </c>
      <c r="L549" s="26">
        <v>45194</v>
      </c>
      <c r="M549" s="25" t="str">
        <f t="shared" si="25"/>
        <v>Monday</v>
      </c>
      <c r="N549" s="25" t="str">
        <f t="shared" si="26"/>
        <v>Weekday</v>
      </c>
      <c r="Q549" s="25"/>
      <c r="R549" s="24"/>
      <c r="S549" s="27"/>
      <c r="T549"/>
      <c r="U549" s="6"/>
      <c r="W549" s="7"/>
      <c r="Z549" s="4"/>
    </row>
    <row r="550" spans="1:26" x14ac:dyDescent="0.3">
      <c r="A550" t="s">
        <v>921</v>
      </c>
      <c r="B550" s="16" t="s">
        <v>186</v>
      </c>
      <c r="C550" s="17" t="s">
        <v>20</v>
      </c>
      <c r="D550" s="18" t="s">
        <v>324</v>
      </c>
      <c r="E550" s="19">
        <v>51</v>
      </c>
      <c r="F550" t="s">
        <v>375</v>
      </c>
      <c r="G550" s="18" t="s">
        <v>31</v>
      </c>
      <c r="H550" s="18" t="s">
        <v>18</v>
      </c>
      <c r="I550" s="18">
        <v>6150</v>
      </c>
      <c r="J550" s="18">
        <v>3</v>
      </c>
      <c r="K550" s="19">
        <f t="shared" si="24"/>
        <v>18450</v>
      </c>
      <c r="L550" s="20">
        <v>45034</v>
      </c>
      <c r="M550" s="19" t="str">
        <f t="shared" si="25"/>
        <v>Tuesday</v>
      </c>
      <c r="N550" s="19" t="str">
        <f t="shared" si="26"/>
        <v>Weekday</v>
      </c>
      <c r="Q550" s="19"/>
      <c r="R550" s="18"/>
      <c r="S550" s="21"/>
      <c r="T550"/>
      <c r="U550" s="6"/>
      <c r="W550" s="7"/>
      <c r="Z550" s="4"/>
    </row>
    <row r="551" spans="1:26" x14ac:dyDescent="0.3">
      <c r="A551" t="s">
        <v>922</v>
      </c>
      <c r="B551" s="22" t="s">
        <v>273</v>
      </c>
      <c r="C551" s="23" t="s">
        <v>366</v>
      </c>
      <c r="D551" s="24" t="s">
        <v>322</v>
      </c>
      <c r="E551" s="25">
        <v>65</v>
      </c>
      <c r="F551" t="s">
        <v>370</v>
      </c>
      <c r="G551" s="24" t="s">
        <v>26</v>
      </c>
      <c r="H551" s="24" t="s">
        <v>27</v>
      </c>
      <c r="I551" s="24">
        <v>24600</v>
      </c>
      <c r="J551" s="24">
        <v>1</v>
      </c>
      <c r="K551" s="25">
        <f t="shared" si="24"/>
        <v>24600</v>
      </c>
      <c r="L551" s="26">
        <v>44976</v>
      </c>
      <c r="M551" s="25" t="str">
        <f t="shared" si="25"/>
        <v>Sunday</v>
      </c>
      <c r="N551" s="25" t="str">
        <f t="shared" si="26"/>
        <v>Weekday</v>
      </c>
      <c r="Q551" s="25"/>
      <c r="R551" s="24"/>
      <c r="S551" s="27"/>
      <c r="T551"/>
      <c r="U551" s="6"/>
      <c r="W551" s="7"/>
      <c r="Z551" s="4"/>
    </row>
    <row r="552" spans="1:26" x14ac:dyDescent="0.3">
      <c r="A552" t="s">
        <v>923</v>
      </c>
      <c r="B552" s="16" t="s">
        <v>104</v>
      </c>
      <c r="C552" s="17" t="s">
        <v>366</v>
      </c>
      <c r="D552" s="18" t="s">
        <v>326</v>
      </c>
      <c r="E552" s="19">
        <v>30</v>
      </c>
      <c r="F552" t="s">
        <v>375</v>
      </c>
      <c r="G552" s="18" t="s">
        <v>17</v>
      </c>
      <c r="H552" s="18" t="s">
        <v>18</v>
      </c>
      <c r="I552" s="18">
        <v>12300</v>
      </c>
      <c r="J552" s="18">
        <v>1</v>
      </c>
      <c r="K552" s="19">
        <f t="shared" si="24"/>
        <v>12300</v>
      </c>
      <c r="L552" s="20">
        <v>45078</v>
      </c>
      <c r="M552" s="19" t="str">
        <f t="shared" si="25"/>
        <v>Thursday</v>
      </c>
      <c r="N552" s="19" t="str">
        <f t="shared" si="26"/>
        <v>Weekday</v>
      </c>
      <c r="Q552" s="19"/>
      <c r="R552" s="18"/>
      <c r="S552" s="21"/>
      <c r="T552"/>
      <c r="U552" s="6"/>
      <c r="W552" s="7"/>
      <c r="Z552" s="4"/>
    </row>
    <row r="553" spans="1:26" x14ac:dyDescent="0.3">
      <c r="A553" t="s">
        <v>924</v>
      </c>
      <c r="B553" s="22" t="s">
        <v>160</v>
      </c>
      <c r="C553" s="23" t="s">
        <v>11</v>
      </c>
      <c r="D553" s="24" t="s">
        <v>323</v>
      </c>
      <c r="E553" s="25">
        <v>32</v>
      </c>
      <c r="F553" t="s">
        <v>375</v>
      </c>
      <c r="G553" s="24" t="s">
        <v>31</v>
      </c>
      <c r="H553" s="24" t="s">
        <v>18</v>
      </c>
      <c r="I553" s="24">
        <v>6150</v>
      </c>
      <c r="J553" s="24">
        <v>5</v>
      </c>
      <c r="K553" s="25">
        <f t="shared" si="24"/>
        <v>30750</v>
      </c>
      <c r="L553" s="26">
        <v>45105</v>
      </c>
      <c r="M553" s="25" t="str">
        <f t="shared" si="25"/>
        <v>Wednesday</v>
      </c>
      <c r="N553" s="25" t="str">
        <f t="shared" si="26"/>
        <v>Weekday</v>
      </c>
      <c r="Q553" s="25"/>
      <c r="R553" s="24"/>
      <c r="S553" s="27"/>
      <c r="T553"/>
      <c r="U553" s="6"/>
      <c r="W553" s="7"/>
      <c r="Z553" s="4"/>
    </row>
    <row r="554" spans="1:26" x14ac:dyDescent="0.3">
      <c r="A554" t="s">
        <v>925</v>
      </c>
      <c r="B554" s="16" t="s">
        <v>160</v>
      </c>
      <c r="C554" s="17" t="s">
        <v>11</v>
      </c>
      <c r="D554" s="18" t="s">
        <v>323</v>
      </c>
      <c r="E554" s="19">
        <v>32</v>
      </c>
      <c r="F554" t="s">
        <v>375</v>
      </c>
      <c r="G554" s="18" t="s">
        <v>13</v>
      </c>
      <c r="H554" s="18" t="s">
        <v>14</v>
      </c>
      <c r="I554" s="18">
        <v>36900</v>
      </c>
      <c r="J554" s="18">
        <v>1</v>
      </c>
      <c r="K554" s="19">
        <f t="shared" si="24"/>
        <v>36900</v>
      </c>
      <c r="L554" s="20">
        <v>45040</v>
      </c>
      <c r="M554" s="19" t="str">
        <f t="shared" si="25"/>
        <v>Monday</v>
      </c>
      <c r="N554" s="19" t="str">
        <f t="shared" si="26"/>
        <v>Weekday</v>
      </c>
      <c r="Q554" s="19"/>
      <c r="R554" s="18"/>
      <c r="S554" s="21"/>
      <c r="T554"/>
      <c r="U554" s="6"/>
      <c r="W554" s="7"/>
      <c r="Z554" s="4"/>
    </row>
    <row r="555" spans="1:26" x14ac:dyDescent="0.3">
      <c r="A555" t="s">
        <v>926</v>
      </c>
      <c r="B555" s="22" t="s">
        <v>209</v>
      </c>
      <c r="C555" s="23" t="s">
        <v>11</v>
      </c>
      <c r="D555" s="24" t="s">
        <v>329</v>
      </c>
      <c r="E555" s="25">
        <v>63</v>
      </c>
      <c r="F555" t="s">
        <v>381</v>
      </c>
      <c r="G555" s="24" t="s">
        <v>42</v>
      </c>
      <c r="H555" s="24" t="s">
        <v>14</v>
      </c>
      <c r="I555" s="24">
        <v>98400</v>
      </c>
      <c r="J555" s="24">
        <v>2</v>
      </c>
      <c r="K555" s="25">
        <f t="shared" si="24"/>
        <v>196800</v>
      </c>
      <c r="L555" s="26">
        <v>45268</v>
      </c>
      <c r="M555" s="25" t="str">
        <f t="shared" si="25"/>
        <v>Friday</v>
      </c>
      <c r="N555" s="25" t="str">
        <f t="shared" si="26"/>
        <v>Weekend</v>
      </c>
      <c r="Q555" s="25"/>
      <c r="R555" s="24"/>
      <c r="S555" s="27"/>
      <c r="T555"/>
      <c r="U555" s="6"/>
      <c r="W555" s="7"/>
      <c r="Z555" s="4"/>
    </row>
    <row r="556" spans="1:26" x14ac:dyDescent="0.3">
      <c r="A556" t="s">
        <v>927</v>
      </c>
      <c r="B556" s="16" t="s">
        <v>248</v>
      </c>
      <c r="C556" s="17" t="s">
        <v>366</v>
      </c>
      <c r="D556" s="18" t="s">
        <v>322</v>
      </c>
      <c r="E556" s="19">
        <v>54</v>
      </c>
      <c r="F556" t="s">
        <v>370</v>
      </c>
      <c r="G556" s="18" t="s">
        <v>31</v>
      </c>
      <c r="H556" s="18" t="s">
        <v>18</v>
      </c>
      <c r="I556" s="18">
        <v>6150</v>
      </c>
      <c r="J556" s="18">
        <v>1</v>
      </c>
      <c r="K556" s="19">
        <f t="shared" si="24"/>
        <v>6150</v>
      </c>
      <c r="L556" s="20">
        <v>45234</v>
      </c>
      <c r="M556" s="19" t="str">
        <f t="shared" si="25"/>
        <v>Saturday</v>
      </c>
      <c r="N556" s="19" t="str">
        <f t="shared" si="26"/>
        <v>Weekend</v>
      </c>
      <c r="Q556" s="19"/>
      <c r="R556" s="18"/>
      <c r="S556" s="21"/>
      <c r="T556"/>
      <c r="U556" s="6"/>
      <c r="W556" s="7"/>
      <c r="Z556" s="4"/>
    </row>
    <row r="557" spans="1:26" x14ac:dyDescent="0.3">
      <c r="A557" t="s">
        <v>928</v>
      </c>
      <c r="B557" s="22" t="s">
        <v>176</v>
      </c>
      <c r="C557" s="23" t="s">
        <v>11</v>
      </c>
      <c r="D557" s="24" t="s">
        <v>323</v>
      </c>
      <c r="E557" s="25">
        <v>54</v>
      </c>
      <c r="F557" t="s">
        <v>373</v>
      </c>
      <c r="G557" s="24" t="s">
        <v>24</v>
      </c>
      <c r="H557" s="24" t="s">
        <v>14</v>
      </c>
      <c r="I557" s="24">
        <v>184500</v>
      </c>
      <c r="J557" s="24">
        <v>5</v>
      </c>
      <c r="K557" s="25">
        <f t="shared" si="24"/>
        <v>922500</v>
      </c>
      <c r="L557" s="26">
        <v>45034</v>
      </c>
      <c r="M557" s="25" t="str">
        <f t="shared" si="25"/>
        <v>Tuesday</v>
      </c>
      <c r="N557" s="25" t="str">
        <f t="shared" si="26"/>
        <v>Weekday</v>
      </c>
      <c r="Q557" s="25"/>
      <c r="R557" s="24"/>
      <c r="S557" s="27"/>
      <c r="T557"/>
      <c r="U557" s="6"/>
      <c r="W557" s="7"/>
      <c r="Z557" s="4"/>
    </row>
    <row r="558" spans="1:26" x14ac:dyDescent="0.3">
      <c r="A558" t="s">
        <v>929</v>
      </c>
      <c r="B558" s="16" t="s">
        <v>265</v>
      </c>
      <c r="C558" s="17" t="s">
        <v>11</v>
      </c>
      <c r="D558" s="18" t="s">
        <v>322</v>
      </c>
      <c r="E558" s="19">
        <v>64</v>
      </c>
      <c r="F558" t="s">
        <v>373</v>
      </c>
      <c r="G558" s="18" t="s">
        <v>26</v>
      </c>
      <c r="H558" s="18" t="s">
        <v>27</v>
      </c>
      <c r="I558" s="18">
        <v>24600</v>
      </c>
      <c r="J558" s="18">
        <v>2</v>
      </c>
      <c r="K558" s="19">
        <f t="shared" si="24"/>
        <v>49200</v>
      </c>
      <c r="L558" s="20">
        <v>45193</v>
      </c>
      <c r="M558" s="19" t="str">
        <f t="shared" si="25"/>
        <v>Sunday</v>
      </c>
      <c r="N558" s="19" t="str">
        <f t="shared" si="26"/>
        <v>Weekday</v>
      </c>
      <c r="Q558" s="19"/>
      <c r="R558" s="18"/>
      <c r="S558" s="21"/>
      <c r="T558"/>
      <c r="U558" s="6"/>
      <c r="W558" s="7"/>
      <c r="Z558" s="4"/>
    </row>
    <row r="559" spans="1:26" x14ac:dyDescent="0.3">
      <c r="A559" t="s">
        <v>930</v>
      </c>
      <c r="B559" s="22" t="s">
        <v>63</v>
      </c>
      <c r="C559" s="23" t="s">
        <v>20</v>
      </c>
      <c r="D559" s="24" t="s">
        <v>322</v>
      </c>
      <c r="E559" s="25">
        <v>61</v>
      </c>
      <c r="F559" t="s">
        <v>381</v>
      </c>
      <c r="G559" s="24" t="s">
        <v>32</v>
      </c>
      <c r="H559" s="24" t="s">
        <v>18</v>
      </c>
      <c r="I559" s="24">
        <v>3690</v>
      </c>
      <c r="J559" s="24">
        <v>2</v>
      </c>
      <c r="K559" s="25">
        <f t="shared" si="24"/>
        <v>7380</v>
      </c>
      <c r="L559" s="26">
        <v>45243</v>
      </c>
      <c r="M559" s="25" t="str">
        <f t="shared" si="25"/>
        <v>Monday</v>
      </c>
      <c r="N559" s="25" t="str">
        <f t="shared" si="26"/>
        <v>Weekday</v>
      </c>
      <c r="Q559" s="25"/>
      <c r="R559" s="24"/>
      <c r="S559" s="27"/>
      <c r="T559"/>
      <c r="U559" s="6"/>
      <c r="W559" s="7"/>
      <c r="Z559" s="4"/>
    </row>
    <row r="560" spans="1:26" x14ac:dyDescent="0.3">
      <c r="A560" t="s">
        <v>931</v>
      </c>
      <c r="B560" s="16" t="s">
        <v>274</v>
      </c>
      <c r="C560" s="17" t="s">
        <v>11</v>
      </c>
      <c r="D560" s="18" t="s">
        <v>326</v>
      </c>
      <c r="E560" s="19">
        <v>51</v>
      </c>
      <c r="F560" t="s">
        <v>375</v>
      </c>
      <c r="G560" s="18" t="s">
        <v>24</v>
      </c>
      <c r="H560" s="18" t="s">
        <v>14</v>
      </c>
      <c r="I560" s="18">
        <v>184500</v>
      </c>
      <c r="J560" s="18">
        <v>1</v>
      </c>
      <c r="K560" s="19">
        <f t="shared" si="24"/>
        <v>184500</v>
      </c>
      <c r="L560" s="20">
        <v>45209</v>
      </c>
      <c r="M560" s="19" t="str">
        <f t="shared" si="25"/>
        <v>Tuesday</v>
      </c>
      <c r="N560" s="19" t="str">
        <f t="shared" si="26"/>
        <v>Weekday</v>
      </c>
      <c r="Q560" s="19"/>
      <c r="R560" s="18"/>
      <c r="S560" s="21"/>
      <c r="T560"/>
      <c r="U560" s="6"/>
      <c r="W560" s="7"/>
      <c r="Z560" s="4"/>
    </row>
    <row r="561" spans="1:26" x14ac:dyDescent="0.3">
      <c r="A561" t="s">
        <v>932</v>
      </c>
      <c r="B561" s="22" t="s">
        <v>86</v>
      </c>
      <c r="C561" s="23" t="s">
        <v>11</v>
      </c>
      <c r="D561" s="24" t="s">
        <v>326</v>
      </c>
      <c r="E561" s="25">
        <v>28</v>
      </c>
      <c r="F561" t="s">
        <v>370</v>
      </c>
      <c r="G561" s="24" t="s">
        <v>24</v>
      </c>
      <c r="H561" s="24" t="s">
        <v>14</v>
      </c>
      <c r="I561" s="24">
        <v>184500</v>
      </c>
      <c r="J561" s="24">
        <v>1</v>
      </c>
      <c r="K561" s="25">
        <f t="shared" si="24"/>
        <v>184500</v>
      </c>
      <c r="L561" s="26">
        <v>44974</v>
      </c>
      <c r="M561" s="25" t="str">
        <f t="shared" si="25"/>
        <v>Friday</v>
      </c>
      <c r="N561" s="25" t="str">
        <f t="shared" si="26"/>
        <v>Weekend</v>
      </c>
      <c r="Q561" s="25"/>
      <c r="R561" s="24"/>
      <c r="S561" s="27"/>
      <c r="T561"/>
      <c r="U561" s="6"/>
      <c r="W561" s="7"/>
      <c r="Z561" s="4"/>
    </row>
    <row r="562" spans="1:26" x14ac:dyDescent="0.3">
      <c r="A562" t="s">
        <v>933</v>
      </c>
      <c r="B562" s="16" t="s">
        <v>197</v>
      </c>
      <c r="C562" s="17" t="s">
        <v>20</v>
      </c>
      <c r="D562" s="18" t="s">
        <v>323</v>
      </c>
      <c r="E562" s="19">
        <v>51</v>
      </c>
      <c r="F562" t="s">
        <v>370</v>
      </c>
      <c r="G562" s="18" t="s">
        <v>17</v>
      </c>
      <c r="H562" s="18" t="s">
        <v>18</v>
      </c>
      <c r="I562" s="18">
        <v>12300</v>
      </c>
      <c r="J562" s="18">
        <v>3</v>
      </c>
      <c r="K562" s="19">
        <f t="shared" si="24"/>
        <v>36900</v>
      </c>
      <c r="L562" s="20">
        <v>45005</v>
      </c>
      <c r="M562" s="19" t="str">
        <f t="shared" si="25"/>
        <v>Monday</v>
      </c>
      <c r="N562" s="19" t="str">
        <f t="shared" si="26"/>
        <v>Weekday</v>
      </c>
      <c r="Q562" s="19"/>
      <c r="R562" s="18"/>
      <c r="S562" s="21"/>
      <c r="T562"/>
      <c r="U562" s="6"/>
      <c r="W562" s="7"/>
      <c r="Z562" s="4"/>
    </row>
    <row r="563" spans="1:26" x14ac:dyDescent="0.3">
      <c r="A563" t="s">
        <v>934</v>
      </c>
      <c r="B563" s="22" t="s">
        <v>225</v>
      </c>
      <c r="C563" s="23" t="s">
        <v>11</v>
      </c>
      <c r="D563" s="24" t="s">
        <v>322</v>
      </c>
      <c r="E563" s="25">
        <v>20</v>
      </c>
      <c r="F563" t="s">
        <v>373</v>
      </c>
      <c r="G563" s="24" t="s">
        <v>24</v>
      </c>
      <c r="H563" s="24" t="s">
        <v>14</v>
      </c>
      <c r="I563" s="24">
        <v>184500</v>
      </c>
      <c r="J563" s="24">
        <v>5</v>
      </c>
      <c r="K563" s="25">
        <f t="shared" si="24"/>
        <v>922500</v>
      </c>
      <c r="L563" s="26">
        <v>45227</v>
      </c>
      <c r="M563" s="25" t="str">
        <f t="shared" si="25"/>
        <v>Saturday</v>
      </c>
      <c r="N563" s="25" t="str">
        <f t="shared" si="26"/>
        <v>Weekend</v>
      </c>
      <c r="Q563" s="25"/>
      <c r="R563" s="24"/>
      <c r="S563" s="27"/>
      <c r="T563"/>
      <c r="U563" s="6"/>
      <c r="W563" s="7"/>
      <c r="Z563" s="4"/>
    </row>
    <row r="564" spans="1:26" x14ac:dyDescent="0.3">
      <c r="A564" t="s">
        <v>935</v>
      </c>
      <c r="B564" s="16" t="s">
        <v>275</v>
      </c>
      <c r="C564" s="17" t="s">
        <v>11</v>
      </c>
      <c r="D564" s="18" t="s">
        <v>322</v>
      </c>
      <c r="E564" s="19">
        <v>33</v>
      </c>
      <c r="F564" t="s">
        <v>381</v>
      </c>
      <c r="G564" s="18" t="s">
        <v>13</v>
      </c>
      <c r="H564" s="18" t="s">
        <v>14</v>
      </c>
      <c r="I564" s="18">
        <v>36900</v>
      </c>
      <c r="J564" s="18">
        <v>5</v>
      </c>
      <c r="K564" s="19">
        <f t="shared" si="24"/>
        <v>184500</v>
      </c>
      <c r="L564" s="20">
        <v>44942</v>
      </c>
      <c r="M564" s="19" t="str">
        <f t="shared" si="25"/>
        <v>Monday</v>
      </c>
      <c r="N564" s="19" t="str">
        <f t="shared" si="26"/>
        <v>Weekday</v>
      </c>
      <c r="Q564" s="19"/>
      <c r="R564" s="18"/>
      <c r="S564" s="21"/>
      <c r="T564"/>
      <c r="U564" s="6"/>
      <c r="W564" s="7"/>
      <c r="Z564" s="4"/>
    </row>
    <row r="565" spans="1:26" x14ac:dyDescent="0.3">
      <c r="A565" t="s">
        <v>936</v>
      </c>
      <c r="B565" s="22" t="s">
        <v>194</v>
      </c>
      <c r="C565" s="23" t="s">
        <v>11</v>
      </c>
      <c r="D565" s="24" t="s">
        <v>323</v>
      </c>
      <c r="E565" s="25">
        <v>28</v>
      </c>
      <c r="F565" t="s">
        <v>381</v>
      </c>
      <c r="G565" s="24" t="s">
        <v>13</v>
      </c>
      <c r="H565" s="24" t="s">
        <v>14</v>
      </c>
      <c r="I565" s="24">
        <v>36900</v>
      </c>
      <c r="J565" s="24">
        <v>2</v>
      </c>
      <c r="K565" s="25">
        <f t="shared" si="24"/>
        <v>73800</v>
      </c>
      <c r="L565" s="26">
        <v>44968</v>
      </c>
      <c r="M565" s="25" t="str">
        <f t="shared" si="25"/>
        <v>Saturday</v>
      </c>
      <c r="N565" s="25" t="str">
        <f t="shared" si="26"/>
        <v>Weekend</v>
      </c>
      <c r="Q565" s="25"/>
      <c r="R565" s="24"/>
      <c r="S565" s="27"/>
      <c r="T565"/>
      <c r="U565" s="6"/>
      <c r="W565" s="7"/>
      <c r="Z565" s="4"/>
    </row>
    <row r="566" spans="1:26" x14ac:dyDescent="0.3">
      <c r="A566" t="s">
        <v>937</v>
      </c>
      <c r="B566" s="16" t="s">
        <v>54</v>
      </c>
      <c r="C566" s="17" t="s">
        <v>11</v>
      </c>
      <c r="D566" s="18" t="s">
        <v>322</v>
      </c>
      <c r="E566" s="19">
        <v>57</v>
      </c>
      <c r="F566" t="s">
        <v>381</v>
      </c>
      <c r="G566" s="18" t="s">
        <v>13</v>
      </c>
      <c r="H566" s="18" t="s">
        <v>14</v>
      </c>
      <c r="I566" s="18">
        <v>36900</v>
      </c>
      <c r="J566" s="18">
        <v>2</v>
      </c>
      <c r="K566" s="19">
        <f t="shared" si="24"/>
        <v>73800</v>
      </c>
      <c r="L566" s="20">
        <v>45278</v>
      </c>
      <c r="M566" s="19" t="str">
        <f t="shared" si="25"/>
        <v>Monday</v>
      </c>
      <c r="N566" s="19" t="str">
        <f t="shared" si="26"/>
        <v>Weekday</v>
      </c>
      <c r="Q566" s="19"/>
      <c r="R566" s="18"/>
      <c r="S566" s="21"/>
      <c r="T566"/>
      <c r="U566" s="6"/>
      <c r="W566" s="7"/>
      <c r="Z566" s="4"/>
    </row>
    <row r="567" spans="1:26" x14ac:dyDescent="0.3">
      <c r="A567" t="s">
        <v>938</v>
      </c>
      <c r="B567" s="22" t="s">
        <v>154</v>
      </c>
      <c r="C567" s="23" t="s">
        <v>11</v>
      </c>
      <c r="D567" s="24" t="s">
        <v>328</v>
      </c>
      <c r="E567" s="25">
        <v>53</v>
      </c>
      <c r="F567" t="s">
        <v>381</v>
      </c>
      <c r="G567" s="24" t="s">
        <v>31</v>
      </c>
      <c r="H567" s="24" t="s">
        <v>18</v>
      </c>
      <c r="I567" s="24">
        <v>6150</v>
      </c>
      <c r="J567" s="24">
        <v>5</v>
      </c>
      <c r="K567" s="25">
        <f t="shared" si="24"/>
        <v>30750</v>
      </c>
      <c r="L567" s="26">
        <v>45170</v>
      </c>
      <c r="M567" s="25" t="str">
        <f t="shared" si="25"/>
        <v>Friday</v>
      </c>
      <c r="N567" s="25" t="str">
        <f t="shared" si="26"/>
        <v>Weekend</v>
      </c>
      <c r="Q567" s="25"/>
      <c r="R567" s="24"/>
      <c r="S567" s="27"/>
      <c r="T567"/>
      <c r="U567" s="6"/>
      <c r="W567" s="7"/>
      <c r="Z567" s="4"/>
    </row>
    <row r="568" spans="1:26" x14ac:dyDescent="0.3">
      <c r="A568" t="s">
        <v>939</v>
      </c>
      <c r="B568" s="16" t="s">
        <v>276</v>
      </c>
      <c r="C568" s="17" t="s">
        <v>20</v>
      </c>
      <c r="D568" s="18" t="s">
        <v>324</v>
      </c>
      <c r="E568" s="19">
        <v>56</v>
      </c>
      <c r="F568" t="s">
        <v>370</v>
      </c>
      <c r="G568" s="18" t="s">
        <v>13</v>
      </c>
      <c r="H568" s="18" t="s">
        <v>14</v>
      </c>
      <c r="I568" s="18">
        <v>36900</v>
      </c>
      <c r="J568" s="18">
        <v>5</v>
      </c>
      <c r="K568" s="19">
        <f t="shared" si="24"/>
        <v>184500</v>
      </c>
      <c r="L568" s="20">
        <v>45127</v>
      </c>
      <c r="M568" s="19" t="str">
        <f t="shared" si="25"/>
        <v>Thursday</v>
      </c>
      <c r="N568" s="19" t="str">
        <f t="shared" si="26"/>
        <v>Weekday</v>
      </c>
      <c r="Q568" s="19"/>
      <c r="R568" s="18"/>
      <c r="S568" s="21"/>
      <c r="T568"/>
      <c r="U568" s="6"/>
      <c r="W568" s="7"/>
      <c r="Z568" s="4"/>
    </row>
    <row r="569" spans="1:26" x14ac:dyDescent="0.3">
      <c r="A569" t="s">
        <v>940</v>
      </c>
      <c r="B569" s="22" t="s">
        <v>277</v>
      </c>
      <c r="C569" s="23" t="s">
        <v>11</v>
      </c>
      <c r="D569" s="24" t="s">
        <v>325</v>
      </c>
      <c r="E569" s="25">
        <v>34</v>
      </c>
      <c r="F569" t="s">
        <v>375</v>
      </c>
      <c r="G569" s="24" t="s">
        <v>13</v>
      </c>
      <c r="H569" s="24" t="s">
        <v>14</v>
      </c>
      <c r="I569" s="24">
        <v>36900</v>
      </c>
      <c r="J569" s="24">
        <v>2</v>
      </c>
      <c r="K569" s="25">
        <f t="shared" si="24"/>
        <v>73800</v>
      </c>
      <c r="L569" s="26">
        <v>45192</v>
      </c>
      <c r="M569" s="25" t="str">
        <f t="shared" si="25"/>
        <v>Saturday</v>
      </c>
      <c r="N569" s="25" t="str">
        <f t="shared" si="26"/>
        <v>Weekend</v>
      </c>
      <c r="Q569" s="25"/>
      <c r="R569" s="24"/>
      <c r="S569" s="27"/>
      <c r="T569"/>
      <c r="U569" s="6"/>
      <c r="W569" s="7"/>
      <c r="Z569" s="4"/>
    </row>
    <row r="570" spans="1:26" x14ac:dyDescent="0.3">
      <c r="A570" t="s">
        <v>941</v>
      </c>
      <c r="B570" s="16" t="s">
        <v>278</v>
      </c>
      <c r="C570" s="17" t="s">
        <v>11</v>
      </c>
      <c r="D570" s="18" t="s">
        <v>322</v>
      </c>
      <c r="E570" s="19">
        <v>32</v>
      </c>
      <c r="F570" t="s">
        <v>373</v>
      </c>
      <c r="G570" s="18" t="s">
        <v>13</v>
      </c>
      <c r="H570" s="18" t="s">
        <v>14</v>
      </c>
      <c r="I570" s="18">
        <v>36900</v>
      </c>
      <c r="J570" s="18">
        <v>2</v>
      </c>
      <c r="K570" s="19">
        <f t="shared" si="24"/>
        <v>73800</v>
      </c>
      <c r="L570" s="20">
        <v>45121</v>
      </c>
      <c r="M570" s="19" t="str">
        <f t="shared" si="25"/>
        <v>Friday</v>
      </c>
      <c r="N570" s="19" t="str">
        <f t="shared" si="26"/>
        <v>Weekend</v>
      </c>
      <c r="Q570" s="19"/>
      <c r="R570" s="18"/>
      <c r="S570" s="21"/>
      <c r="T570"/>
      <c r="U570" s="6"/>
      <c r="W570" s="7"/>
      <c r="Z570" s="4"/>
    </row>
    <row r="571" spans="1:26" x14ac:dyDescent="0.3">
      <c r="A571" t="s">
        <v>942</v>
      </c>
      <c r="B571" s="22" t="s">
        <v>225</v>
      </c>
      <c r="C571" s="23" t="s">
        <v>11</v>
      </c>
      <c r="D571" s="24" t="s">
        <v>322</v>
      </c>
      <c r="E571" s="25">
        <v>20</v>
      </c>
      <c r="F571" t="s">
        <v>370</v>
      </c>
      <c r="G571" s="24" t="s">
        <v>26</v>
      </c>
      <c r="H571" s="24" t="s">
        <v>27</v>
      </c>
      <c r="I571" s="24">
        <v>24600</v>
      </c>
      <c r="J571" s="24">
        <v>4</v>
      </c>
      <c r="K571" s="25">
        <f t="shared" si="24"/>
        <v>98400</v>
      </c>
      <c r="L571" s="26">
        <v>45091</v>
      </c>
      <c r="M571" s="25" t="str">
        <f t="shared" si="25"/>
        <v>Wednesday</v>
      </c>
      <c r="N571" s="25" t="str">
        <f t="shared" si="26"/>
        <v>Weekday</v>
      </c>
      <c r="Q571" s="25"/>
      <c r="R571" s="24"/>
      <c r="S571" s="27"/>
      <c r="T571"/>
      <c r="U571" s="6"/>
      <c r="W571" s="7"/>
      <c r="Z571" s="4"/>
    </row>
    <row r="572" spans="1:26" x14ac:dyDescent="0.3">
      <c r="A572" t="s">
        <v>943</v>
      </c>
      <c r="B572" s="16" t="s">
        <v>85</v>
      </c>
      <c r="C572" s="17" t="s">
        <v>11</v>
      </c>
      <c r="D572" s="18" t="s">
        <v>326</v>
      </c>
      <c r="E572" s="19">
        <v>36</v>
      </c>
      <c r="F572" t="s">
        <v>381</v>
      </c>
      <c r="G572" s="18" t="s">
        <v>24</v>
      </c>
      <c r="H572" s="18" t="s">
        <v>14</v>
      </c>
      <c r="I572" s="18">
        <v>184500</v>
      </c>
      <c r="J572" s="18">
        <v>4</v>
      </c>
      <c r="K572" s="19">
        <f t="shared" si="24"/>
        <v>738000</v>
      </c>
      <c r="L572" s="20">
        <v>45083</v>
      </c>
      <c r="M572" s="19" t="str">
        <f t="shared" si="25"/>
        <v>Tuesday</v>
      </c>
      <c r="N572" s="19" t="str">
        <f t="shared" si="26"/>
        <v>Weekday</v>
      </c>
      <c r="Q572" s="19"/>
      <c r="R572" s="18"/>
      <c r="S572" s="21"/>
      <c r="T572"/>
      <c r="U572" s="6"/>
      <c r="W572" s="7"/>
      <c r="Z572" s="4"/>
    </row>
    <row r="573" spans="1:26" x14ac:dyDescent="0.3">
      <c r="A573" t="s">
        <v>944</v>
      </c>
      <c r="B573" s="22" t="s">
        <v>188</v>
      </c>
      <c r="C573" s="23" t="s">
        <v>20</v>
      </c>
      <c r="D573" s="24" t="s">
        <v>322</v>
      </c>
      <c r="E573" s="25">
        <v>40</v>
      </c>
      <c r="F573" t="s">
        <v>381</v>
      </c>
      <c r="G573" s="24" t="s">
        <v>42</v>
      </c>
      <c r="H573" s="24" t="s">
        <v>14</v>
      </c>
      <c r="I573" s="24">
        <v>98400</v>
      </c>
      <c r="J573" s="24">
        <v>2</v>
      </c>
      <c r="K573" s="25">
        <f t="shared" si="24"/>
        <v>196800</v>
      </c>
      <c r="L573" s="26">
        <v>44935</v>
      </c>
      <c r="M573" s="25" t="str">
        <f t="shared" si="25"/>
        <v>Monday</v>
      </c>
      <c r="N573" s="25" t="str">
        <f t="shared" si="26"/>
        <v>Weekday</v>
      </c>
      <c r="Q573" s="25"/>
      <c r="R573" s="24"/>
      <c r="S573" s="27"/>
      <c r="T573"/>
      <c r="U573" s="6"/>
      <c r="W573" s="7"/>
      <c r="Z573" s="4"/>
    </row>
    <row r="574" spans="1:26" x14ac:dyDescent="0.3">
      <c r="A574" t="s">
        <v>945</v>
      </c>
      <c r="B574" s="16" t="s">
        <v>256</v>
      </c>
      <c r="C574" s="17" t="s">
        <v>11</v>
      </c>
      <c r="D574" s="18" t="s">
        <v>322</v>
      </c>
      <c r="E574" s="19">
        <v>69</v>
      </c>
      <c r="F574" t="s">
        <v>373</v>
      </c>
      <c r="G574" s="18" t="s">
        <v>13</v>
      </c>
      <c r="H574" s="18" t="s">
        <v>14</v>
      </c>
      <c r="I574" s="18">
        <v>36900</v>
      </c>
      <c r="J574" s="18">
        <v>2</v>
      </c>
      <c r="K574" s="19">
        <f t="shared" si="24"/>
        <v>73800</v>
      </c>
      <c r="L574" s="20">
        <v>45136</v>
      </c>
      <c r="M574" s="19" t="str">
        <f t="shared" si="25"/>
        <v>Saturday</v>
      </c>
      <c r="N574" s="19" t="str">
        <f t="shared" si="26"/>
        <v>Weekend</v>
      </c>
      <c r="Q574" s="19"/>
      <c r="R574" s="18"/>
      <c r="S574" s="21"/>
      <c r="T574"/>
      <c r="U574" s="6"/>
      <c r="W574" s="7"/>
      <c r="Z574" s="4"/>
    </row>
    <row r="575" spans="1:26" x14ac:dyDescent="0.3">
      <c r="A575" t="s">
        <v>946</v>
      </c>
      <c r="B575" s="22" t="s">
        <v>193</v>
      </c>
      <c r="C575" s="23" t="s">
        <v>20</v>
      </c>
      <c r="D575" s="24" t="s">
        <v>323</v>
      </c>
      <c r="E575" s="25">
        <v>64</v>
      </c>
      <c r="F575" t="s">
        <v>375</v>
      </c>
      <c r="G575" s="24" t="s">
        <v>42</v>
      </c>
      <c r="H575" s="24" t="s">
        <v>14</v>
      </c>
      <c r="I575" s="24">
        <v>98400</v>
      </c>
      <c r="J575" s="24">
        <v>2</v>
      </c>
      <c r="K575" s="25">
        <f t="shared" si="24"/>
        <v>196800</v>
      </c>
      <c r="L575" s="26">
        <v>45143</v>
      </c>
      <c r="M575" s="25" t="str">
        <f t="shared" si="25"/>
        <v>Saturday</v>
      </c>
      <c r="N575" s="25" t="str">
        <f t="shared" si="26"/>
        <v>Weekend</v>
      </c>
      <c r="Q575" s="25"/>
      <c r="R575" s="24"/>
      <c r="S575" s="27"/>
      <c r="T575"/>
      <c r="U575" s="6"/>
      <c r="W575" s="7"/>
      <c r="Z575" s="4"/>
    </row>
    <row r="576" spans="1:26" x14ac:dyDescent="0.3">
      <c r="A576" t="s">
        <v>947</v>
      </c>
      <c r="B576" s="16" t="s">
        <v>54</v>
      </c>
      <c r="C576" s="17" t="s">
        <v>11</v>
      </c>
      <c r="D576" s="18" t="s">
        <v>322</v>
      </c>
      <c r="E576" s="19">
        <v>57</v>
      </c>
      <c r="F576" t="s">
        <v>375</v>
      </c>
      <c r="G576" s="18" t="s">
        <v>31</v>
      </c>
      <c r="H576" s="18" t="s">
        <v>18</v>
      </c>
      <c r="I576" s="18">
        <v>6150</v>
      </c>
      <c r="J576" s="18">
        <v>3</v>
      </c>
      <c r="K576" s="19">
        <f t="shared" si="24"/>
        <v>18450</v>
      </c>
      <c r="L576" s="20">
        <v>44978</v>
      </c>
      <c r="M576" s="19" t="str">
        <f t="shared" si="25"/>
        <v>Tuesday</v>
      </c>
      <c r="N576" s="19" t="str">
        <f t="shared" si="26"/>
        <v>Weekday</v>
      </c>
      <c r="Q576" s="19"/>
      <c r="R576" s="18"/>
      <c r="S576" s="21"/>
      <c r="T576"/>
      <c r="U576" s="6"/>
      <c r="W576" s="7"/>
      <c r="Z576" s="4"/>
    </row>
    <row r="577" spans="1:26" x14ac:dyDescent="0.3">
      <c r="A577" t="s">
        <v>948</v>
      </c>
      <c r="B577" s="22" t="s">
        <v>277</v>
      </c>
      <c r="C577" s="23" t="s">
        <v>11</v>
      </c>
      <c r="D577" s="24" t="s">
        <v>325</v>
      </c>
      <c r="E577" s="25">
        <v>34</v>
      </c>
      <c r="F577" t="s">
        <v>375</v>
      </c>
      <c r="G577" s="24" t="s">
        <v>13</v>
      </c>
      <c r="H577" s="24" t="s">
        <v>14</v>
      </c>
      <c r="I577" s="24">
        <v>36900</v>
      </c>
      <c r="J577" s="24">
        <v>2</v>
      </c>
      <c r="K577" s="25">
        <f t="shared" si="24"/>
        <v>73800</v>
      </c>
      <c r="L577" s="26">
        <v>45051</v>
      </c>
      <c r="M577" s="25" t="str">
        <f t="shared" si="25"/>
        <v>Friday</v>
      </c>
      <c r="N577" s="25" t="str">
        <f t="shared" si="26"/>
        <v>Weekend</v>
      </c>
      <c r="Q577" s="25"/>
      <c r="R577" s="24"/>
      <c r="S577" s="27"/>
      <c r="T577"/>
      <c r="U577" s="6"/>
      <c r="W577" s="7"/>
      <c r="Z577" s="4"/>
    </row>
    <row r="578" spans="1:26" x14ac:dyDescent="0.3">
      <c r="A578" t="s">
        <v>949</v>
      </c>
      <c r="B578" s="16" t="s">
        <v>170</v>
      </c>
      <c r="C578" s="17" t="s">
        <v>20</v>
      </c>
      <c r="D578" s="18" t="s">
        <v>326</v>
      </c>
      <c r="E578" s="19">
        <v>42</v>
      </c>
      <c r="F578" t="s">
        <v>381</v>
      </c>
      <c r="G578" s="18" t="s">
        <v>13</v>
      </c>
      <c r="H578" s="18" t="s">
        <v>14</v>
      </c>
      <c r="I578" s="18">
        <v>36900</v>
      </c>
      <c r="J578" s="18">
        <v>3</v>
      </c>
      <c r="K578" s="19">
        <f t="shared" ref="K578:K641" si="27">I578*J578</f>
        <v>110700</v>
      </c>
      <c r="L578" s="20">
        <v>44942</v>
      </c>
      <c r="M578" s="19" t="str">
        <f t="shared" ref="M578:M641" si="28">TEXT(L578, "dddd")</f>
        <v>Monday</v>
      </c>
      <c r="N578" s="19" t="str">
        <f t="shared" ref="N578:N641" si="29">IF(OR(WEEKDAY(L578, 2)=5, WEEKDAY(L578, 2)=6), "Weekend", "Weekday")</f>
        <v>Weekday</v>
      </c>
      <c r="Q578" s="19"/>
      <c r="R578" s="18"/>
      <c r="S578" s="21"/>
      <c r="T578"/>
      <c r="U578" s="6"/>
      <c r="W578" s="7"/>
      <c r="Z578" s="4"/>
    </row>
    <row r="579" spans="1:26" x14ac:dyDescent="0.3">
      <c r="A579" t="s">
        <v>950</v>
      </c>
      <c r="B579" s="22" t="s">
        <v>257</v>
      </c>
      <c r="C579" s="23" t="s">
        <v>11</v>
      </c>
      <c r="D579" s="24" t="s">
        <v>325</v>
      </c>
      <c r="E579" s="25">
        <v>39</v>
      </c>
      <c r="F579" t="s">
        <v>370</v>
      </c>
      <c r="G579" s="24" t="s">
        <v>17</v>
      </c>
      <c r="H579" s="24" t="s">
        <v>18</v>
      </c>
      <c r="I579" s="24">
        <v>12300</v>
      </c>
      <c r="J579" s="24">
        <v>1</v>
      </c>
      <c r="K579" s="25">
        <f t="shared" si="27"/>
        <v>12300</v>
      </c>
      <c r="L579" s="26">
        <v>45103</v>
      </c>
      <c r="M579" s="25" t="str">
        <f t="shared" si="28"/>
        <v>Monday</v>
      </c>
      <c r="N579" s="25" t="str">
        <f t="shared" si="29"/>
        <v>Weekday</v>
      </c>
      <c r="Q579" s="25"/>
      <c r="R579" s="24"/>
      <c r="S579" s="27"/>
      <c r="T579"/>
      <c r="U579" s="6"/>
      <c r="W579" s="7"/>
      <c r="Z579" s="4"/>
    </row>
    <row r="580" spans="1:26" x14ac:dyDescent="0.3">
      <c r="A580" t="s">
        <v>951</v>
      </c>
      <c r="B580" s="16" t="s">
        <v>135</v>
      </c>
      <c r="C580" s="17" t="s">
        <v>366</v>
      </c>
      <c r="D580" s="18" t="s">
        <v>323</v>
      </c>
      <c r="E580" s="19">
        <v>41</v>
      </c>
      <c r="F580" t="s">
        <v>370</v>
      </c>
      <c r="G580" s="18" t="s">
        <v>26</v>
      </c>
      <c r="H580" s="18" t="s">
        <v>27</v>
      </c>
      <c r="I580" s="18">
        <v>24600</v>
      </c>
      <c r="J580" s="18">
        <v>1</v>
      </c>
      <c r="K580" s="19">
        <f t="shared" si="27"/>
        <v>24600</v>
      </c>
      <c r="L580" s="20">
        <v>45036</v>
      </c>
      <c r="M580" s="19" t="str">
        <f t="shared" si="28"/>
        <v>Thursday</v>
      </c>
      <c r="N580" s="19" t="str">
        <f t="shared" si="29"/>
        <v>Weekday</v>
      </c>
      <c r="Q580" s="19"/>
      <c r="R580" s="18"/>
      <c r="S580" s="21"/>
      <c r="T580"/>
      <c r="U580" s="6"/>
      <c r="W580" s="7"/>
      <c r="Z580" s="4"/>
    </row>
    <row r="581" spans="1:26" x14ac:dyDescent="0.3">
      <c r="A581" t="s">
        <v>952</v>
      </c>
      <c r="B581" s="22" t="s">
        <v>279</v>
      </c>
      <c r="C581" s="23" t="s">
        <v>20</v>
      </c>
      <c r="D581" s="24" t="s">
        <v>323</v>
      </c>
      <c r="E581" s="25">
        <v>29</v>
      </c>
      <c r="F581" t="s">
        <v>375</v>
      </c>
      <c r="G581" s="24" t="s">
        <v>24</v>
      </c>
      <c r="H581" s="24" t="s">
        <v>14</v>
      </c>
      <c r="I581" s="24">
        <v>184500</v>
      </c>
      <c r="J581" s="24">
        <v>5</v>
      </c>
      <c r="K581" s="25">
        <f t="shared" si="27"/>
        <v>922500</v>
      </c>
      <c r="L581" s="26">
        <v>45229</v>
      </c>
      <c r="M581" s="25" t="str">
        <f t="shared" si="28"/>
        <v>Monday</v>
      </c>
      <c r="N581" s="25" t="str">
        <f t="shared" si="29"/>
        <v>Weekday</v>
      </c>
      <c r="Q581" s="25"/>
      <c r="R581" s="24"/>
      <c r="S581" s="27"/>
      <c r="T581"/>
      <c r="U581" s="6"/>
      <c r="W581" s="7"/>
      <c r="Z581" s="4"/>
    </row>
    <row r="582" spans="1:26" x14ac:dyDescent="0.3">
      <c r="A582" t="s">
        <v>953</v>
      </c>
      <c r="B582" s="16" t="s">
        <v>208</v>
      </c>
      <c r="C582" s="17" t="s">
        <v>366</v>
      </c>
      <c r="D582" s="18" t="s">
        <v>326</v>
      </c>
      <c r="E582" s="19">
        <v>45</v>
      </c>
      <c r="F582" t="s">
        <v>373</v>
      </c>
      <c r="G582" s="18" t="s">
        <v>17</v>
      </c>
      <c r="H582" s="18" t="s">
        <v>18</v>
      </c>
      <c r="I582" s="18">
        <v>12300</v>
      </c>
      <c r="J582" s="18">
        <v>4</v>
      </c>
      <c r="K582" s="19">
        <f t="shared" si="27"/>
        <v>49200</v>
      </c>
      <c r="L582" s="20">
        <v>45173</v>
      </c>
      <c r="M582" s="19" t="str">
        <f t="shared" si="28"/>
        <v>Monday</v>
      </c>
      <c r="N582" s="19" t="str">
        <f t="shared" si="29"/>
        <v>Weekday</v>
      </c>
      <c r="Q582" s="19"/>
      <c r="R582" s="18"/>
      <c r="S582" s="21"/>
      <c r="T582"/>
      <c r="U582" s="6"/>
      <c r="W582" s="7"/>
      <c r="Z582" s="4"/>
    </row>
    <row r="583" spans="1:26" x14ac:dyDescent="0.3">
      <c r="A583" t="s">
        <v>954</v>
      </c>
      <c r="B583" s="22" t="s">
        <v>208</v>
      </c>
      <c r="C583" s="23" t="s">
        <v>366</v>
      </c>
      <c r="D583" s="24" t="s">
        <v>326</v>
      </c>
      <c r="E583" s="25">
        <v>45</v>
      </c>
      <c r="F583" t="s">
        <v>375</v>
      </c>
      <c r="G583" s="24" t="s">
        <v>32</v>
      </c>
      <c r="H583" s="24" t="s">
        <v>18</v>
      </c>
      <c r="I583" s="24">
        <v>3690</v>
      </c>
      <c r="J583" s="24">
        <v>3</v>
      </c>
      <c r="K583" s="25">
        <f t="shared" si="27"/>
        <v>11070</v>
      </c>
      <c r="L583" s="26">
        <v>44975</v>
      </c>
      <c r="M583" s="25" t="str">
        <f t="shared" si="28"/>
        <v>Saturday</v>
      </c>
      <c r="N583" s="25" t="str">
        <f t="shared" si="29"/>
        <v>Weekend</v>
      </c>
      <c r="Q583" s="25"/>
      <c r="R583" s="24"/>
      <c r="S583" s="27"/>
      <c r="T583"/>
      <c r="U583" s="6"/>
      <c r="W583" s="7"/>
      <c r="Z583" s="4"/>
    </row>
    <row r="584" spans="1:26" x14ac:dyDescent="0.3">
      <c r="A584" t="s">
        <v>955</v>
      </c>
      <c r="B584" s="16" t="s">
        <v>40</v>
      </c>
      <c r="C584" s="17" t="s">
        <v>11</v>
      </c>
      <c r="D584" s="18" t="s">
        <v>323</v>
      </c>
      <c r="E584" s="19">
        <v>57</v>
      </c>
      <c r="F584" t="s">
        <v>375</v>
      </c>
      <c r="G584" s="18" t="s">
        <v>32</v>
      </c>
      <c r="H584" s="18" t="s">
        <v>18</v>
      </c>
      <c r="I584" s="18">
        <v>3690</v>
      </c>
      <c r="J584" s="18">
        <v>5</v>
      </c>
      <c r="K584" s="19">
        <f t="shared" si="27"/>
        <v>18450</v>
      </c>
      <c r="L584" s="20">
        <v>44933</v>
      </c>
      <c r="M584" s="19" t="str">
        <f t="shared" si="28"/>
        <v>Saturday</v>
      </c>
      <c r="N584" s="19" t="str">
        <f t="shared" si="29"/>
        <v>Weekend</v>
      </c>
      <c r="Q584" s="19"/>
      <c r="R584" s="18"/>
      <c r="S584" s="21"/>
      <c r="T584"/>
      <c r="U584" s="6"/>
      <c r="W584" s="7"/>
      <c r="Z584" s="4"/>
    </row>
    <row r="585" spans="1:26" x14ac:dyDescent="0.3">
      <c r="A585" t="s">
        <v>956</v>
      </c>
      <c r="B585" s="22" t="s">
        <v>280</v>
      </c>
      <c r="C585" s="23" t="s">
        <v>11</v>
      </c>
      <c r="D585" s="24" t="s">
        <v>322</v>
      </c>
      <c r="E585" s="25">
        <v>50</v>
      </c>
      <c r="F585" t="s">
        <v>373</v>
      </c>
      <c r="G585" s="24" t="s">
        <v>17</v>
      </c>
      <c r="H585" s="24" t="s">
        <v>18</v>
      </c>
      <c r="I585" s="24">
        <v>12300</v>
      </c>
      <c r="J585" s="24">
        <v>2</v>
      </c>
      <c r="K585" s="25">
        <f t="shared" si="27"/>
        <v>24600</v>
      </c>
      <c r="L585" s="26">
        <v>45207</v>
      </c>
      <c r="M585" s="25" t="str">
        <f t="shared" si="28"/>
        <v>Sunday</v>
      </c>
      <c r="N585" s="25" t="str">
        <f t="shared" si="29"/>
        <v>Weekday</v>
      </c>
      <c r="Q585" s="25"/>
      <c r="R585" s="24"/>
      <c r="S585" s="27"/>
      <c r="T585"/>
      <c r="U585" s="6"/>
      <c r="W585" s="7"/>
      <c r="Z585" s="4"/>
    </row>
    <row r="586" spans="1:26" x14ac:dyDescent="0.3">
      <c r="A586" t="s">
        <v>957</v>
      </c>
      <c r="B586" s="16" t="s">
        <v>175</v>
      </c>
      <c r="C586" s="17" t="s">
        <v>20</v>
      </c>
      <c r="D586" s="18" t="s">
        <v>322</v>
      </c>
      <c r="E586" s="19">
        <v>60</v>
      </c>
      <c r="F586" t="s">
        <v>375</v>
      </c>
      <c r="G586" s="18" t="s">
        <v>31</v>
      </c>
      <c r="H586" s="18" t="s">
        <v>18</v>
      </c>
      <c r="I586" s="18">
        <v>6150</v>
      </c>
      <c r="J586" s="18">
        <v>5</v>
      </c>
      <c r="K586" s="19">
        <f t="shared" si="27"/>
        <v>30750</v>
      </c>
      <c r="L586" s="20">
        <v>45279</v>
      </c>
      <c r="M586" s="19" t="str">
        <f t="shared" si="28"/>
        <v>Tuesday</v>
      </c>
      <c r="N586" s="19" t="str">
        <f t="shared" si="29"/>
        <v>Weekday</v>
      </c>
      <c r="Q586" s="19"/>
      <c r="R586" s="18"/>
      <c r="S586" s="21"/>
      <c r="T586"/>
      <c r="U586" s="6"/>
      <c r="W586" s="7"/>
      <c r="Z586" s="4"/>
    </row>
    <row r="587" spans="1:26" x14ac:dyDescent="0.3">
      <c r="A587" t="s">
        <v>958</v>
      </c>
      <c r="B587" s="22" t="s">
        <v>281</v>
      </c>
      <c r="C587" s="23" t="s">
        <v>366</v>
      </c>
      <c r="D587" s="24" t="s">
        <v>323</v>
      </c>
      <c r="E587" s="25">
        <v>38</v>
      </c>
      <c r="F587" t="s">
        <v>373</v>
      </c>
      <c r="G587" s="24" t="s">
        <v>31</v>
      </c>
      <c r="H587" s="24" t="s">
        <v>18</v>
      </c>
      <c r="I587" s="24">
        <v>6150</v>
      </c>
      <c r="J587" s="24">
        <v>3</v>
      </c>
      <c r="K587" s="25">
        <f t="shared" si="27"/>
        <v>18450</v>
      </c>
      <c r="L587" s="26">
        <v>45026</v>
      </c>
      <c r="M587" s="25" t="str">
        <f t="shared" si="28"/>
        <v>Monday</v>
      </c>
      <c r="N587" s="25" t="str">
        <f t="shared" si="29"/>
        <v>Weekday</v>
      </c>
      <c r="Q587" s="25"/>
      <c r="R587" s="24"/>
      <c r="S587" s="27"/>
      <c r="T587"/>
      <c r="U587" s="6"/>
      <c r="W587" s="7"/>
      <c r="Z587" s="4"/>
    </row>
    <row r="588" spans="1:26" x14ac:dyDescent="0.3">
      <c r="A588" t="s">
        <v>959</v>
      </c>
      <c r="B588" s="16" t="s">
        <v>244</v>
      </c>
      <c r="C588" s="17" t="s">
        <v>20</v>
      </c>
      <c r="D588" s="18" t="s">
        <v>322</v>
      </c>
      <c r="E588" s="19">
        <v>68</v>
      </c>
      <c r="F588" t="s">
        <v>373</v>
      </c>
      <c r="G588" s="18" t="s">
        <v>24</v>
      </c>
      <c r="H588" s="18" t="s">
        <v>14</v>
      </c>
      <c r="I588" s="18">
        <v>184500</v>
      </c>
      <c r="J588" s="18">
        <v>3</v>
      </c>
      <c r="K588" s="19">
        <f t="shared" si="27"/>
        <v>553500</v>
      </c>
      <c r="L588" s="20">
        <v>45078</v>
      </c>
      <c r="M588" s="19" t="str">
        <f t="shared" si="28"/>
        <v>Thursday</v>
      </c>
      <c r="N588" s="19" t="str">
        <f t="shared" si="29"/>
        <v>Weekday</v>
      </c>
      <c r="Q588" s="19"/>
      <c r="R588" s="18"/>
      <c r="S588" s="21"/>
      <c r="T588"/>
      <c r="U588" s="6"/>
      <c r="W588" s="7"/>
      <c r="Z588" s="4"/>
    </row>
    <row r="589" spans="1:26" x14ac:dyDescent="0.3">
      <c r="A589" t="s">
        <v>960</v>
      </c>
      <c r="B589" s="22" t="s">
        <v>282</v>
      </c>
      <c r="C589" s="23" t="s">
        <v>11</v>
      </c>
      <c r="D589" s="24" t="s">
        <v>325</v>
      </c>
      <c r="E589" s="25">
        <v>26</v>
      </c>
      <c r="F589" t="s">
        <v>370</v>
      </c>
      <c r="G589" s="24" t="s">
        <v>26</v>
      </c>
      <c r="H589" s="24" t="s">
        <v>27</v>
      </c>
      <c r="I589" s="24">
        <v>24600</v>
      </c>
      <c r="J589" s="24">
        <v>5</v>
      </c>
      <c r="K589" s="25">
        <f t="shared" si="27"/>
        <v>123000</v>
      </c>
      <c r="L589" s="26">
        <v>45110</v>
      </c>
      <c r="M589" s="25" t="str">
        <f t="shared" si="28"/>
        <v>Monday</v>
      </c>
      <c r="N589" s="25" t="str">
        <f t="shared" si="29"/>
        <v>Weekday</v>
      </c>
      <c r="Q589" s="25"/>
      <c r="R589" s="24"/>
      <c r="S589" s="27"/>
      <c r="T589"/>
      <c r="U589" s="6"/>
      <c r="W589" s="7"/>
      <c r="Z589" s="4"/>
    </row>
    <row r="590" spans="1:26" x14ac:dyDescent="0.3">
      <c r="A590" t="s">
        <v>961</v>
      </c>
      <c r="B590" s="16" t="s">
        <v>251</v>
      </c>
      <c r="C590" s="17" t="s">
        <v>366</v>
      </c>
      <c r="D590" s="18" t="s">
        <v>323</v>
      </c>
      <c r="E590" s="19">
        <v>64</v>
      </c>
      <c r="F590" t="s">
        <v>373</v>
      </c>
      <c r="G590" s="18" t="s">
        <v>13</v>
      </c>
      <c r="H590" s="18" t="s">
        <v>14</v>
      </c>
      <c r="I590" s="18">
        <v>36900</v>
      </c>
      <c r="J590" s="18">
        <v>3</v>
      </c>
      <c r="K590" s="19">
        <f t="shared" si="27"/>
        <v>110700</v>
      </c>
      <c r="L590" s="20">
        <v>45214</v>
      </c>
      <c r="M590" s="19" t="str">
        <f t="shared" si="28"/>
        <v>Sunday</v>
      </c>
      <c r="N590" s="19" t="str">
        <f t="shared" si="29"/>
        <v>Weekday</v>
      </c>
      <c r="Q590" s="19"/>
      <c r="R590" s="18"/>
      <c r="S590" s="21"/>
      <c r="T590"/>
      <c r="U590" s="6"/>
      <c r="W590" s="7"/>
      <c r="Z590" s="4"/>
    </row>
    <row r="591" spans="1:26" x14ac:dyDescent="0.3">
      <c r="A591" t="s">
        <v>962</v>
      </c>
      <c r="B591" s="22" t="s">
        <v>251</v>
      </c>
      <c r="C591" s="23" t="s">
        <v>366</v>
      </c>
      <c r="D591" s="24" t="s">
        <v>323</v>
      </c>
      <c r="E591" s="25">
        <v>64</v>
      </c>
      <c r="F591" t="s">
        <v>375</v>
      </c>
      <c r="G591" s="24" t="s">
        <v>17</v>
      </c>
      <c r="H591" s="24" t="s">
        <v>18</v>
      </c>
      <c r="I591" s="24">
        <v>12300</v>
      </c>
      <c r="J591" s="24">
        <v>4</v>
      </c>
      <c r="K591" s="25">
        <f t="shared" si="27"/>
        <v>49200</v>
      </c>
      <c r="L591" s="26">
        <v>45087</v>
      </c>
      <c r="M591" s="25" t="str">
        <f t="shared" si="28"/>
        <v>Saturday</v>
      </c>
      <c r="N591" s="25" t="str">
        <f t="shared" si="29"/>
        <v>Weekend</v>
      </c>
      <c r="Q591" s="25"/>
      <c r="R591" s="24"/>
      <c r="S591" s="27"/>
      <c r="T591"/>
      <c r="U591" s="6"/>
      <c r="W591" s="7"/>
      <c r="Z591" s="4"/>
    </row>
    <row r="592" spans="1:26" x14ac:dyDescent="0.3">
      <c r="A592" t="s">
        <v>963</v>
      </c>
      <c r="B592" s="16" t="s">
        <v>147</v>
      </c>
      <c r="C592" s="17" t="s">
        <v>11</v>
      </c>
      <c r="D592" s="18" t="s">
        <v>322</v>
      </c>
      <c r="E592" s="19">
        <v>30</v>
      </c>
      <c r="F592" t="s">
        <v>373</v>
      </c>
      <c r="G592" s="18" t="s">
        <v>13</v>
      </c>
      <c r="H592" s="18" t="s">
        <v>14</v>
      </c>
      <c r="I592" s="18">
        <v>36900</v>
      </c>
      <c r="J592" s="18">
        <v>4</v>
      </c>
      <c r="K592" s="19">
        <f t="shared" si="27"/>
        <v>147600</v>
      </c>
      <c r="L592" s="20">
        <v>45172</v>
      </c>
      <c r="M592" s="19" t="str">
        <f t="shared" si="28"/>
        <v>Sunday</v>
      </c>
      <c r="N592" s="19" t="str">
        <f t="shared" si="29"/>
        <v>Weekday</v>
      </c>
      <c r="Q592" s="19"/>
      <c r="R592" s="18"/>
      <c r="S592" s="21"/>
      <c r="T592"/>
      <c r="U592" s="6"/>
      <c r="W592" s="7"/>
      <c r="Z592" s="4"/>
    </row>
    <row r="593" spans="1:26" x14ac:dyDescent="0.3">
      <c r="A593" t="s">
        <v>964</v>
      </c>
      <c r="B593" s="22" t="s">
        <v>234</v>
      </c>
      <c r="C593" s="23" t="s">
        <v>366</v>
      </c>
      <c r="D593" s="24" t="s">
        <v>322</v>
      </c>
      <c r="E593" s="25">
        <v>25</v>
      </c>
      <c r="F593" t="s">
        <v>375</v>
      </c>
      <c r="G593" s="24" t="s">
        <v>24</v>
      </c>
      <c r="H593" s="24" t="s">
        <v>14</v>
      </c>
      <c r="I593" s="24">
        <v>184500</v>
      </c>
      <c r="J593" s="24">
        <v>5</v>
      </c>
      <c r="K593" s="25">
        <f t="shared" si="27"/>
        <v>922500</v>
      </c>
      <c r="L593" s="26">
        <v>44989</v>
      </c>
      <c r="M593" s="25" t="str">
        <f t="shared" si="28"/>
        <v>Saturday</v>
      </c>
      <c r="N593" s="25" t="str">
        <f t="shared" si="29"/>
        <v>Weekend</v>
      </c>
      <c r="Q593" s="25"/>
      <c r="R593" s="24"/>
      <c r="S593" s="27"/>
      <c r="T593"/>
      <c r="U593" s="6"/>
      <c r="W593" s="7"/>
      <c r="Z593" s="4"/>
    </row>
    <row r="594" spans="1:26" x14ac:dyDescent="0.3">
      <c r="A594" t="s">
        <v>965</v>
      </c>
      <c r="B594" s="16" t="s">
        <v>81</v>
      </c>
      <c r="C594" s="17" t="s">
        <v>366</v>
      </c>
      <c r="D594" s="18" t="s">
        <v>322</v>
      </c>
      <c r="E594" s="19">
        <v>52</v>
      </c>
      <c r="F594" t="s">
        <v>373</v>
      </c>
      <c r="G594" s="18" t="s">
        <v>17</v>
      </c>
      <c r="H594" s="18" t="s">
        <v>18</v>
      </c>
      <c r="I594" s="18">
        <v>12300</v>
      </c>
      <c r="J594" s="18">
        <v>2</v>
      </c>
      <c r="K594" s="19">
        <f t="shared" si="27"/>
        <v>24600</v>
      </c>
      <c r="L594" s="20">
        <v>44950</v>
      </c>
      <c r="M594" s="19" t="str">
        <f t="shared" si="28"/>
        <v>Tuesday</v>
      </c>
      <c r="N594" s="19" t="str">
        <f t="shared" si="29"/>
        <v>Weekday</v>
      </c>
      <c r="Q594" s="19"/>
      <c r="R594" s="18"/>
      <c r="S594" s="21"/>
      <c r="T594"/>
      <c r="U594" s="6"/>
      <c r="W594" s="7"/>
      <c r="Z594" s="4"/>
    </row>
    <row r="595" spans="1:26" x14ac:dyDescent="0.3">
      <c r="A595" t="s">
        <v>966</v>
      </c>
      <c r="B595" s="22" t="s">
        <v>283</v>
      </c>
      <c r="C595" s="23" t="s">
        <v>366</v>
      </c>
      <c r="D595" s="24" t="s">
        <v>325</v>
      </c>
      <c r="E595" s="25">
        <v>43</v>
      </c>
      <c r="F595" t="s">
        <v>370</v>
      </c>
      <c r="G595" s="24" t="s">
        <v>32</v>
      </c>
      <c r="H595" s="24" t="s">
        <v>18</v>
      </c>
      <c r="I595" s="24">
        <v>3690</v>
      </c>
      <c r="J595" s="24">
        <v>4</v>
      </c>
      <c r="K595" s="25">
        <f t="shared" si="27"/>
        <v>14760</v>
      </c>
      <c r="L595" s="26">
        <v>45193</v>
      </c>
      <c r="M595" s="25" t="str">
        <f t="shared" si="28"/>
        <v>Sunday</v>
      </c>
      <c r="N595" s="25" t="str">
        <f t="shared" si="29"/>
        <v>Weekday</v>
      </c>
      <c r="Q595" s="25"/>
      <c r="R595" s="24"/>
      <c r="S595" s="27"/>
      <c r="T595"/>
      <c r="U595" s="6"/>
      <c r="W595" s="7"/>
      <c r="Z595" s="4"/>
    </row>
    <row r="596" spans="1:26" x14ac:dyDescent="0.3">
      <c r="A596" t="s">
        <v>967</v>
      </c>
      <c r="B596" s="16" t="s">
        <v>284</v>
      </c>
      <c r="C596" s="17" t="s">
        <v>11</v>
      </c>
      <c r="D596" s="18" t="s">
        <v>322</v>
      </c>
      <c r="E596" s="19">
        <v>46</v>
      </c>
      <c r="F596" t="s">
        <v>375</v>
      </c>
      <c r="G596" s="18" t="s">
        <v>17</v>
      </c>
      <c r="H596" s="18" t="s">
        <v>18</v>
      </c>
      <c r="I596" s="18">
        <v>12300</v>
      </c>
      <c r="J596" s="18">
        <v>2</v>
      </c>
      <c r="K596" s="19">
        <f t="shared" si="27"/>
        <v>24600</v>
      </c>
      <c r="L596" s="20">
        <v>45097</v>
      </c>
      <c r="M596" s="19" t="str">
        <f t="shared" si="28"/>
        <v>Tuesday</v>
      </c>
      <c r="N596" s="19" t="str">
        <f t="shared" si="29"/>
        <v>Weekday</v>
      </c>
      <c r="Q596" s="19"/>
      <c r="R596" s="18"/>
      <c r="S596" s="21"/>
      <c r="T596"/>
      <c r="U596" s="6"/>
      <c r="W596" s="7"/>
      <c r="Z596" s="4"/>
    </row>
    <row r="597" spans="1:26" x14ac:dyDescent="0.3">
      <c r="A597" t="s">
        <v>968</v>
      </c>
      <c r="B597" s="22" t="s">
        <v>256</v>
      </c>
      <c r="C597" s="23" t="s">
        <v>11</v>
      </c>
      <c r="D597" s="24" t="s">
        <v>322</v>
      </c>
      <c r="E597" s="25">
        <v>69</v>
      </c>
      <c r="F597" t="s">
        <v>375</v>
      </c>
      <c r="G597" s="24" t="s">
        <v>24</v>
      </c>
      <c r="H597" s="24" t="s">
        <v>14</v>
      </c>
      <c r="I597" s="24">
        <v>184500</v>
      </c>
      <c r="J597" s="24">
        <v>4</v>
      </c>
      <c r="K597" s="25">
        <f t="shared" si="27"/>
        <v>738000</v>
      </c>
      <c r="L597" s="26">
        <v>45245</v>
      </c>
      <c r="M597" s="25" t="str">
        <f t="shared" si="28"/>
        <v>Wednesday</v>
      </c>
      <c r="N597" s="25" t="str">
        <f t="shared" si="29"/>
        <v>Weekday</v>
      </c>
      <c r="Q597" s="25"/>
      <c r="R597" s="24"/>
      <c r="S597" s="27"/>
      <c r="T597"/>
      <c r="U597" s="6"/>
      <c r="W597" s="7"/>
      <c r="Z597" s="4"/>
    </row>
    <row r="598" spans="1:26" x14ac:dyDescent="0.3">
      <c r="A598" t="s">
        <v>969</v>
      </c>
      <c r="B598" s="16" t="s">
        <v>175</v>
      </c>
      <c r="C598" s="17" t="s">
        <v>20</v>
      </c>
      <c r="D598" s="18" t="s">
        <v>322</v>
      </c>
      <c r="E598" s="19">
        <v>60</v>
      </c>
      <c r="F598" t="s">
        <v>375</v>
      </c>
      <c r="G598" s="18" t="s">
        <v>24</v>
      </c>
      <c r="H598" s="18" t="s">
        <v>14</v>
      </c>
      <c r="I598" s="18">
        <v>184500</v>
      </c>
      <c r="J598" s="18">
        <v>5</v>
      </c>
      <c r="K598" s="19">
        <f t="shared" si="27"/>
        <v>922500</v>
      </c>
      <c r="L598" s="20">
        <v>45044</v>
      </c>
      <c r="M598" s="19" t="str">
        <f t="shared" si="28"/>
        <v>Friday</v>
      </c>
      <c r="N598" s="19" t="str">
        <f t="shared" si="29"/>
        <v>Weekend</v>
      </c>
      <c r="Q598" s="19"/>
      <c r="R598" s="18"/>
      <c r="S598" s="21"/>
      <c r="T598"/>
      <c r="U598" s="6"/>
      <c r="W598" s="7"/>
      <c r="Z598" s="4"/>
    </row>
    <row r="599" spans="1:26" x14ac:dyDescent="0.3">
      <c r="A599" t="s">
        <v>970</v>
      </c>
      <c r="B599" s="22" t="s">
        <v>255</v>
      </c>
      <c r="C599" s="23" t="s">
        <v>20</v>
      </c>
      <c r="D599" s="24" t="s">
        <v>322</v>
      </c>
      <c r="E599" s="25">
        <v>56</v>
      </c>
      <c r="F599" t="s">
        <v>373</v>
      </c>
      <c r="G599" s="24" t="s">
        <v>13</v>
      </c>
      <c r="H599" s="24" t="s">
        <v>14</v>
      </c>
      <c r="I599" s="24">
        <v>36900</v>
      </c>
      <c r="J599" s="24">
        <v>3</v>
      </c>
      <c r="K599" s="25">
        <f t="shared" si="27"/>
        <v>110700</v>
      </c>
      <c r="L599" s="26">
        <v>45068</v>
      </c>
      <c r="M599" s="25" t="str">
        <f t="shared" si="28"/>
        <v>Monday</v>
      </c>
      <c r="N599" s="25" t="str">
        <f t="shared" si="29"/>
        <v>Weekday</v>
      </c>
      <c r="Q599" s="25"/>
      <c r="R599" s="24"/>
      <c r="S599" s="27"/>
      <c r="T599"/>
      <c r="U599" s="6"/>
      <c r="W599" s="7"/>
      <c r="Z599" s="4"/>
    </row>
    <row r="600" spans="1:26" x14ac:dyDescent="0.3">
      <c r="A600" t="s">
        <v>971</v>
      </c>
      <c r="B600" s="16" t="s">
        <v>183</v>
      </c>
      <c r="C600" s="17" t="s">
        <v>11</v>
      </c>
      <c r="D600" s="18" t="s">
        <v>324</v>
      </c>
      <c r="E600" s="19">
        <v>29</v>
      </c>
      <c r="F600" t="s">
        <v>370</v>
      </c>
      <c r="G600" s="18" t="s">
        <v>31</v>
      </c>
      <c r="H600" s="18" t="s">
        <v>18</v>
      </c>
      <c r="I600" s="18">
        <v>6150</v>
      </c>
      <c r="J600" s="18">
        <v>3</v>
      </c>
      <c r="K600" s="19">
        <f t="shared" si="27"/>
        <v>18450</v>
      </c>
      <c r="L600" s="20">
        <v>45018</v>
      </c>
      <c r="M600" s="19" t="str">
        <f t="shared" si="28"/>
        <v>Sunday</v>
      </c>
      <c r="N600" s="19" t="str">
        <f t="shared" si="29"/>
        <v>Weekday</v>
      </c>
      <c r="Q600" s="19"/>
      <c r="R600" s="18"/>
      <c r="S600" s="21"/>
      <c r="T600"/>
      <c r="U600" s="6"/>
      <c r="W600" s="7"/>
      <c r="Z600" s="4"/>
    </row>
    <row r="601" spans="1:26" x14ac:dyDescent="0.3">
      <c r="A601" t="s">
        <v>972</v>
      </c>
      <c r="B601" s="22" t="s">
        <v>210</v>
      </c>
      <c r="C601" s="23" t="s">
        <v>11</v>
      </c>
      <c r="D601" s="24" t="s">
        <v>322</v>
      </c>
      <c r="E601" s="25">
        <v>26</v>
      </c>
      <c r="F601" t="s">
        <v>370</v>
      </c>
      <c r="G601" s="24" t="s">
        <v>32</v>
      </c>
      <c r="H601" s="24" t="s">
        <v>18</v>
      </c>
      <c r="I601" s="24">
        <v>3690</v>
      </c>
      <c r="J601" s="24">
        <v>2</v>
      </c>
      <c r="K601" s="25">
        <f t="shared" si="27"/>
        <v>7380</v>
      </c>
      <c r="L601" s="26">
        <v>45245</v>
      </c>
      <c r="M601" s="25" t="str">
        <f t="shared" si="28"/>
        <v>Wednesday</v>
      </c>
      <c r="N601" s="25" t="str">
        <f t="shared" si="29"/>
        <v>Weekday</v>
      </c>
      <c r="Q601" s="25"/>
      <c r="R601" s="24"/>
      <c r="S601" s="27"/>
      <c r="T601"/>
      <c r="U601" s="6"/>
      <c r="W601" s="7"/>
      <c r="Z601" s="4"/>
    </row>
    <row r="602" spans="1:26" x14ac:dyDescent="0.3">
      <c r="A602" t="s">
        <v>973</v>
      </c>
      <c r="B602" s="16" t="s">
        <v>187</v>
      </c>
      <c r="C602" s="17" t="s">
        <v>11</v>
      </c>
      <c r="D602" s="18" t="s">
        <v>324</v>
      </c>
      <c r="E602" s="19">
        <v>68</v>
      </c>
      <c r="F602" t="s">
        <v>370</v>
      </c>
      <c r="G602" s="18" t="s">
        <v>24</v>
      </c>
      <c r="H602" s="18" t="s">
        <v>14</v>
      </c>
      <c r="I602" s="18">
        <v>184500</v>
      </c>
      <c r="J602" s="18">
        <v>2</v>
      </c>
      <c r="K602" s="19">
        <f t="shared" si="27"/>
        <v>369000</v>
      </c>
      <c r="L602" s="20">
        <v>45204</v>
      </c>
      <c r="M602" s="19" t="str">
        <f t="shared" si="28"/>
        <v>Thursday</v>
      </c>
      <c r="N602" s="19" t="str">
        <f t="shared" si="29"/>
        <v>Weekday</v>
      </c>
      <c r="Q602" s="19"/>
      <c r="R602" s="18"/>
      <c r="S602" s="21"/>
      <c r="T602"/>
      <c r="U602" s="6"/>
      <c r="W602" s="7"/>
      <c r="Z602" s="4"/>
    </row>
    <row r="603" spans="1:26" x14ac:dyDescent="0.3">
      <c r="A603" t="s">
        <v>974</v>
      </c>
      <c r="B603" s="22" t="s">
        <v>248</v>
      </c>
      <c r="C603" s="23" t="s">
        <v>366</v>
      </c>
      <c r="D603" s="24" t="s">
        <v>322</v>
      </c>
      <c r="E603" s="25">
        <v>54</v>
      </c>
      <c r="F603" t="s">
        <v>370</v>
      </c>
      <c r="G603" s="24" t="s">
        <v>42</v>
      </c>
      <c r="H603" s="24" t="s">
        <v>14</v>
      </c>
      <c r="I603" s="24">
        <v>98400</v>
      </c>
      <c r="J603" s="24">
        <v>5</v>
      </c>
      <c r="K603" s="25">
        <f t="shared" si="27"/>
        <v>492000</v>
      </c>
      <c r="L603" s="26">
        <v>45160</v>
      </c>
      <c r="M603" s="25" t="str">
        <f t="shared" si="28"/>
        <v>Tuesday</v>
      </c>
      <c r="N603" s="25" t="str">
        <f t="shared" si="29"/>
        <v>Weekday</v>
      </c>
      <c r="Q603" s="25"/>
      <c r="R603" s="24"/>
      <c r="S603" s="27"/>
      <c r="T603"/>
      <c r="U603" s="6"/>
      <c r="W603" s="7"/>
      <c r="Z603" s="4"/>
    </row>
    <row r="604" spans="1:26" x14ac:dyDescent="0.3">
      <c r="A604" t="s">
        <v>975</v>
      </c>
      <c r="B604" s="16" t="s">
        <v>50</v>
      </c>
      <c r="C604" s="17" t="s">
        <v>20</v>
      </c>
      <c r="D604" s="18" t="s">
        <v>326</v>
      </c>
      <c r="E604" s="19">
        <v>59</v>
      </c>
      <c r="F604" t="s">
        <v>373</v>
      </c>
      <c r="G604" s="18" t="s">
        <v>31</v>
      </c>
      <c r="H604" s="18" t="s">
        <v>18</v>
      </c>
      <c r="I604" s="18">
        <v>6150</v>
      </c>
      <c r="J604" s="18">
        <v>2</v>
      </c>
      <c r="K604" s="19">
        <f t="shared" si="27"/>
        <v>12300</v>
      </c>
      <c r="L604" s="20">
        <v>45123</v>
      </c>
      <c r="M604" s="19" t="str">
        <f t="shared" si="28"/>
        <v>Sunday</v>
      </c>
      <c r="N604" s="19" t="str">
        <f t="shared" si="29"/>
        <v>Weekday</v>
      </c>
      <c r="Q604" s="19"/>
      <c r="R604" s="18"/>
      <c r="S604" s="21"/>
      <c r="T604"/>
      <c r="U604" s="6"/>
      <c r="W604" s="7"/>
      <c r="Z604" s="4"/>
    </row>
    <row r="605" spans="1:26" x14ac:dyDescent="0.3">
      <c r="A605" t="s">
        <v>976</v>
      </c>
      <c r="B605" s="22" t="s">
        <v>166</v>
      </c>
      <c r="C605" s="23" t="s">
        <v>366</v>
      </c>
      <c r="D605" s="24" t="s">
        <v>326</v>
      </c>
      <c r="E605" s="25">
        <v>57</v>
      </c>
      <c r="F605" t="s">
        <v>375</v>
      </c>
      <c r="G605" s="24" t="s">
        <v>26</v>
      </c>
      <c r="H605" s="24" t="s">
        <v>27</v>
      </c>
      <c r="I605" s="24">
        <v>24600</v>
      </c>
      <c r="J605" s="24">
        <v>5</v>
      </c>
      <c r="K605" s="25">
        <f t="shared" si="27"/>
        <v>123000</v>
      </c>
      <c r="L605" s="26">
        <v>44953</v>
      </c>
      <c r="M605" s="25" t="str">
        <f t="shared" si="28"/>
        <v>Friday</v>
      </c>
      <c r="N605" s="25" t="str">
        <f t="shared" si="29"/>
        <v>Weekend</v>
      </c>
      <c r="Q605" s="25"/>
      <c r="R605" s="24"/>
      <c r="S605" s="27"/>
      <c r="T605"/>
      <c r="U605" s="6"/>
      <c r="W605" s="7"/>
      <c r="Z605" s="4"/>
    </row>
    <row r="606" spans="1:26" x14ac:dyDescent="0.3">
      <c r="A606" t="s">
        <v>977</v>
      </c>
      <c r="B606" s="16" t="s">
        <v>147</v>
      </c>
      <c r="C606" s="17" t="s">
        <v>11</v>
      </c>
      <c r="D606" s="18" t="s">
        <v>322</v>
      </c>
      <c r="E606" s="19">
        <v>30</v>
      </c>
      <c r="F606" t="s">
        <v>381</v>
      </c>
      <c r="G606" s="18" t="s">
        <v>17</v>
      </c>
      <c r="H606" s="18" t="s">
        <v>18</v>
      </c>
      <c r="I606" s="18">
        <v>12300</v>
      </c>
      <c r="J606" s="18">
        <v>1</v>
      </c>
      <c r="K606" s="19">
        <f t="shared" si="27"/>
        <v>12300</v>
      </c>
      <c r="L606" s="20">
        <v>45175</v>
      </c>
      <c r="M606" s="19" t="str">
        <f t="shared" si="28"/>
        <v>Wednesday</v>
      </c>
      <c r="N606" s="19" t="str">
        <f t="shared" si="29"/>
        <v>Weekday</v>
      </c>
      <c r="Q606" s="19"/>
      <c r="R606" s="18"/>
      <c r="S606" s="21"/>
      <c r="T606"/>
      <c r="U606" s="6"/>
      <c r="W606" s="7"/>
      <c r="Z606" s="4"/>
    </row>
    <row r="607" spans="1:26" x14ac:dyDescent="0.3">
      <c r="A607" t="s">
        <v>978</v>
      </c>
      <c r="B607" s="22" t="s">
        <v>150</v>
      </c>
      <c r="C607" s="23" t="s">
        <v>11</v>
      </c>
      <c r="D607" s="24" t="s">
        <v>326</v>
      </c>
      <c r="E607" s="25">
        <v>56</v>
      </c>
      <c r="F607" t="s">
        <v>370</v>
      </c>
      <c r="G607" s="24" t="s">
        <v>42</v>
      </c>
      <c r="H607" s="24" t="s">
        <v>14</v>
      </c>
      <c r="I607" s="24">
        <v>98400</v>
      </c>
      <c r="J607" s="24">
        <v>5</v>
      </c>
      <c r="K607" s="25">
        <f t="shared" si="27"/>
        <v>492000</v>
      </c>
      <c r="L607" s="26">
        <v>45052</v>
      </c>
      <c r="M607" s="25" t="str">
        <f t="shared" si="28"/>
        <v>Saturday</v>
      </c>
      <c r="N607" s="25" t="str">
        <f t="shared" si="29"/>
        <v>Weekend</v>
      </c>
      <c r="Q607" s="25"/>
      <c r="R607" s="24"/>
      <c r="S607" s="27"/>
      <c r="T607"/>
      <c r="U607" s="6"/>
      <c r="W607" s="7"/>
      <c r="Z607" s="4"/>
    </row>
    <row r="608" spans="1:26" x14ac:dyDescent="0.3">
      <c r="A608" t="s">
        <v>979</v>
      </c>
      <c r="B608" s="16" t="s">
        <v>285</v>
      </c>
      <c r="C608" s="17" t="s">
        <v>11</v>
      </c>
      <c r="D608" s="18" t="s">
        <v>322</v>
      </c>
      <c r="E608" s="19">
        <v>21</v>
      </c>
      <c r="F608" t="s">
        <v>381</v>
      </c>
      <c r="G608" s="18" t="s">
        <v>17</v>
      </c>
      <c r="H608" s="18" t="s">
        <v>18</v>
      </c>
      <c r="I608" s="18">
        <v>12300</v>
      </c>
      <c r="J608" s="18">
        <v>5</v>
      </c>
      <c r="K608" s="19">
        <f t="shared" si="27"/>
        <v>61500</v>
      </c>
      <c r="L608" s="20">
        <v>44940</v>
      </c>
      <c r="M608" s="19" t="str">
        <f t="shared" si="28"/>
        <v>Saturday</v>
      </c>
      <c r="N608" s="19" t="str">
        <f t="shared" si="29"/>
        <v>Weekend</v>
      </c>
      <c r="Q608" s="19"/>
      <c r="R608" s="18"/>
      <c r="S608" s="21"/>
      <c r="T608"/>
      <c r="U608" s="6"/>
      <c r="W608" s="7"/>
      <c r="Z608" s="4"/>
    </row>
    <row r="609" spans="1:26" x14ac:dyDescent="0.3">
      <c r="A609" t="s">
        <v>980</v>
      </c>
      <c r="B609" s="22" t="s">
        <v>174</v>
      </c>
      <c r="C609" s="23" t="s">
        <v>11</v>
      </c>
      <c r="D609" s="24" t="s">
        <v>322</v>
      </c>
      <c r="E609" s="25">
        <v>57</v>
      </c>
      <c r="F609" t="s">
        <v>373</v>
      </c>
      <c r="G609" s="24" t="s">
        <v>24</v>
      </c>
      <c r="H609" s="24" t="s">
        <v>14</v>
      </c>
      <c r="I609" s="24">
        <v>184500</v>
      </c>
      <c r="J609" s="24">
        <v>4</v>
      </c>
      <c r="K609" s="25">
        <f t="shared" si="27"/>
        <v>738000</v>
      </c>
      <c r="L609" s="26">
        <v>45044</v>
      </c>
      <c r="M609" s="25" t="str">
        <f t="shared" si="28"/>
        <v>Friday</v>
      </c>
      <c r="N609" s="25" t="str">
        <f t="shared" si="29"/>
        <v>Weekend</v>
      </c>
      <c r="Q609" s="25"/>
      <c r="R609" s="24"/>
      <c r="S609" s="27"/>
      <c r="T609"/>
      <c r="U609" s="6"/>
      <c r="W609" s="7"/>
      <c r="Z609" s="4"/>
    </row>
    <row r="610" spans="1:26" x14ac:dyDescent="0.3">
      <c r="A610" t="s">
        <v>981</v>
      </c>
      <c r="B610" s="16" t="s">
        <v>286</v>
      </c>
      <c r="C610" s="17" t="s">
        <v>20</v>
      </c>
      <c r="D610" s="18" t="s">
        <v>325</v>
      </c>
      <c r="E610" s="19">
        <v>45</v>
      </c>
      <c r="F610" t="s">
        <v>373</v>
      </c>
      <c r="G610" s="18" t="s">
        <v>13</v>
      </c>
      <c r="H610" s="18" t="s">
        <v>14</v>
      </c>
      <c r="I610" s="18">
        <v>36900</v>
      </c>
      <c r="J610" s="18">
        <v>4</v>
      </c>
      <c r="K610" s="19">
        <f t="shared" si="27"/>
        <v>147600</v>
      </c>
      <c r="L610" s="20">
        <v>44928</v>
      </c>
      <c r="M610" s="19" t="str">
        <f t="shared" si="28"/>
        <v>Monday</v>
      </c>
      <c r="N610" s="19" t="str">
        <f t="shared" si="29"/>
        <v>Weekday</v>
      </c>
      <c r="Q610" s="19"/>
      <c r="R610" s="18"/>
      <c r="S610" s="21"/>
      <c r="T610"/>
      <c r="U610" s="6"/>
      <c r="W610" s="7"/>
      <c r="Z610" s="4"/>
    </row>
    <row r="611" spans="1:26" x14ac:dyDescent="0.3">
      <c r="A611" t="s">
        <v>982</v>
      </c>
      <c r="B611" s="22" t="s">
        <v>91</v>
      </c>
      <c r="C611" s="23" t="s">
        <v>11</v>
      </c>
      <c r="D611" s="24" t="s">
        <v>324</v>
      </c>
      <c r="E611" s="25">
        <v>48</v>
      </c>
      <c r="F611" t="s">
        <v>381</v>
      </c>
      <c r="G611" s="24" t="s">
        <v>32</v>
      </c>
      <c r="H611" s="24" t="s">
        <v>18</v>
      </c>
      <c r="I611" s="24">
        <v>3690</v>
      </c>
      <c r="J611" s="24">
        <v>3</v>
      </c>
      <c r="K611" s="25">
        <f t="shared" si="27"/>
        <v>11070</v>
      </c>
      <c r="L611" s="26">
        <v>45239</v>
      </c>
      <c r="M611" s="25" t="str">
        <f t="shared" si="28"/>
        <v>Thursday</v>
      </c>
      <c r="N611" s="25" t="str">
        <f t="shared" si="29"/>
        <v>Weekday</v>
      </c>
      <c r="Q611" s="25"/>
      <c r="R611" s="24"/>
      <c r="S611" s="27"/>
      <c r="T611"/>
      <c r="U611" s="6"/>
      <c r="W611" s="7"/>
      <c r="Z611" s="4"/>
    </row>
    <row r="612" spans="1:26" x14ac:dyDescent="0.3">
      <c r="A612" t="s">
        <v>983</v>
      </c>
      <c r="B612" s="16" t="s">
        <v>287</v>
      </c>
      <c r="C612" s="17" t="s">
        <v>20</v>
      </c>
      <c r="D612" s="18" t="s">
        <v>322</v>
      </c>
      <c r="E612" s="19">
        <v>44</v>
      </c>
      <c r="F612" t="s">
        <v>375</v>
      </c>
      <c r="G612" s="18" t="s">
        <v>42</v>
      </c>
      <c r="H612" s="18" t="s">
        <v>14</v>
      </c>
      <c r="I612" s="18">
        <v>98400</v>
      </c>
      <c r="J612" s="18">
        <v>5</v>
      </c>
      <c r="K612" s="19">
        <f t="shared" si="27"/>
        <v>492000</v>
      </c>
      <c r="L612" s="20">
        <v>45110</v>
      </c>
      <c r="M612" s="19" t="str">
        <f t="shared" si="28"/>
        <v>Monday</v>
      </c>
      <c r="N612" s="19" t="str">
        <f t="shared" si="29"/>
        <v>Weekday</v>
      </c>
      <c r="Q612" s="19"/>
      <c r="R612" s="18"/>
      <c r="S612" s="21"/>
      <c r="T612"/>
      <c r="U612" s="6"/>
      <c r="W612" s="7"/>
      <c r="Z612" s="4"/>
    </row>
    <row r="613" spans="1:26" x14ac:dyDescent="0.3">
      <c r="A613" t="s">
        <v>984</v>
      </c>
      <c r="B613" s="22" t="s">
        <v>274</v>
      </c>
      <c r="C613" s="23" t="s">
        <v>11</v>
      </c>
      <c r="D613" s="24" t="s">
        <v>326</v>
      </c>
      <c r="E613" s="25">
        <v>51</v>
      </c>
      <c r="F613" t="s">
        <v>381</v>
      </c>
      <c r="G613" s="24" t="s">
        <v>17</v>
      </c>
      <c r="H613" s="24" t="s">
        <v>18</v>
      </c>
      <c r="I613" s="24">
        <v>12300</v>
      </c>
      <c r="J613" s="24">
        <v>4</v>
      </c>
      <c r="K613" s="25">
        <f t="shared" si="27"/>
        <v>49200</v>
      </c>
      <c r="L613" s="26">
        <v>44940</v>
      </c>
      <c r="M613" s="25" t="str">
        <f t="shared" si="28"/>
        <v>Saturday</v>
      </c>
      <c r="N613" s="25" t="str">
        <f t="shared" si="29"/>
        <v>Weekend</v>
      </c>
      <c r="Q613" s="25"/>
      <c r="R613" s="24"/>
      <c r="S613" s="27"/>
      <c r="T613"/>
      <c r="U613" s="6"/>
      <c r="W613" s="7"/>
      <c r="Z613" s="4"/>
    </row>
    <row r="614" spans="1:26" x14ac:dyDescent="0.3">
      <c r="A614" t="s">
        <v>985</v>
      </c>
      <c r="B614" s="16" t="s">
        <v>147</v>
      </c>
      <c r="C614" s="17" t="s">
        <v>11</v>
      </c>
      <c r="D614" s="18" t="s">
        <v>322</v>
      </c>
      <c r="E614" s="19">
        <v>30</v>
      </c>
      <c r="F614" t="s">
        <v>373</v>
      </c>
      <c r="G614" s="18" t="s">
        <v>42</v>
      </c>
      <c r="H614" s="18" t="s">
        <v>14</v>
      </c>
      <c r="I614" s="18">
        <v>98400</v>
      </c>
      <c r="J614" s="18">
        <v>1</v>
      </c>
      <c r="K614" s="19">
        <f t="shared" si="27"/>
        <v>98400</v>
      </c>
      <c r="L614" s="20">
        <v>44980</v>
      </c>
      <c r="M614" s="19" t="str">
        <f t="shared" si="28"/>
        <v>Thursday</v>
      </c>
      <c r="N614" s="19" t="str">
        <f t="shared" si="29"/>
        <v>Weekday</v>
      </c>
      <c r="Q614" s="19"/>
      <c r="R614" s="18"/>
      <c r="S614" s="21"/>
      <c r="T614"/>
      <c r="U614" s="6"/>
      <c r="W614" s="7"/>
      <c r="Z614" s="4"/>
    </row>
    <row r="615" spans="1:26" x14ac:dyDescent="0.3">
      <c r="A615" t="s">
        <v>986</v>
      </c>
      <c r="B615" s="22" t="s">
        <v>36</v>
      </c>
      <c r="C615" s="23" t="s">
        <v>366</v>
      </c>
      <c r="D615" s="24" t="s">
        <v>324</v>
      </c>
      <c r="E615" s="25">
        <v>41</v>
      </c>
      <c r="F615" t="s">
        <v>381</v>
      </c>
      <c r="G615" s="24" t="s">
        <v>13</v>
      </c>
      <c r="H615" s="24" t="s">
        <v>14</v>
      </c>
      <c r="I615" s="24">
        <v>36900</v>
      </c>
      <c r="J615" s="24">
        <v>1</v>
      </c>
      <c r="K615" s="25">
        <f t="shared" si="27"/>
        <v>36900</v>
      </c>
      <c r="L615" s="26">
        <v>45088</v>
      </c>
      <c r="M615" s="25" t="str">
        <f t="shared" si="28"/>
        <v>Sunday</v>
      </c>
      <c r="N615" s="25" t="str">
        <f t="shared" si="29"/>
        <v>Weekday</v>
      </c>
      <c r="Q615" s="25"/>
      <c r="R615" s="24"/>
      <c r="S615" s="27"/>
      <c r="T615"/>
      <c r="U615" s="6"/>
      <c r="W615" s="7"/>
      <c r="Z615" s="4"/>
    </row>
    <row r="616" spans="1:26" x14ac:dyDescent="0.3">
      <c r="A616" t="s">
        <v>987</v>
      </c>
      <c r="B616" s="16" t="s">
        <v>288</v>
      </c>
      <c r="C616" s="17" t="s">
        <v>20</v>
      </c>
      <c r="D616" s="18" t="s">
        <v>322</v>
      </c>
      <c r="E616" s="19">
        <v>19</v>
      </c>
      <c r="F616" t="s">
        <v>370</v>
      </c>
      <c r="G616" s="18" t="s">
        <v>13</v>
      </c>
      <c r="H616" s="18" t="s">
        <v>14</v>
      </c>
      <c r="I616" s="18">
        <v>36900</v>
      </c>
      <c r="J616" s="18">
        <v>3</v>
      </c>
      <c r="K616" s="19">
        <f t="shared" si="27"/>
        <v>110700</v>
      </c>
      <c r="L616" s="20">
        <v>45062</v>
      </c>
      <c r="M616" s="19" t="str">
        <f t="shared" si="28"/>
        <v>Tuesday</v>
      </c>
      <c r="N616" s="19" t="str">
        <f t="shared" si="29"/>
        <v>Weekday</v>
      </c>
      <c r="Q616" s="19"/>
      <c r="R616" s="18"/>
      <c r="S616" s="21"/>
      <c r="T616"/>
      <c r="U616" s="6"/>
      <c r="W616" s="7"/>
      <c r="Z616" s="4"/>
    </row>
    <row r="617" spans="1:26" x14ac:dyDescent="0.3">
      <c r="A617" t="s">
        <v>988</v>
      </c>
      <c r="B617" s="22" t="s">
        <v>56</v>
      </c>
      <c r="C617" s="23" t="s">
        <v>20</v>
      </c>
      <c r="D617" s="24" t="s">
        <v>329</v>
      </c>
      <c r="E617" s="25">
        <v>53</v>
      </c>
      <c r="F617" t="s">
        <v>370</v>
      </c>
      <c r="G617" s="24" t="s">
        <v>42</v>
      </c>
      <c r="H617" s="24" t="s">
        <v>14</v>
      </c>
      <c r="I617" s="24">
        <v>98400</v>
      </c>
      <c r="J617" s="24">
        <v>1</v>
      </c>
      <c r="K617" s="25">
        <f t="shared" si="27"/>
        <v>98400</v>
      </c>
      <c r="L617" s="26">
        <v>45001</v>
      </c>
      <c r="M617" s="25" t="str">
        <f t="shared" si="28"/>
        <v>Thursday</v>
      </c>
      <c r="N617" s="25" t="str">
        <f t="shared" si="29"/>
        <v>Weekday</v>
      </c>
      <c r="Q617" s="25"/>
      <c r="R617" s="24"/>
      <c r="S617" s="27"/>
      <c r="T617"/>
      <c r="U617" s="6"/>
      <c r="W617" s="7"/>
      <c r="Z617" s="4"/>
    </row>
    <row r="618" spans="1:26" x14ac:dyDescent="0.3">
      <c r="A618" t="s">
        <v>989</v>
      </c>
      <c r="B618" s="16" t="s">
        <v>64</v>
      </c>
      <c r="C618" s="17" t="s">
        <v>20</v>
      </c>
      <c r="D618" s="18" t="s">
        <v>324</v>
      </c>
      <c r="E618" s="19">
        <v>58</v>
      </c>
      <c r="F618" t="s">
        <v>375</v>
      </c>
      <c r="G618" s="18" t="s">
        <v>42</v>
      </c>
      <c r="H618" s="18" t="s">
        <v>14</v>
      </c>
      <c r="I618" s="18">
        <v>98400</v>
      </c>
      <c r="J618" s="18">
        <v>5</v>
      </c>
      <c r="K618" s="19">
        <f t="shared" si="27"/>
        <v>492000</v>
      </c>
      <c r="L618" s="20">
        <v>44929</v>
      </c>
      <c r="M618" s="19" t="str">
        <f t="shared" si="28"/>
        <v>Tuesday</v>
      </c>
      <c r="N618" s="19" t="str">
        <f t="shared" si="29"/>
        <v>Weekday</v>
      </c>
      <c r="Q618" s="19"/>
      <c r="R618" s="18"/>
      <c r="S618" s="21"/>
      <c r="T618"/>
      <c r="U618" s="6"/>
      <c r="W618" s="7"/>
      <c r="Z618" s="4"/>
    </row>
    <row r="619" spans="1:26" x14ac:dyDescent="0.3">
      <c r="A619" t="s">
        <v>990</v>
      </c>
      <c r="B619" s="22" t="s">
        <v>242</v>
      </c>
      <c r="C619" s="23" t="s">
        <v>20</v>
      </c>
      <c r="D619" s="24" t="s">
        <v>322</v>
      </c>
      <c r="E619" s="25">
        <v>27</v>
      </c>
      <c r="F619" t="s">
        <v>381</v>
      </c>
      <c r="G619" s="24" t="s">
        <v>31</v>
      </c>
      <c r="H619" s="24" t="s">
        <v>18</v>
      </c>
      <c r="I619" s="24">
        <v>6150</v>
      </c>
      <c r="J619" s="24">
        <v>2</v>
      </c>
      <c r="K619" s="25">
        <f t="shared" si="27"/>
        <v>12300</v>
      </c>
      <c r="L619" s="26">
        <v>45079</v>
      </c>
      <c r="M619" s="25" t="str">
        <f t="shared" si="28"/>
        <v>Friday</v>
      </c>
      <c r="N619" s="25" t="str">
        <f t="shared" si="29"/>
        <v>Weekend</v>
      </c>
      <c r="Q619" s="25"/>
      <c r="R619" s="24"/>
      <c r="S619" s="27"/>
      <c r="T619"/>
      <c r="U619" s="6"/>
      <c r="W619" s="7"/>
      <c r="Z619" s="4"/>
    </row>
    <row r="620" spans="1:26" x14ac:dyDescent="0.3">
      <c r="A620" t="s">
        <v>991</v>
      </c>
      <c r="B620" s="16" t="s">
        <v>223</v>
      </c>
      <c r="C620" s="17" t="s">
        <v>366</v>
      </c>
      <c r="D620" s="18" t="s">
        <v>326</v>
      </c>
      <c r="E620" s="19">
        <v>37</v>
      </c>
      <c r="F620" t="s">
        <v>381</v>
      </c>
      <c r="G620" s="18" t="s">
        <v>26</v>
      </c>
      <c r="H620" s="18" t="s">
        <v>27</v>
      </c>
      <c r="I620" s="18">
        <v>24600</v>
      </c>
      <c r="J620" s="18">
        <v>2</v>
      </c>
      <c r="K620" s="19">
        <f t="shared" si="27"/>
        <v>49200</v>
      </c>
      <c r="L620" s="20">
        <v>45083</v>
      </c>
      <c r="M620" s="19" t="str">
        <f t="shared" si="28"/>
        <v>Tuesday</v>
      </c>
      <c r="N620" s="19" t="str">
        <f t="shared" si="29"/>
        <v>Weekday</v>
      </c>
      <c r="Q620" s="19"/>
      <c r="R620" s="18"/>
      <c r="S620" s="21"/>
      <c r="T620"/>
      <c r="U620" s="6"/>
      <c r="W620" s="7"/>
      <c r="Z620" s="4"/>
    </row>
    <row r="621" spans="1:26" x14ac:dyDescent="0.3">
      <c r="A621" t="s">
        <v>992</v>
      </c>
      <c r="B621" s="22" t="s">
        <v>43</v>
      </c>
      <c r="C621" s="23" t="s">
        <v>11</v>
      </c>
      <c r="D621" s="24" t="s">
        <v>323</v>
      </c>
      <c r="E621" s="25">
        <v>32</v>
      </c>
      <c r="F621" t="s">
        <v>381</v>
      </c>
      <c r="G621" s="24" t="s">
        <v>24</v>
      </c>
      <c r="H621" s="24" t="s">
        <v>14</v>
      </c>
      <c r="I621" s="24">
        <v>184500</v>
      </c>
      <c r="J621" s="24">
        <v>5</v>
      </c>
      <c r="K621" s="25">
        <f t="shared" si="27"/>
        <v>922500</v>
      </c>
      <c r="L621" s="26">
        <v>45227</v>
      </c>
      <c r="M621" s="25" t="str">
        <f t="shared" si="28"/>
        <v>Saturday</v>
      </c>
      <c r="N621" s="25" t="str">
        <f t="shared" si="29"/>
        <v>Weekend</v>
      </c>
      <c r="Q621" s="25"/>
      <c r="R621" s="24"/>
      <c r="S621" s="27"/>
      <c r="T621"/>
      <c r="U621" s="6"/>
      <c r="W621" s="7"/>
      <c r="Z621" s="4"/>
    </row>
    <row r="622" spans="1:26" x14ac:dyDescent="0.3">
      <c r="A622" t="s">
        <v>993</v>
      </c>
      <c r="B622" s="16" t="s">
        <v>273</v>
      </c>
      <c r="C622" s="17" t="s">
        <v>366</v>
      </c>
      <c r="D622" s="18" t="s">
        <v>322</v>
      </c>
      <c r="E622" s="19">
        <v>65</v>
      </c>
      <c r="F622" t="s">
        <v>381</v>
      </c>
      <c r="G622" s="18" t="s">
        <v>13</v>
      </c>
      <c r="H622" s="18" t="s">
        <v>14</v>
      </c>
      <c r="I622" s="18">
        <v>36900</v>
      </c>
      <c r="J622" s="18">
        <v>4</v>
      </c>
      <c r="K622" s="19">
        <f t="shared" si="27"/>
        <v>147600</v>
      </c>
      <c r="L622" s="20">
        <v>44957</v>
      </c>
      <c r="M622" s="19" t="str">
        <f t="shared" si="28"/>
        <v>Tuesday</v>
      </c>
      <c r="N622" s="19" t="str">
        <f t="shared" si="29"/>
        <v>Weekday</v>
      </c>
      <c r="Q622" s="19"/>
      <c r="R622" s="18"/>
      <c r="S622" s="21"/>
      <c r="T622"/>
      <c r="U622" s="6"/>
      <c r="W622" s="7"/>
      <c r="Z622" s="4"/>
    </row>
    <row r="623" spans="1:26" x14ac:dyDescent="0.3">
      <c r="A623" t="s">
        <v>994</v>
      </c>
      <c r="B623" s="22" t="s">
        <v>137</v>
      </c>
      <c r="C623" s="23" t="s">
        <v>11</v>
      </c>
      <c r="D623" s="24" t="s">
        <v>329</v>
      </c>
      <c r="E623" s="25">
        <v>54</v>
      </c>
      <c r="F623" t="s">
        <v>375</v>
      </c>
      <c r="G623" s="24" t="s">
        <v>24</v>
      </c>
      <c r="H623" s="24" t="s">
        <v>14</v>
      </c>
      <c r="I623" s="24">
        <v>184500</v>
      </c>
      <c r="J623" s="24">
        <v>4</v>
      </c>
      <c r="K623" s="25">
        <f t="shared" si="27"/>
        <v>738000</v>
      </c>
      <c r="L623" s="26">
        <v>45044</v>
      </c>
      <c r="M623" s="25" t="str">
        <f t="shared" si="28"/>
        <v>Friday</v>
      </c>
      <c r="N623" s="25" t="str">
        <f t="shared" si="29"/>
        <v>Weekend</v>
      </c>
      <c r="Q623" s="25"/>
      <c r="R623" s="24"/>
      <c r="S623" s="27"/>
      <c r="T623"/>
      <c r="U623" s="6"/>
      <c r="W623" s="7"/>
      <c r="Z623" s="4"/>
    </row>
    <row r="624" spans="1:26" x14ac:dyDescent="0.3">
      <c r="A624" t="s">
        <v>995</v>
      </c>
      <c r="B624" s="16" t="s">
        <v>289</v>
      </c>
      <c r="C624" s="17" t="s">
        <v>20</v>
      </c>
      <c r="D624" s="18" t="s">
        <v>327</v>
      </c>
      <c r="E624" s="19">
        <v>20</v>
      </c>
      <c r="F624" t="s">
        <v>373</v>
      </c>
      <c r="G624" s="18" t="s">
        <v>32</v>
      </c>
      <c r="H624" s="18" t="s">
        <v>18</v>
      </c>
      <c r="I624" s="18">
        <v>3690</v>
      </c>
      <c r="J624" s="18">
        <v>4</v>
      </c>
      <c r="K624" s="19">
        <f t="shared" si="27"/>
        <v>14760</v>
      </c>
      <c r="L624" s="20">
        <v>45129</v>
      </c>
      <c r="M624" s="19" t="str">
        <f t="shared" si="28"/>
        <v>Saturday</v>
      </c>
      <c r="N624" s="19" t="str">
        <f t="shared" si="29"/>
        <v>Weekend</v>
      </c>
      <c r="Q624" s="19"/>
      <c r="R624" s="18"/>
      <c r="S624" s="21"/>
      <c r="T624"/>
      <c r="U624" s="6"/>
      <c r="W624" s="7"/>
      <c r="Z624" s="4"/>
    </row>
    <row r="625" spans="1:26" x14ac:dyDescent="0.3">
      <c r="A625" t="s">
        <v>996</v>
      </c>
      <c r="B625" s="22" t="s">
        <v>202</v>
      </c>
      <c r="C625" s="23" t="s">
        <v>11</v>
      </c>
      <c r="D625" s="24" t="s">
        <v>324</v>
      </c>
      <c r="E625" s="25">
        <v>44</v>
      </c>
      <c r="F625" t="s">
        <v>375</v>
      </c>
      <c r="G625" s="24" t="s">
        <v>31</v>
      </c>
      <c r="H625" s="24" t="s">
        <v>18</v>
      </c>
      <c r="I625" s="24">
        <v>6150</v>
      </c>
      <c r="J625" s="24">
        <v>1</v>
      </c>
      <c r="K625" s="25">
        <f t="shared" si="27"/>
        <v>6150</v>
      </c>
      <c r="L625" s="26">
        <v>45089</v>
      </c>
      <c r="M625" s="25" t="str">
        <f t="shared" si="28"/>
        <v>Monday</v>
      </c>
      <c r="N625" s="25" t="str">
        <f t="shared" si="29"/>
        <v>Weekday</v>
      </c>
      <c r="Q625" s="25"/>
      <c r="R625" s="24"/>
      <c r="S625" s="27"/>
      <c r="T625"/>
      <c r="U625" s="6"/>
      <c r="W625" s="7"/>
      <c r="Z625" s="4"/>
    </row>
    <row r="626" spans="1:26" x14ac:dyDescent="0.3">
      <c r="A626" t="s">
        <v>997</v>
      </c>
      <c r="B626" s="16" t="s">
        <v>213</v>
      </c>
      <c r="C626" s="17" t="s">
        <v>11</v>
      </c>
      <c r="D626" s="18" t="s">
        <v>326</v>
      </c>
      <c r="E626" s="19">
        <v>66</v>
      </c>
      <c r="F626" t="s">
        <v>373</v>
      </c>
      <c r="G626" s="18" t="s">
        <v>24</v>
      </c>
      <c r="H626" s="18" t="s">
        <v>14</v>
      </c>
      <c r="I626" s="18">
        <v>184500</v>
      </c>
      <c r="J626" s="18">
        <v>4</v>
      </c>
      <c r="K626" s="19">
        <f t="shared" si="27"/>
        <v>738000</v>
      </c>
      <c r="L626" s="20">
        <v>45005</v>
      </c>
      <c r="M626" s="19" t="str">
        <f t="shared" si="28"/>
        <v>Monday</v>
      </c>
      <c r="N626" s="19" t="str">
        <f t="shared" si="29"/>
        <v>Weekday</v>
      </c>
      <c r="Q626" s="19"/>
      <c r="R626" s="18"/>
      <c r="S626" s="21"/>
      <c r="T626"/>
      <c r="U626" s="6"/>
      <c r="W626" s="7"/>
      <c r="Z626" s="4"/>
    </row>
    <row r="627" spans="1:26" x14ac:dyDescent="0.3">
      <c r="A627" t="s">
        <v>998</v>
      </c>
      <c r="B627" s="22" t="s">
        <v>212</v>
      </c>
      <c r="C627" s="23" t="s">
        <v>20</v>
      </c>
      <c r="D627" s="24" t="s">
        <v>322</v>
      </c>
      <c r="E627" s="25">
        <v>54</v>
      </c>
      <c r="F627" t="s">
        <v>373</v>
      </c>
      <c r="G627" s="24" t="s">
        <v>24</v>
      </c>
      <c r="H627" s="24" t="s">
        <v>14</v>
      </c>
      <c r="I627" s="24">
        <v>184500</v>
      </c>
      <c r="J627" s="24">
        <v>4</v>
      </c>
      <c r="K627" s="25">
        <f t="shared" si="27"/>
        <v>738000</v>
      </c>
      <c r="L627" s="26">
        <v>45030</v>
      </c>
      <c r="M627" s="25" t="str">
        <f t="shared" si="28"/>
        <v>Friday</v>
      </c>
      <c r="N627" s="25" t="str">
        <f t="shared" si="29"/>
        <v>Weekend</v>
      </c>
      <c r="Q627" s="25"/>
      <c r="R627" s="24"/>
      <c r="S627" s="27"/>
      <c r="T627"/>
      <c r="U627" s="6"/>
      <c r="W627" s="7"/>
      <c r="Z627" s="4"/>
    </row>
    <row r="628" spans="1:26" x14ac:dyDescent="0.3">
      <c r="A628" t="s">
        <v>999</v>
      </c>
      <c r="B628" s="16" t="s">
        <v>148</v>
      </c>
      <c r="C628" s="17" t="s">
        <v>20</v>
      </c>
      <c r="D628" s="18" t="s">
        <v>323</v>
      </c>
      <c r="E628" s="19">
        <v>68</v>
      </c>
      <c r="F628" t="s">
        <v>373</v>
      </c>
      <c r="G628" s="18" t="s">
        <v>32</v>
      </c>
      <c r="H628" s="18" t="s">
        <v>18</v>
      </c>
      <c r="I628" s="18">
        <v>3690</v>
      </c>
      <c r="J628" s="18">
        <v>2</v>
      </c>
      <c r="K628" s="19">
        <f t="shared" si="27"/>
        <v>7380</v>
      </c>
      <c r="L628" s="20">
        <v>45050</v>
      </c>
      <c r="M628" s="19" t="str">
        <f t="shared" si="28"/>
        <v>Thursday</v>
      </c>
      <c r="N628" s="19" t="str">
        <f t="shared" si="29"/>
        <v>Weekday</v>
      </c>
      <c r="Q628" s="19"/>
      <c r="R628" s="18"/>
      <c r="S628" s="21"/>
      <c r="T628"/>
      <c r="U628" s="6"/>
      <c r="W628" s="7"/>
      <c r="Z628" s="4"/>
    </row>
    <row r="629" spans="1:26" x14ac:dyDescent="0.3">
      <c r="A629" t="s">
        <v>1000</v>
      </c>
      <c r="B629" s="22" t="s">
        <v>102</v>
      </c>
      <c r="C629" s="23" t="s">
        <v>20</v>
      </c>
      <c r="D629" s="24" t="s">
        <v>322</v>
      </c>
      <c r="E629" s="25">
        <v>48</v>
      </c>
      <c r="F629" t="s">
        <v>381</v>
      </c>
      <c r="G629" s="24" t="s">
        <v>31</v>
      </c>
      <c r="H629" s="24" t="s">
        <v>18</v>
      </c>
      <c r="I629" s="24">
        <v>6150</v>
      </c>
      <c r="J629" s="24">
        <v>5</v>
      </c>
      <c r="K629" s="25">
        <f t="shared" si="27"/>
        <v>30750</v>
      </c>
      <c r="L629" s="26">
        <v>45197</v>
      </c>
      <c r="M629" s="25" t="str">
        <f t="shared" si="28"/>
        <v>Thursday</v>
      </c>
      <c r="N629" s="25" t="str">
        <f t="shared" si="29"/>
        <v>Weekday</v>
      </c>
      <c r="Q629" s="25"/>
      <c r="R629" s="24"/>
      <c r="S629" s="27"/>
      <c r="T629"/>
      <c r="U629" s="6"/>
      <c r="W629" s="7"/>
      <c r="Z629" s="4"/>
    </row>
    <row r="630" spans="1:26" x14ac:dyDescent="0.3">
      <c r="A630" t="s">
        <v>1001</v>
      </c>
      <c r="B630" s="16" t="s">
        <v>241</v>
      </c>
      <c r="C630" s="17" t="s">
        <v>11</v>
      </c>
      <c r="D630" s="18" t="s">
        <v>322</v>
      </c>
      <c r="E630" s="19">
        <v>56</v>
      </c>
      <c r="F630" t="s">
        <v>375</v>
      </c>
      <c r="G630" s="18" t="s">
        <v>13</v>
      </c>
      <c r="H630" s="18" t="s">
        <v>14</v>
      </c>
      <c r="I630" s="18">
        <v>36900</v>
      </c>
      <c r="J630" s="18">
        <v>2</v>
      </c>
      <c r="K630" s="19">
        <f t="shared" si="27"/>
        <v>73800</v>
      </c>
      <c r="L630" s="20">
        <v>45139</v>
      </c>
      <c r="M630" s="19" t="str">
        <f t="shared" si="28"/>
        <v>Tuesday</v>
      </c>
      <c r="N630" s="19" t="str">
        <f t="shared" si="29"/>
        <v>Weekday</v>
      </c>
      <c r="Q630" s="19"/>
      <c r="R630" s="18"/>
      <c r="S630" s="21"/>
      <c r="T630"/>
      <c r="U630" s="6"/>
      <c r="W630" s="7"/>
      <c r="Z630" s="4"/>
    </row>
    <row r="631" spans="1:26" x14ac:dyDescent="0.3">
      <c r="A631" t="s">
        <v>1002</v>
      </c>
      <c r="B631" s="22" t="s">
        <v>40</v>
      </c>
      <c r="C631" s="23" t="s">
        <v>11</v>
      </c>
      <c r="D631" s="24" t="s">
        <v>323</v>
      </c>
      <c r="E631" s="25">
        <v>57</v>
      </c>
      <c r="F631" t="s">
        <v>373</v>
      </c>
      <c r="G631" s="24" t="s">
        <v>13</v>
      </c>
      <c r="H631" s="24" t="s">
        <v>14</v>
      </c>
      <c r="I631" s="24">
        <v>36900</v>
      </c>
      <c r="J631" s="24">
        <v>1</v>
      </c>
      <c r="K631" s="25">
        <f t="shared" si="27"/>
        <v>36900</v>
      </c>
      <c r="L631" s="26">
        <v>45195</v>
      </c>
      <c r="M631" s="25" t="str">
        <f t="shared" si="28"/>
        <v>Tuesday</v>
      </c>
      <c r="N631" s="25" t="str">
        <f t="shared" si="29"/>
        <v>Weekday</v>
      </c>
      <c r="Q631" s="25"/>
      <c r="R631" s="24"/>
      <c r="S631" s="27"/>
      <c r="T631"/>
      <c r="U631" s="6"/>
      <c r="W631" s="7"/>
      <c r="Z631" s="4"/>
    </row>
    <row r="632" spans="1:26" x14ac:dyDescent="0.3">
      <c r="A632" t="s">
        <v>1003</v>
      </c>
      <c r="B632" s="16" t="s">
        <v>264</v>
      </c>
      <c r="C632" s="17" t="s">
        <v>11</v>
      </c>
      <c r="D632" s="18" t="s">
        <v>322</v>
      </c>
      <c r="E632" s="19">
        <v>40</v>
      </c>
      <c r="F632" t="s">
        <v>370</v>
      </c>
      <c r="G632" s="18" t="s">
        <v>32</v>
      </c>
      <c r="H632" s="18" t="s">
        <v>18</v>
      </c>
      <c r="I632" s="18">
        <v>3690</v>
      </c>
      <c r="J632" s="18">
        <v>5</v>
      </c>
      <c r="K632" s="19">
        <f t="shared" si="27"/>
        <v>18450</v>
      </c>
      <c r="L632" s="20">
        <v>45244</v>
      </c>
      <c r="M632" s="19" t="str">
        <f t="shared" si="28"/>
        <v>Tuesday</v>
      </c>
      <c r="N632" s="19" t="str">
        <f t="shared" si="29"/>
        <v>Weekday</v>
      </c>
      <c r="Q632" s="19"/>
      <c r="R632" s="18"/>
      <c r="S632" s="21"/>
      <c r="T632"/>
      <c r="U632" s="6"/>
      <c r="W632" s="7"/>
      <c r="Z632" s="4"/>
    </row>
    <row r="633" spans="1:26" x14ac:dyDescent="0.3">
      <c r="A633" t="s">
        <v>1004</v>
      </c>
      <c r="B633" s="22" t="s">
        <v>224</v>
      </c>
      <c r="C633" s="23" t="s">
        <v>11</v>
      </c>
      <c r="D633" s="24" t="s">
        <v>323</v>
      </c>
      <c r="E633" s="25">
        <v>67</v>
      </c>
      <c r="F633" t="s">
        <v>373</v>
      </c>
      <c r="G633" s="24" t="s">
        <v>24</v>
      </c>
      <c r="H633" s="24" t="s">
        <v>14</v>
      </c>
      <c r="I633" s="24">
        <v>184500</v>
      </c>
      <c r="J633" s="24">
        <v>4</v>
      </c>
      <c r="K633" s="25">
        <f t="shared" si="27"/>
        <v>738000</v>
      </c>
      <c r="L633" s="26">
        <v>45231</v>
      </c>
      <c r="M633" s="25" t="str">
        <f t="shared" si="28"/>
        <v>Wednesday</v>
      </c>
      <c r="N633" s="25" t="str">
        <f t="shared" si="29"/>
        <v>Weekday</v>
      </c>
      <c r="Q633" s="25"/>
      <c r="R633" s="24"/>
      <c r="S633" s="27"/>
      <c r="T633"/>
      <c r="U633" s="6"/>
      <c r="W633" s="7"/>
      <c r="Z633" s="4"/>
    </row>
    <row r="634" spans="1:26" x14ac:dyDescent="0.3">
      <c r="A634" t="s">
        <v>1005</v>
      </c>
      <c r="B634" s="16" t="s">
        <v>134</v>
      </c>
      <c r="C634" s="17" t="s">
        <v>366</v>
      </c>
      <c r="D634" s="18" t="s">
        <v>322</v>
      </c>
      <c r="E634" s="19">
        <v>33</v>
      </c>
      <c r="F634" t="s">
        <v>375</v>
      </c>
      <c r="G634" s="18" t="s">
        <v>17</v>
      </c>
      <c r="H634" s="18" t="s">
        <v>18</v>
      </c>
      <c r="I634" s="18">
        <v>12300</v>
      </c>
      <c r="J634" s="18">
        <v>5</v>
      </c>
      <c r="K634" s="19">
        <f t="shared" si="27"/>
        <v>61500</v>
      </c>
      <c r="L634" s="20">
        <v>45107</v>
      </c>
      <c r="M634" s="19" t="str">
        <f t="shared" si="28"/>
        <v>Friday</v>
      </c>
      <c r="N634" s="19" t="str">
        <f t="shared" si="29"/>
        <v>Weekend</v>
      </c>
      <c r="Q634" s="19"/>
      <c r="R634" s="18"/>
      <c r="S634" s="21"/>
      <c r="T634"/>
      <c r="U634" s="6"/>
      <c r="W634" s="7"/>
      <c r="Z634" s="4"/>
    </row>
    <row r="635" spans="1:26" x14ac:dyDescent="0.3">
      <c r="A635" t="s">
        <v>1006</v>
      </c>
      <c r="B635" s="22" t="s">
        <v>290</v>
      </c>
      <c r="C635" s="23" t="s">
        <v>366</v>
      </c>
      <c r="D635" s="24" t="s">
        <v>326</v>
      </c>
      <c r="E635" s="25">
        <v>66</v>
      </c>
      <c r="F635" t="s">
        <v>381</v>
      </c>
      <c r="G635" s="24" t="s">
        <v>24</v>
      </c>
      <c r="H635" s="24" t="s">
        <v>14</v>
      </c>
      <c r="I635" s="24">
        <v>184500</v>
      </c>
      <c r="J635" s="24">
        <v>2</v>
      </c>
      <c r="K635" s="25">
        <f t="shared" si="27"/>
        <v>369000</v>
      </c>
      <c r="L635" s="26">
        <v>45209</v>
      </c>
      <c r="M635" s="25" t="str">
        <f t="shared" si="28"/>
        <v>Tuesday</v>
      </c>
      <c r="N635" s="25" t="str">
        <f t="shared" si="29"/>
        <v>Weekday</v>
      </c>
      <c r="Q635" s="25"/>
      <c r="R635" s="24"/>
      <c r="S635" s="27"/>
      <c r="T635"/>
      <c r="U635" s="6"/>
      <c r="W635" s="7"/>
      <c r="Z635" s="4"/>
    </row>
    <row r="636" spans="1:26" x14ac:dyDescent="0.3">
      <c r="A636" t="s">
        <v>1007</v>
      </c>
      <c r="B636" s="16" t="s">
        <v>200</v>
      </c>
      <c r="C636" s="17" t="s">
        <v>366</v>
      </c>
      <c r="D636" s="18" t="s">
        <v>322</v>
      </c>
      <c r="E636" s="19">
        <v>46</v>
      </c>
      <c r="F636" t="s">
        <v>370</v>
      </c>
      <c r="G636" s="18" t="s">
        <v>13</v>
      </c>
      <c r="H636" s="18" t="s">
        <v>14</v>
      </c>
      <c r="I636" s="18">
        <v>36900</v>
      </c>
      <c r="J636" s="18">
        <v>3</v>
      </c>
      <c r="K636" s="19">
        <f t="shared" si="27"/>
        <v>110700</v>
      </c>
      <c r="L636" s="20">
        <v>45188</v>
      </c>
      <c r="M636" s="19" t="str">
        <f t="shared" si="28"/>
        <v>Tuesday</v>
      </c>
      <c r="N636" s="19" t="str">
        <f t="shared" si="29"/>
        <v>Weekday</v>
      </c>
      <c r="Q636" s="19"/>
      <c r="R636" s="18"/>
      <c r="S636" s="21"/>
      <c r="T636"/>
      <c r="U636" s="6"/>
      <c r="W636" s="7"/>
      <c r="Z636" s="4"/>
    </row>
    <row r="637" spans="1:26" x14ac:dyDescent="0.3">
      <c r="A637" t="s">
        <v>1008</v>
      </c>
      <c r="B637" s="22" t="s">
        <v>238</v>
      </c>
      <c r="C637" s="23" t="s">
        <v>366</v>
      </c>
      <c r="D637" s="24" t="s">
        <v>329</v>
      </c>
      <c r="E637" s="25">
        <v>57</v>
      </c>
      <c r="F637" t="s">
        <v>373</v>
      </c>
      <c r="G637" s="24" t="s">
        <v>24</v>
      </c>
      <c r="H637" s="24" t="s">
        <v>14</v>
      </c>
      <c r="I637" s="24">
        <v>184500</v>
      </c>
      <c r="J637" s="24">
        <v>5</v>
      </c>
      <c r="K637" s="25">
        <f t="shared" si="27"/>
        <v>922500</v>
      </c>
      <c r="L637" s="26">
        <v>45575</v>
      </c>
      <c r="M637" s="25" t="str">
        <f t="shared" si="28"/>
        <v>Thursday</v>
      </c>
      <c r="N637" s="25" t="str">
        <f t="shared" si="29"/>
        <v>Weekday</v>
      </c>
      <c r="Q637" s="25"/>
      <c r="R637" s="24"/>
      <c r="S637" s="27"/>
      <c r="T637"/>
      <c r="U637" s="6"/>
      <c r="W637" s="7"/>
      <c r="Z637" s="4"/>
    </row>
    <row r="638" spans="1:26" x14ac:dyDescent="0.3">
      <c r="A638" t="s">
        <v>1009</v>
      </c>
      <c r="B638" s="16" t="s">
        <v>108</v>
      </c>
      <c r="C638" s="17" t="s">
        <v>11</v>
      </c>
      <c r="D638" s="18" t="s">
        <v>329</v>
      </c>
      <c r="E638" s="19">
        <v>42</v>
      </c>
      <c r="F638" t="s">
        <v>381</v>
      </c>
      <c r="G638" s="18" t="s">
        <v>24</v>
      </c>
      <c r="H638" s="18" t="s">
        <v>14</v>
      </c>
      <c r="I638" s="18">
        <v>184500</v>
      </c>
      <c r="J638" s="18">
        <v>2</v>
      </c>
      <c r="K638" s="19">
        <f t="shared" si="27"/>
        <v>369000</v>
      </c>
      <c r="L638" s="20">
        <v>44935</v>
      </c>
      <c r="M638" s="19" t="str">
        <f t="shared" si="28"/>
        <v>Monday</v>
      </c>
      <c r="N638" s="19" t="str">
        <f t="shared" si="29"/>
        <v>Weekday</v>
      </c>
      <c r="Q638" s="19"/>
      <c r="R638" s="18"/>
      <c r="S638" s="21"/>
      <c r="T638"/>
      <c r="U638" s="6"/>
      <c r="W638" s="7"/>
      <c r="Z638" s="4"/>
    </row>
    <row r="639" spans="1:26" x14ac:dyDescent="0.3">
      <c r="A639" t="s">
        <v>1010</v>
      </c>
      <c r="B639" s="22" t="s">
        <v>160</v>
      </c>
      <c r="C639" s="23" t="s">
        <v>11</v>
      </c>
      <c r="D639" s="24" t="s">
        <v>323</v>
      </c>
      <c r="E639" s="25">
        <v>32</v>
      </c>
      <c r="F639" t="s">
        <v>375</v>
      </c>
      <c r="G639" s="24" t="s">
        <v>24</v>
      </c>
      <c r="H639" s="24" t="s">
        <v>14</v>
      </c>
      <c r="I639" s="24">
        <v>184500</v>
      </c>
      <c r="J639" s="24">
        <v>1</v>
      </c>
      <c r="K639" s="25">
        <f t="shared" si="27"/>
        <v>184500</v>
      </c>
      <c r="L639" s="26">
        <v>45149</v>
      </c>
      <c r="M639" s="25" t="str">
        <f t="shared" si="28"/>
        <v>Friday</v>
      </c>
      <c r="N639" s="25" t="str">
        <f t="shared" si="29"/>
        <v>Weekend</v>
      </c>
      <c r="Q639" s="25"/>
      <c r="R639" s="24"/>
      <c r="S639" s="27"/>
      <c r="T639"/>
      <c r="U639" s="6"/>
      <c r="W639" s="7"/>
      <c r="Z639" s="4"/>
    </row>
    <row r="640" spans="1:26" x14ac:dyDescent="0.3">
      <c r="A640" t="s">
        <v>1011</v>
      </c>
      <c r="B640" s="16" t="s">
        <v>255</v>
      </c>
      <c r="C640" s="17" t="s">
        <v>20</v>
      </c>
      <c r="D640" s="18" t="s">
        <v>322</v>
      </c>
      <c r="E640" s="19">
        <v>56</v>
      </c>
      <c r="F640" t="s">
        <v>375</v>
      </c>
      <c r="G640" s="18" t="s">
        <v>13</v>
      </c>
      <c r="H640" s="18" t="s">
        <v>14</v>
      </c>
      <c r="I640" s="18">
        <v>36900</v>
      </c>
      <c r="J640" s="18">
        <v>1</v>
      </c>
      <c r="K640" s="19">
        <f t="shared" si="27"/>
        <v>36900</v>
      </c>
      <c r="L640" s="20">
        <v>45132</v>
      </c>
      <c r="M640" s="19" t="str">
        <f t="shared" si="28"/>
        <v>Tuesday</v>
      </c>
      <c r="N640" s="19" t="str">
        <f t="shared" si="29"/>
        <v>Weekday</v>
      </c>
      <c r="Q640" s="19"/>
      <c r="R640" s="18"/>
      <c r="S640" s="21"/>
      <c r="T640"/>
      <c r="U640" s="6"/>
      <c r="W640" s="7"/>
      <c r="Z640" s="4"/>
    </row>
    <row r="641" spans="1:26" x14ac:dyDescent="0.3">
      <c r="A641" t="s">
        <v>1012</v>
      </c>
      <c r="B641" s="22" t="s">
        <v>224</v>
      </c>
      <c r="C641" s="23" t="s">
        <v>11</v>
      </c>
      <c r="D641" s="24" t="s">
        <v>323</v>
      </c>
      <c r="E641" s="25">
        <v>67</v>
      </c>
      <c r="F641" t="s">
        <v>370</v>
      </c>
      <c r="G641" s="24" t="s">
        <v>26</v>
      </c>
      <c r="H641" s="24" t="s">
        <v>27</v>
      </c>
      <c r="I641" s="24">
        <v>24600</v>
      </c>
      <c r="J641" s="24">
        <v>1</v>
      </c>
      <c r="K641" s="25">
        <f t="shared" si="27"/>
        <v>24600</v>
      </c>
      <c r="L641" s="26">
        <v>45199</v>
      </c>
      <c r="M641" s="25" t="str">
        <f t="shared" si="28"/>
        <v>Saturday</v>
      </c>
      <c r="N641" s="25" t="str">
        <f t="shared" si="29"/>
        <v>Weekend</v>
      </c>
      <c r="Q641" s="25"/>
      <c r="R641" s="24"/>
      <c r="S641" s="27"/>
      <c r="T641"/>
      <c r="U641" s="6"/>
      <c r="W641" s="7"/>
      <c r="Z641" s="4"/>
    </row>
    <row r="642" spans="1:26" x14ac:dyDescent="0.3">
      <c r="A642" t="s">
        <v>1013</v>
      </c>
      <c r="B642" s="16" t="s">
        <v>30</v>
      </c>
      <c r="C642" s="17" t="s">
        <v>11</v>
      </c>
      <c r="D642" s="18" t="s">
        <v>329</v>
      </c>
      <c r="E642" s="19">
        <v>18</v>
      </c>
      <c r="F642" t="s">
        <v>370</v>
      </c>
      <c r="G642" s="18" t="s">
        <v>17</v>
      </c>
      <c r="H642" s="18" t="s">
        <v>18</v>
      </c>
      <c r="I642" s="18">
        <v>12300</v>
      </c>
      <c r="J642" s="18">
        <v>2</v>
      </c>
      <c r="K642" s="19">
        <f t="shared" ref="K642:K705" si="30">I642*J642</f>
        <v>24600</v>
      </c>
      <c r="L642" s="20">
        <v>45225</v>
      </c>
      <c r="M642" s="19" t="str">
        <f t="shared" ref="M642:M705" si="31">TEXT(L642, "dddd")</f>
        <v>Thursday</v>
      </c>
      <c r="N642" s="19" t="str">
        <f t="shared" ref="N642:N705" si="32">IF(OR(WEEKDAY(L642, 2)=5, WEEKDAY(L642, 2)=6), "Weekend", "Weekday")</f>
        <v>Weekday</v>
      </c>
      <c r="Q642" s="19"/>
      <c r="R642" s="18"/>
      <c r="S642" s="21"/>
      <c r="T642"/>
      <c r="U642" s="6"/>
      <c r="W642" s="7"/>
      <c r="Z642" s="4"/>
    </row>
    <row r="643" spans="1:26" x14ac:dyDescent="0.3">
      <c r="A643" t="s">
        <v>1014</v>
      </c>
      <c r="B643" s="22" t="s">
        <v>180</v>
      </c>
      <c r="C643" s="23" t="s">
        <v>11</v>
      </c>
      <c r="D643" s="24" t="s">
        <v>325</v>
      </c>
      <c r="E643" s="25">
        <v>30</v>
      </c>
      <c r="F643" t="s">
        <v>373</v>
      </c>
      <c r="G643" s="24" t="s">
        <v>17</v>
      </c>
      <c r="H643" s="24" t="s">
        <v>18</v>
      </c>
      <c r="I643" s="24">
        <v>12300</v>
      </c>
      <c r="J643" s="24">
        <v>4</v>
      </c>
      <c r="K643" s="25">
        <f t="shared" si="30"/>
        <v>49200</v>
      </c>
      <c r="L643" s="26">
        <v>45282</v>
      </c>
      <c r="M643" s="25" t="str">
        <f t="shared" si="31"/>
        <v>Friday</v>
      </c>
      <c r="N643" s="25" t="str">
        <f t="shared" si="32"/>
        <v>Weekend</v>
      </c>
      <c r="Q643" s="25"/>
      <c r="R643" s="24"/>
      <c r="S643" s="27"/>
      <c r="T643"/>
      <c r="U643" s="6"/>
      <c r="W643" s="7"/>
      <c r="Z643" s="4"/>
    </row>
    <row r="644" spans="1:26" x14ac:dyDescent="0.3">
      <c r="A644" t="s">
        <v>1015</v>
      </c>
      <c r="B644" s="16" t="s">
        <v>165</v>
      </c>
      <c r="C644" s="17" t="s">
        <v>11</v>
      </c>
      <c r="D644" s="18" t="s">
        <v>324</v>
      </c>
      <c r="E644" s="19">
        <v>21</v>
      </c>
      <c r="F644" t="s">
        <v>381</v>
      </c>
      <c r="G644" s="18" t="s">
        <v>17</v>
      </c>
      <c r="H644" s="18" t="s">
        <v>18</v>
      </c>
      <c r="I644" s="18">
        <v>12300</v>
      </c>
      <c r="J644" s="18">
        <v>4</v>
      </c>
      <c r="K644" s="19">
        <f t="shared" si="30"/>
        <v>49200</v>
      </c>
      <c r="L644" s="20">
        <v>45182</v>
      </c>
      <c r="M644" s="19" t="str">
        <f t="shared" si="31"/>
        <v>Wednesday</v>
      </c>
      <c r="N644" s="19" t="str">
        <f t="shared" si="32"/>
        <v>Weekday</v>
      </c>
      <c r="Q644" s="19"/>
      <c r="R644" s="18"/>
      <c r="S644" s="21"/>
      <c r="T644"/>
      <c r="U644" s="6"/>
      <c r="W644" s="7"/>
      <c r="Z644" s="4"/>
    </row>
    <row r="645" spans="1:26" x14ac:dyDescent="0.3">
      <c r="A645" t="s">
        <v>1016</v>
      </c>
      <c r="B645" s="22" t="s">
        <v>129</v>
      </c>
      <c r="C645" s="23" t="s">
        <v>20</v>
      </c>
      <c r="D645" s="24" t="s">
        <v>329</v>
      </c>
      <c r="E645" s="25">
        <v>38</v>
      </c>
      <c r="F645" t="s">
        <v>381</v>
      </c>
      <c r="G645" s="24" t="s">
        <v>31</v>
      </c>
      <c r="H645" s="24" t="s">
        <v>18</v>
      </c>
      <c r="I645" s="24">
        <v>6150</v>
      </c>
      <c r="J645" s="24">
        <v>4</v>
      </c>
      <c r="K645" s="25">
        <f t="shared" si="30"/>
        <v>24600</v>
      </c>
      <c r="L645" s="26">
        <v>45286</v>
      </c>
      <c r="M645" s="25" t="str">
        <f t="shared" si="31"/>
        <v>Tuesday</v>
      </c>
      <c r="N645" s="25" t="str">
        <f t="shared" si="32"/>
        <v>Weekday</v>
      </c>
      <c r="Q645" s="25"/>
      <c r="R645" s="24"/>
      <c r="S645" s="27"/>
      <c r="T645"/>
      <c r="U645" s="6"/>
      <c r="W645" s="7"/>
      <c r="Z645" s="4"/>
    </row>
    <row r="646" spans="1:26" x14ac:dyDescent="0.3">
      <c r="A646" t="s">
        <v>1017</v>
      </c>
      <c r="B646" s="16" t="s">
        <v>162</v>
      </c>
      <c r="C646" s="17" t="s">
        <v>11</v>
      </c>
      <c r="D646" s="18" t="s">
        <v>329</v>
      </c>
      <c r="E646" s="19">
        <v>27</v>
      </c>
      <c r="F646" t="s">
        <v>375</v>
      </c>
      <c r="G646" s="18" t="s">
        <v>24</v>
      </c>
      <c r="H646" s="18" t="s">
        <v>14</v>
      </c>
      <c r="I646" s="18">
        <v>184500</v>
      </c>
      <c r="J646" s="18">
        <v>2</v>
      </c>
      <c r="K646" s="19">
        <f t="shared" si="30"/>
        <v>369000</v>
      </c>
      <c r="L646" s="20">
        <v>45175</v>
      </c>
      <c r="M646" s="19" t="str">
        <f t="shared" si="31"/>
        <v>Wednesday</v>
      </c>
      <c r="N646" s="19" t="str">
        <f t="shared" si="32"/>
        <v>Weekday</v>
      </c>
      <c r="Q646" s="19"/>
      <c r="R646" s="18"/>
      <c r="S646" s="21"/>
      <c r="T646"/>
      <c r="U646" s="6"/>
      <c r="W646" s="7"/>
      <c r="Z646" s="4"/>
    </row>
    <row r="647" spans="1:26" x14ac:dyDescent="0.3">
      <c r="A647" t="s">
        <v>1018</v>
      </c>
      <c r="B647" s="22" t="s">
        <v>206</v>
      </c>
      <c r="C647" s="23" t="s">
        <v>11</v>
      </c>
      <c r="D647" s="24" t="s">
        <v>322</v>
      </c>
      <c r="E647" s="25">
        <v>69</v>
      </c>
      <c r="F647" t="s">
        <v>375</v>
      </c>
      <c r="G647" s="24" t="s">
        <v>13</v>
      </c>
      <c r="H647" s="24" t="s">
        <v>14</v>
      </c>
      <c r="I647" s="24">
        <v>36900</v>
      </c>
      <c r="J647" s="24">
        <v>5</v>
      </c>
      <c r="K647" s="25">
        <f t="shared" si="30"/>
        <v>184500</v>
      </c>
      <c r="L647" s="26">
        <v>45244</v>
      </c>
      <c r="M647" s="25" t="str">
        <f t="shared" si="31"/>
        <v>Tuesday</v>
      </c>
      <c r="N647" s="25" t="str">
        <f t="shared" si="32"/>
        <v>Weekday</v>
      </c>
      <c r="Q647" s="25"/>
      <c r="R647" s="24"/>
      <c r="S647" s="27"/>
      <c r="T647"/>
      <c r="U647" s="6"/>
      <c r="W647" s="7"/>
      <c r="Z647" s="4"/>
    </row>
    <row r="648" spans="1:26" x14ac:dyDescent="0.3">
      <c r="A648" t="s">
        <v>1019</v>
      </c>
      <c r="B648" s="16" t="s">
        <v>256</v>
      </c>
      <c r="C648" s="17" t="s">
        <v>11</v>
      </c>
      <c r="D648" s="18" t="s">
        <v>322</v>
      </c>
      <c r="E648" s="19">
        <v>69</v>
      </c>
      <c r="F648" t="s">
        <v>373</v>
      </c>
      <c r="G648" s="18" t="s">
        <v>42</v>
      </c>
      <c r="H648" s="18" t="s">
        <v>14</v>
      </c>
      <c r="I648" s="18">
        <v>98400</v>
      </c>
      <c r="J648" s="18">
        <v>3</v>
      </c>
      <c r="K648" s="19">
        <f t="shared" si="30"/>
        <v>295200</v>
      </c>
      <c r="L648" s="20">
        <v>45041</v>
      </c>
      <c r="M648" s="19" t="str">
        <f t="shared" si="31"/>
        <v>Tuesday</v>
      </c>
      <c r="N648" s="19" t="str">
        <f t="shared" si="32"/>
        <v>Weekday</v>
      </c>
      <c r="Q648" s="19"/>
      <c r="R648" s="18"/>
      <c r="S648" s="21"/>
      <c r="T648"/>
      <c r="U648" s="6"/>
      <c r="W648" s="7"/>
      <c r="Z648" s="4"/>
    </row>
    <row r="649" spans="1:26" x14ac:dyDescent="0.3">
      <c r="A649" t="s">
        <v>1020</v>
      </c>
      <c r="B649" s="22" t="s">
        <v>267</v>
      </c>
      <c r="C649" s="23" t="s">
        <v>366</v>
      </c>
      <c r="D649" s="24" t="s">
        <v>325</v>
      </c>
      <c r="E649" s="25">
        <v>67</v>
      </c>
      <c r="F649" t="s">
        <v>373</v>
      </c>
      <c r="G649" s="24" t="s">
        <v>24</v>
      </c>
      <c r="H649" s="24" t="s">
        <v>14</v>
      </c>
      <c r="I649" s="24">
        <v>184500</v>
      </c>
      <c r="J649" s="24">
        <v>1</v>
      </c>
      <c r="K649" s="25">
        <f t="shared" si="30"/>
        <v>184500</v>
      </c>
      <c r="L649" s="26">
        <v>45133</v>
      </c>
      <c r="M649" s="25" t="str">
        <f t="shared" si="31"/>
        <v>Wednesday</v>
      </c>
      <c r="N649" s="25" t="str">
        <f t="shared" si="32"/>
        <v>Weekday</v>
      </c>
      <c r="Q649" s="25"/>
      <c r="R649" s="24"/>
      <c r="S649" s="27"/>
      <c r="T649"/>
      <c r="U649" s="6"/>
      <c r="W649" s="7"/>
      <c r="Z649" s="4"/>
    </row>
    <row r="650" spans="1:26" x14ac:dyDescent="0.3">
      <c r="A650" t="s">
        <v>1021</v>
      </c>
      <c r="B650" s="16" t="s">
        <v>95</v>
      </c>
      <c r="C650" s="17" t="s">
        <v>11</v>
      </c>
      <c r="D650" s="18" t="s">
        <v>322</v>
      </c>
      <c r="E650" s="19">
        <v>47</v>
      </c>
      <c r="F650" t="s">
        <v>375</v>
      </c>
      <c r="G650" s="18" t="s">
        <v>26</v>
      </c>
      <c r="H650" s="18" t="s">
        <v>27</v>
      </c>
      <c r="I650" s="18">
        <v>24600</v>
      </c>
      <c r="J650" s="18">
        <v>3</v>
      </c>
      <c r="K650" s="19">
        <f t="shared" si="30"/>
        <v>73800</v>
      </c>
      <c r="L650" s="20">
        <v>45092</v>
      </c>
      <c r="M650" s="19" t="str">
        <f t="shared" si="31"/>
        <v>Thursday</v>
      </c>
      <c r="N650" s="19" t="str">
        <f t="shared" si="32"/>
        <v>Weekday</v>
      </c>
      <c r="Q650" s="19"/>
      <c r="R650" s="18"/>
      <c r="S650" s="21"/>
      <c r="T650"/>
      <c r="U650" s="6"/>
      <c r="W650" s="7"/>
      <c r="Z650" s="4"/>
    </row>
    <row r="651" spans="1:26" x14ac:dyDescent="0.3">
      <c r="A651" t="s">
        <v>1022</v>
      </c>
      <c r="B651" s="22" t="s">
        <v>278</v>
      </c>
      <c r="C651" s="23" t="s">
        <v>11</v>
      </c>
      <c r="D651" s="24" t="s">
        <v>322</v>
      </c>
      <c r="E651" s="25">
        <v>32</v>
      </c>
      <c r="F651" t="s">
        <v>375</v>
      </c>
      <c r="G651" s="24" t="s">
        <v>13</v>
      </c>
      <c r="H651" s="24" t="s">
        <v>14</v>
      </c>
      <c r="I651" s="24">
        <v>36900</v>
      </c>
      <c r="J651" s="24">
        <v>3</v>
      </c>
      <c r="K651" s="25">
        <f t="shared" si="30"/>
        <v>110700</v>
      </c>
      <c r="L651" s="26">
        <v>45068</v>
      </c>
      <c r="M651" s="25" t="str">
        <f t="shared" si="31"/>
        <v>Monday</v>
      </c>
      <c r="N651" s="25" t="str">
        <f t="shared" si="32"/>
        <v>Weekday</v>
      </c>
      <c r="Q651" s="25"/>
      <c r="R651" s="24"/>
      <c r="S651" s="27"/>
      <c r="T651"/>
      <c r="U651" s="6"/>
      <c r="W651" s="7"/>
      <c r="Z651" s="4"/>
    </row>
    <row r="652" spans="1:26" x14ac:dyDescent="0.3">
      <c r="A652" t="s">
        <v>1023</v>
      </c>
      <c r="B652" s="16" t="s">
        <v>211</v>
      </c>
      <c r="C652" s="17" t="s">
        <v>366</v>
      </c>
      <c r="D652" s="18" t="s">
        <v>329</v>
      </c>
      <c r="E652" s="19">
        <v>41</v>
      </c>
      <c r="F652" t="s">
        <v>381</v>
      </c>
      <c r="G652" s="18" t="s">
        <v>24</v>
      </c>
      <c r="H652" s="18" t="s">
        <v>14</v>
      </c>
      <c r="I652" s="18">
        <v>184500</v>
      </c>
      <c r="J652" s="18">
        <v>3</v>
      </c>
      <c r="K652" s="19">
        <f t="shared" si="30"/>
        <v>553500</v>
      </c>
      <c r="L652" s="20">
        <v>45267</v>
      </c>
      <c r="M652" s="19" t="str">
        <f t="shared" si="31"/>
        <v>Thursday</v>
      </c>
      <c r="N652" s="19" t="str">
        <f t="shared" si="32"/>
        <v>Weekday</v>
      </c>
      <c r="Q652" s="19"/>
      <c r="R652" s="18"/>
      <c r="S652" s="21"/>
      <c r="T652"/>
      <c r="U652" s="6"/>
      <c r="W652" s="7"/>
      <c r="Z652" s="4"/>
    </row>
    <row r="653" spans="1:26" x14ac:dyDescent="0.3">
      <c r="A653" t="s">
        <v>1024</v>
      </c>
      <c r="B653" s="22" t="s">
        <v>144</v>
      </c>
      <c r="C653" s="23" t="s">
        <v>20</v>
      </c>
      <c r="D653" s="24" t="s">
        <v>323</v>
      </c>
      <c r="E653" s="25">
        <v>29</v>
      </c>
      <c r="F653" t="s">
        <v>381</v>
      </c>
      <c r="G653" s="24" t="s">
        <v>32</v>
      </c>
      <c r="H653" s="24" t="s">
        <v>18</v>
      </c>
      <c r="I653" s="24">
        <v>3690</v>
      </c>
      <c r="J653" s="24">
        <v>1</v>
      </c>
      <c r="K653" s="25">
        <f t="shared" si="30"/>
        <v>3690</v>
      </c>
      <c r="L653" s="26">
        <v>44985</v>
      </c>
      <c r="M653" s="25" t="str">
        <f t="shared" si="31"/>
        <v>Tuesday</v>
      </c>
      <c r="N653" s="25" t="str">
        <f t="shared" si="32"/>
        <v>Weekday</v>
      </c>
      <c r="Q653" s="25"/>
      <c r="R653" s="24"/>
      <c r="S653" s="27"/>
      <c r="T653"/>
      <c r="U653" s="6"/>
      <c r="W653" s="7"/>
      <c r="Z653" s="4"/>
    </row>
    <row r="654" spans="1:26" x14ac:dyDescent="0.3">
      <c r="A654" t="s">
        <v>1025</v>
      </c>
      <c r="B654" s="16" t="s">
        <v>178</v>
      </c>
      <c r="C654" s="17" t="s">
        <v>11</v>
      </c>
      <c r="D654" s="18" t="s">
        <v>328</v>
      </c>
      <c r="E654" s="19">
        <v>20</v>
      </c>
      <c r="F654" t="s">
        <v>381</v>
      </c>
      <c r="G654" s="18" t="s">
        <v>42</v>
      </c>
      <c r="H654" s="18" t="s">
        <v>14</v>
      </c>
      <c r="I654" s="18">
        <v>98400</v>
      </c>
      <c r="J654" s="18">
        <v>5</v>
      </c>
      <c r="K654" s="19">
        <f t="shared" si="30"/>
        <v>492000</v>
      </c>
      <c r="L654" s="20">
        <v>45642</v>
      </c>
      <c r="M654" s="19" t="str">
        <f t="shared" si="31"/>
        <v>Monday</v>
      </c>
      <c r="N654" s="19" t="str">
        <f t="shared" si="32"/>
        <v>Weekday</v>
      </c>
      <c r="Q654" s="19"/>
      <c r="R654" s="18"/>
      <c r="S654" s="21"/>
      <c r="T654"/>
      <c r="U654" s="6"/>
      <c r="W654" s="7"/>
      <c r="Z654" s="4"/>
    </row>
    <row r="655" spans="1:26" x14ac:dyDescent="0.3">
      <c r="A655" t="s">
        <v>1026</v>
      </c>
      <c r="B655" s="22" t="s">
        <v>189</v>
      </c>
      <c r="C655" s="23" t="s">
        <v>20</v>
      </c>
      <c r="D655" s="24" t="s">
        <v>322</v>
      </c>
      <c r="E655" s="25">
        <v>48</v>
      </c>
      <c r="F655" t="s">
        <v>373</v>
      </c>
      <c r="G655" s="24" t="s">
        <v>26</v>
      </c>
      <c r="H655" s="24" t="s">
        <v>27</v>
      </c>
      <c r="I655" s="24">
        <v>24600</v>
      </c>
      <c r="J655" s="24">
        <v>5</v>
      </c>
      <c r="K655" s="25">
        <f t="shared" si="30"/>
        <v>123000</v>
      </c>
      <c r="L655" s="26">
        <v>45050</v>
      </c>
      <c r="M655" s="25" t="str">
        <f t="shared" si="31"/>
        <v>Thursday</v>
      </c>
      <c r="N655" s="25" t="str">
        <f t="shared" si="32"/>
        <v>Weekday</v>
      </c>
      <c r="Q655" s="25"/>
      <c r="R655" s="24"/>
      <c r="S655" s="27"/>
      <c r="T655"/>
      <c r="U655" s="6"/>
      <c r="W655" s="7"/>
      <c r="Z655" s="4"/>
    </row>
    <row r="656" spans="1:26" x14ac:dyDescent="0.3">
      <c r="A656" t="s">
        <v>1027</v>
      </c>
      <c r="B656" s="16" t="s">
        <v>73</v>
      </c>
      <c r="C656" s="17" t="s">
        <v>11</v>
      </c>
      <c r="D656" s="18" t="s">
        <v>322</v>
      </c>
      <c r="E656" s="19">
        <v>68</v>
      </c>
      <c r="F656" t="s">
        <v>381</v>
      </c>
      <c r="G656" s="18" t="s">
        <v>24</v>
      </c>
      <c r="H656" s="18" t="s">
        <v>14</v>
      </c>
      <c r="I656" s="18">
        <v>184500</v>
      </c>
      <c r="J656" s="18">
        <v>1</v>
      </c>
      <c r="K656" s="19">
        <f t="shared" si="30"/>
        <v>184500</v>
      </c>
      <c r="L656" s="20">
        <v>45165</v>
      </c>
      <c r="M656" s="19" t="str">
        <f t="shared" si="31"/>
        <v>Sunday</v>
      </c>
      <c r="N656" s="19" t="str">
        <f t="shared" si="32"/>
        <v>Weekday</v>
      </c>
      <c r="Q656" s="19"/>
      <c r="R656" s="18"/>
      <c r="S656" s="21"/>
      <c r="T656"/>
      <c r="U656" s="6"/>
      <c r="W656" s="7"/>
      <c r="Z656" s="4"/>
    </row>
    <row r="657" spans="1:26" x14ac:dyDescent="0.3">
      <c r="A657" t="s">
        <v>1028</v>
      </c>
      <c r="B657" s="22" t="s">
        <v>232</v>
      </c>
      <c r="C657" s="23" t="s">
        <v>366</v>
      </c>
      <c r="D657" s="24" t="s">
        <v>323</v>
      </c>
      <c r="E657" s="25">
        <v>42</v>
      </c>
      <c r="F657" t="s">
        <v>370</v>
      </c>
      <c r="G657" s="24" t="s">
        <v>32</v>
      </c>
      <c r="H657" s="24" t="s">
        <v>18</v>
      </c>
      <c r="I657" s="24">
        <v>3690</v>
      </c>
      <c r="J657" s="24">
        <v>5</v>
      </c>
      <c r="K657" s="25">
        <f t="shared" si="30"/>
        <v>18450</v>
      </c>
      <c r="L657" s="26">
        <v>45244</v>
      </c>
      <c r="M657" s="25" t="str">
        <f t="shared" si="31"/>
        <v>Tuesday</v>
      </c>
      <c r="N657" s="25" t="str">
        <f t="shared" si="32"/>
        <v>Weekday</v>
      </c>
      <c r="Q657" s="25"/>
      <c r="R657" s="24"/>
      <c r="S657" s="27"/>
      <c r="T657"/>
      <c r="U657" s="6"/>
      <c r="W657" s="7"/>
      <c r="Z657" s="4"/>
    </row>
    <row r="658" spans="1:26" x14ac:dyDescent="0.3">
      <c r="A658" t="s">
        <v>1029</v>
      </c>
      <c r="B658" s="16" t="s">
        <v>37</v>
      </c>
      <c r="C658" s="17" t="s">
        <v>11</v>
      </c>
      <c r="D658" s="18" t="s">
        <v>323</v>
      </c>
      <c r="E658" s="19">
        <v>60</v>
      </c>
      <c r="F658" t="s">
        <v>370</v>
      </c>
      <c r="G658" s="18" t="s">
        <v>24</v>
      </c>
      <c r="H658" s="18" t="s">
        <v>14</v>
      </c>
      <c r="I658" s="18">
        <v>184500</v>
      </c>
      <c r="J658" s="18">
        <v>1</v>
      </c>
      <c r="K658" s="19">
        <f t="shared" si="30"/>
        <v>184500</v>
      </c>
      <c r="L658" s="20">
        <v>45175</v>
      </c>
      <c r="M658" s="19" t="str">
        <f t="shared" si="31"/>
        <v>Wednesday</v>
      </c>
      <c r="N658" s="19" t="str">
        <f t="shared" si="32"/>
        <v>Weekday</v>
      </c>
      <c r="Q658" s="19"/>
      <c r="R658" s="18"/>
      <c r="S658" s="21"/>
      <c r="T658"/>
      <c r="U658" s="6"/>
      <c r="W658" s="7"/>
      <c r="Z658" s="4"/>
    </row>
    <row r="659" spans="1:26" x14ac:dyDescent="0.3">
      <c r="A659" t="s">
        <v>1030</v>
      </c>
      <c r="B659" s="22" t="s">
        <v>138</v>
      </c>
      <c r="C659" s="23" t="s">
        <v>20</v>
      </c>
      <c r="D659" s="24" t="s">
        <v>323</v>
      </c>
      <c r="E659" s="25">
        <v>37</v>
      </c>
      <c r="F659" t="s">
        <v>381</v>
      </c>
      <c r="G659" s="24" t="s">
        <v>42</v>
      </c>
      <c r="H659" s="24" t="s">
        <v>14</v>
      </c>
      <c r="I659" s="24">
        <v>98400</v>
      </c>
      <c r="J659" s="24">
        <v>1</v>
      </c>
      <c r="K659" s="25">
        <f t="shared" si="30"/>
        <v>98400</v>
      </c>
      <c r="L659" s="26">
        <v>44929</v>
      </c>
      <c r="M659" s="25" t="str">
        <f t="shared" si="31"/>
        <v>Tuesday</v>
      </c>
      <c r="N659" s="25" t="str">
        <f t="shared" si="32"/>
        <v>Weekday</v>
      </c>
      <c r="Q659" s="25"/>
      <c r="R659" s="24"/>
      <c r="S659" s="27"/>
      <c r="T659"/>
      <c r="U659" s="6"/>
      <c r="W659" s="7"/>
      <c r="Z659" s="4"/>
    </row>
    <row r="660" spans="1:26" x14ac:dyDescent="0.3">
      <c r="A660" t="s">
        <v>1031</v>
      </c>
      <c r="B660" s="16" t="s">
        <v>176</v>
      </c>
      <c r="C660" s="17" t="s">
        <v>11</v>
      </c>
      <c r="D660" s="18" t="s">
        <v>323</v>
      </c>
      <c r="E660" s="19">
        <v>54</v>
      </c>
      <c r="F660" t="s">
        <v>381</v>
      </c>
      <c r="G660" s="18" t="s">
        <v>24</v>
      </c>
      <c r="H660" s="18" t="s">
        <v>14</v>
      </c>
      <c r="I660" s="18">
        <v>184500</v>
      </c>
      <c r="J660" s="18">
        <v>4</v>
      </c>
      <c r="K660" s="19">
        <f t="shared" si="30"/>
        <v>738000</v>
      </c>
      <c r="L660" s="20">
        <v>44977</v>
      </c>
      <c r="M660" s="19" t="str">
        <f t="shared" si="31"/>
        <v>Monday</v>
      </c>
      <c r="N660" s="19" t="str">
        <f t="shared" si="32"/>
        <v>Weekday</v>
      </c>
      <c r="Q660" s="19"/>
      <c r="R660" s="18"/>
      <c r="S660" s="21"/>
      <c r="T660"/>
      <c r="U660" s="6"/>
      <c r="W660" s="7"/>
      <c r="Z660" s="4"/>
    </row>
    <row r="661" spans="1:26" x14ac:dyDescent="0.3">
      <c r="A661" t="s">
        <v>1032</v>
      </c>
      <c r="B661" s="22" t="s">
        <v>172</v>
      </c>
      <c r="C661" s="23" t="s">
        <v>20</v>
      </c>
      <c r="D661" s="24" t="s">
        <v>327</v>
      </c>
      <c r="E661" s="25">
        <v>57</v>
      </c>
      <c r="F661" t="s">
        <v>375</v>
      </c>
      <c r="G661" s="24" t="s">
        <v>13</v>
      </c>
      <c r="H661" s="24" t="s">
        <v>14</v>
      </c>
      <c r="I661" s="24">
        <v>36900</v>
      </c>
      <c r="J661" s="24">
        <v>1</v>
      </c>
      <c r="K661" s="25">
        <f t="shared" si="30"/>
        <v>36900</v>
      </c>
      <c r="L661" s="26">
        <v>45029</v>
      </c>
      <c r="M661" s="25" t="str">
        <f t="shared" si="31"/>
        <v>Thursday</v>
      </c>
      <c r="N661" s="25" t="str">
        <f t="shared" si="32"/>
        <v>Weekday</v>
      </c>
      <c r="Q661" s="25"/>
      <c r="R661" s="24"/>
      <c r="S661" s="27"/>
      <c r="T661"/>
      <c r="U661" s="6"/>
      <c r="W661" s="7"/>
      <c r="Z661" s="4"/>
    </row>
    <row r="662" spans="1:26" x14ac:dyDescent="0.3">
      <c r="A662" t="s">
        <v>1033</v>
      </c>
      <c r="B662" s="16" t="s">
        <v>45</v>
      </c>
      <c r="C662" s="17" t="s">
        <v>20</v>
      </c>
      <c r="D662" s="18" t="s">
        <v>323</v>
      </c>
      <c r="E662" s="19">
        <v>37</v>
      </c>
      <c r="F662" t="s">
        <v>375</v>
      </c>
      <c r="G662" s="18" t="s">
        <v>31</v>
      </c>
      <c r="H662" s="18" t="s">
        <v>18</v>
      </c>
      <c r="I662" s="18">
        <v>6150</v>
      </c>
      <c r="J662" s="18">
        <v>4</v>
      </c>
      <c r="K662" s="19">
        <f t="shared" si="30"/>
        <v>24600</v>
      </c>
      <c r="L662" s="20">
        <v>44931</v>
      </c>
      <c r="M662" s="19" t="str">
        <f t="shared" si="31"/>
        <v>Thursday</v>
      </c>
      <c r="N662" s="19" t="str">
        <f t="shared" si="32"/>
        <v>Weekday</v>
      </c>
      <c r="Q662" s="19"/>
      <c r="R662" s="18"/>
      <c r="S662" s="21"/>
      <c r="T662"/>
      <c r="U662" s="6"/>
      <c r="W662" s="7"/>
      <c r="Z662" s="4"/>
    </row>
    <row r="663" spans="1:26" x14ac:dyDescent="0.3">
      <c r="A663" t="s">
        <v>1034</v>
      </c>
      <c r="B663" s="22" t="s">
        <v>193</v>
      </c>
      <c r="C663" s="23" t="s">
        <v>20</v>
      </c>
      <c r="D663" s="24" t="s">
        <v>323</v>
      </c>
      <c r="E663" s="25">
        <v>64</v>
      </c>
      <c r="F663" t="s">
        <v>373</v>
      </c>
      <c r="G663" s="24" t="s">
        <v>24</v>
      </c>
      <c r="H663" s="24" t="s">
        <v>14</v>
      </c>
      <c r="I663" s="24">
        <v>184500</v>
      </c>
      <c r="J663" s="24">
        <v>1</v>
      </c>
      <c r="K663" s="25">
        <f t="shared" si="30"/>
        <v>184500</v>
      </c>
      <c r="L663" s="26">
        <v>45068</v>
      </c>
      <c r="M663" s="25" t="str">
        <f t="shared" si="31"/>
        <v>Monday</v>
      </c>
      <c r="N663" s="25" t="str">
        <f t="shared" si="32"/>
        <v>Weekday</v>
      </c>
      <c r="Q663" s="25"/>
      <c r="R663" s="24"/>
      <c r="S663" s="27"/>
      <c r="T663"/>
      <c r="U663" s="6"/>
      <c r="W663" s="7"/>
      <c r="Z663" s="4"/>
    </row>
    <row r="664" spans="1:26" x14ac:dyDescent="0.3">
      <c r="A664" t="s">
        <v>1035</v>
      </c>
      <c r="B664" s="16" t="s">
        <v>93</v>
      </c>
      <c r="C664" s="17" t="s">
        <v>366</v>
      </c>
      <c r="D664" s="18" t="s">
        <v>327</v>
      </c>
      <c r="E664" s="19">
        <v>54</v>
      </c>
      <c r="F664" t="s">
        <v>370</v>
      </c>
      <c r="G664" s="18" t="s">
        <v>26</v>
      </c>
      <c r="H664" s="18" t="s">
        <v>27</v>
      </c>
      <c r="I664" s="18">
        <v>24600</v>
      </c>
      <c r="J664" s="18">
        <v>3</v>
      </c>
      <c r="K664" s="19">
        <f t="shared" si="30"/>
        <v>73800</v>
      </c>
      <c r="L664" s="20">
        <v>45148</v>
      </c>
      <c r="M664" s="19" t="str">
        <f t="shared" si="31"/>
        <v>Thursday</v>
      </c>
      <c r="N664" s="19" t="str">
        <f t="shared" si="32"/>
        <v>Weekday</v>
      </c>
      <c r="Q664" s="19"/>
      <c r="R664" s="18"/>
      <c r="S664" s="21"/>
      <c r="T664"/>
      <c r="U664" s="6"/>
      <c r="W664" s="7"/>
      <c r="Z664" s="4"/>
    </row>
    <row r="665" spans="1:26" x14ac:dyDescent="0.3">
      <c r="A665" t="s">
        <v>1036</v>
      </c>
      <c r="B665" s="22" t="s">
        <v>291</v>
      </c>
      <c r="C665" s="23" t="s">
        <v>11</v>
      </c>
      <c r="D665" s="24" t="s">
        <v>324</v>
      </c>
      <c r="E665" s="25">
        <v>67</v>
      </c>
      <c r="F665" t="s">
        <v>370</v>
      </c>
      <c r="G665" s="24" t="s">
        <v>24</v>
      </c>
      <c r="H665" s="24" t="s">
        <v>14</v>
      </c>
      <c r="I665" s="24">
        <v>184500</v>
      </c>
      <c r="J665" s="24">
        <v>4</v>
      </c>
      <c r="K665" s="25">
        <f t="shared" si="30"/>
        <v>738000</v>
      </c>
      <c r="L665" s="26">
        <v>45088</v>
      </c>
      <c r="M665" s="25" t="str">
        <f t="shared" si="31"/>
        <v>Sunday</v>
      </c>
      <c r="N665" s="25" t="str">
        <f t="shared" si="32"/>
        <v>Weekday</v>
      </c>
      <c r="Q665" s="25"/>
      <c r="R665" s="24"/>
      <c r="S665" s="27"/>
      <c r="T665"/>
      <c r="U665" s="6"/>
      <c r="W665" s="7"/>
      <c r="Z665" s="4"/>
    </row>
    <row r="666" spans="1:26" x14ac:dyDescent="0.3">
      <c r="A666" t="s">
        <v>1037</v>
      </c>
      <c r="B666" s="16" t="s">
        <v>144</v>
      </c>
      <c r="C666" s="17" t="s">
        <v>20</v>
      </c>
      <c r="D666" s="18" t="s">
        <v>323</v>
      </c>
      <c r="E666" s="19">
        <v>29</v>
      </c>
      <c r="F666" t="s">
        <v>373</v>
      </c>
      <c r="G666" s="18" t="s">
        <v>26</v>
      </c>
      <c r="H666" s="18" t="s">
        <v>27</v>
      </c>
      <c r="I666" s="18">
        <v>24600</v>
      </c>
      <c r="J666" s="18">
        <v>4</v>
      </c>
      <c r="K666" s="19">
        <f t="shared" si="30"/>
        <v>98400</v>
      </c>
      <c r="L666" s="20">
        <v>44982</v>
      </c>
      <c r="M666" s="19" t="str">
        <f t="shared" si="31"/>
        <v>Saturday</v>
      </c>
      <c r="N666" s="19" t="str">
        <f t="shared" si="32"/>
        <v>Weekend</v>
      </c>
      <c r="Q666" s="19"/>
      <c r="R666" s="18"/>
      <c r="S666" s="21"/>
      <c r="T666"/>
      <c r="U666" s="6"/>
      <c r="W666" s="7"/>
      <c r="Z666" s="4"/>
    </row>
    <row r="667" spans="1:26" x14ac:dyDescent="0.3">
      <c r="A667" t="s">
        <v>1038</v>
      </c>
      <c r="B667" s="22" t="s">
        <v>148</v>
      </c>
      <c r="C667" s="23" t="s">
        <v>20</v>
      </c>
      <c r="D667" s="24" t="s">
        <v>323</v>
      </c>
      <c r="E667" s="25">
        <v>68</v>
      </c>
      <c r="F667" t="s">
        <v>381</v>
      </c>
      <c r="G667" s="24" t="s">
        <v>17</v>
      </c>
      <c r="H667" s="24" t="s">
        <v>18</v>
      </c>
      <c r="I667" s="24">
        <v>12300</v>
      </c>
      <c r="J667" s="24">
        <v>2</v>
      </c>
      <c r="K667" s="25">
        <f t="shared" si="30"/>
        <v>24600</v>
      </c>
      <c r="L667" s="26">
        <v>45082</v>
      </c>
      <c r="M667" s="25" t="str">
        <f t="shared" si="31"/>
        <v>Monday</v>
      </c>
      <c r="N667" s="25" t="str">
        <f t="shared" si="32"/>
        <v>Weekday</v>
      </c>
      <c r="Q667" s="25"/>
      <c r="R667" s="24"/>
      <c r="S667" s="27"/>
      <c r="T667"/>
      <c r="U667" s="6"/>
      <c r="W667" s="7"/>
      <c r="Z667" s="4"/>
    </row>
    <row r="668" spans="1:26" x14ac:dyDescent="0.3">
      <c r="A668" t="s">
        <v>1039</v>
      </c>
      <c r="B668" s="16" t="s">
        <v>138</v>
      </c>
      <c r="C668" s="17" t="s">
        <v>20</v>
      </c>
      <c r="D668" s="18" t="s">
        <v>323</v>
      </c>
      <c r="E668" s="19">
        <v>37</v>
      </c>
      <c r="F668" t="s">
        <v>381</v>
      </c>
      <c r="G668" s="18" t="s">
        <v>32</v>
      </c>
      <c r="H668" s="18" t="s">
        <v>18</v>
      </c>
      <c r="I668" s="18">
        <v>3690</v>
      </c>
      <c r="J668" s="18">
        <v>3</v>
      </c>
      <c r="K668" s="19">
        <f t="shared" si="30"/>
        <v>11070</v>
      </c>
      <c r="L668" s="20">
        <v>45216</v>
      </c>
      <c r="M668" s="19" t="str">
        <f t="shared" si="31"/>
        <v>Tuesday</v>
      </c>
      <c r="N668" s="19" t="str">
        <f t="shared" si="32"/>
        <v>Weekday</v>
      </c>
      <c r="Q668" s="19"/>
      <c r="R668" s="18"/>
      <c r="S668" s="21"/>
      <c r="T668"/>
      <c r="U668" s="6"/>
      <c r="W668" s="7"/>
      <c r="Z668" s="4"/>
    </row>
    <row r="669" spans="1:26" x14ac:dyDescent="0.3">
      <c r="A669" t="s">
        <v>1040</v>
      </c>
      <c r="B669" s="22" t="s">
        <v>292</v>
      </c>
      <c r="C669" s="23" t="s">
        <v>366</v>
      </c>
      <c r="D669" s="24" t="s">
        <v>322</v>
      </c>
      <c r="E669" s="25">
        <v>22</v>
      </c>
      <c r="F669" t="s">
        <v>373</v>
      </c>
      <c r="G669" s="24" t="s">
        <v>32</v>
      </c>
      <c r="H669" s="24" t="s">
        <v>18</v>
      </c>
      <c r="I669" s="24">
        <v>3690</v>
      </c>
      <c r="J669" s="24">
        <v>5</v>
      </c>
      <c r="K669" s="25">
        <f t="shared" si="30"/>
        <v>18450</v>
      </c>
      <c r="L669" s="26">
        <v>44951</v>
      </c>
      <c r="M669" s="25" t="str">
        <f t="shared" si="31"/>
        <v>Wednesday</v>
      </c>
      <c r="N669" s="25" t="str">
        <f t="shared" si="32"/>
        <v>Weekday</v>
      </c>
      <c r="Q669" s="25"/>
      <c r="R669" s="24"/>
      <c r="S669" s="27"/>
      <c r="T669"/>
      <c r="U669" s="6"/>
      <c r="W669" s="7"/>
      <c r="Z669" s="4"/>
    </row>
    <row r="670" spans="1:26" x14ac:dyDescent="0.3">
      <c r="A670" t="s">
        <v>1041</v>
      </c>
      <c r="B670" s="16" t="s">
        <v>121</v>
      </c>
      <c r="C670" s="17" t="s">
        <v>20</v>
      </c>
      <c r="D670" s="18" t="s">
        <v>327</v>
      </c>
      <c r="E670" s="19">
        <v>18</v>
      </c>
      <c r="F670" t="s">
        <v>370</v>
      </c>
      <c r="G670" s="18" t="s">
        <v>13</v>
      </c>
      <c r="H670" s="18" t="s">
        <v>14</v>
      </c>
      <c r="I670" s="18">
        <v>36900</v>
      </c>
      <c r="J670" s="18">
        <v>2</v>
      </c>
      <c r="K670" s="19">
        <f t="shared" si="30"/>
        <v>73800</v>
      </c>
      <c r="L670" s="20">
        <v>44936</v>
      </c>
      <c r="M670" s="19" t="str">
        <f t="shared" si="31"/>
        <v>Tuesday</v>
      </c>
      <c r="N670" s="19" t="str">
        <f t="shared" si="32"/>
        <v>Weekday</v>
      </c>
      <c r="Q670" s="19"/>
      <c r="R670" s="18"/>
      <c r="S670" s="21"/>
      <c r="T670"/>
      <c r="U670" s="6"/>
      <c r="W670" s="7"/>
      <c r="Z670" s="4"/>
    </row>
    <row r="671" spans="1:26" x14ac:dyDescent="0.3">
      <c r="A671" t="s">
        <v>1042</v>
      </c>
      <c r="B671" s="22" t="s">
        <v>223</v>
      </c>
      <c r="C671" s="23" t="s">
        <v>366</v>
      </c>
      <c r="D671" s="24" t="s">
        <v>326</v>
      </c>
      <c r="E671" s="25">
        <v>37</v>
      </c>
      <c r="F671" t="s">
        <v>370</v>
      </c>
      <c r="G671" s="24" t="s">
        <v>24</v>
      </c>
      <c r="H671" s="24" t="s">
        <v>14</v>
      </c>
      <c r="I671" s="24">
        <v>184500</v>
      </c>
      <c r="J671" s="24">
        <v>3</v>
      </c>
      <c r="K671" s="25">
        <f t="shared" si="30"/>
        <v>553500</v>
      </c>
      <c r="L671" s="26">
        <v>45287</v>
      </c>
      <c r="M671" s="25" t="str">
        <f t="shared" si="31"/>
        <v>Wednesday</v>
      </c>
      <c r="N671" s="25" t="str">
        <f t="shared" si="32"/>
        <v>Weekday</v>
      </c>
      <c r="Q671" s="25"/>
      <c r="R671" s="24"/>
      <c r="S671" s="27"/>
      <c r="T671"/>
      <c r="U671" s="6"/>
      <c r="W671" s="7"/>
      <c r="Z671" s="4"/>
    </row>
    <row r="672" spans="1:26" x14ac:dyDescent="0.3">
      <c r="A672" t="s">
        <v>1043</v>
      </c>
      <c r="B672" s="16" t="s">
        <v>291</v>
      </c>
      <c r="C672" s="17" t="s">
        <v>11</v>
      </c>
      <c r="D672" s="18" t="s">
        <v>324</v>
      </c>
      <c r="E672" s="19">
        <v>67</v>
      </c>
      <c r="F672" t="s">
        <v>381</v>
      </c>
      <c r="G672" s="18" t="s">
        <v>31</v>
      </c>
      <c r="H672" s="18" t="s">
        <v>18</v>
      </c>
      <c r="I672" s="18">
        <v>6150</v>
      </c>
      <c r="J672" s="18">
        <v>5</v>
      </c>
      <c r="K672" s="19">
        <f t="shared" si="30"/>
        <v>30750</v>
      </c>
      <c r="L672" s="20">
        <v>45233</v>
      </c>
      <c r="M672" s="19" t="str">
        <f t="shared" si="31"/>
        <v>Friday</v>
      </c>
      <c r="N672" s="19" t="str">
        <f t="shared" si="32"/>
        <v>Weekend</v>
      </c>
      <c r="Q672" s="19"/>
      <c r="R672" s="18"/>
      <c r="S672" s="21"/>
      <c r="T672"/>
      <c r="U672" s="6"/>
      <c r="W672" s="7"/>
      <c r="Z672" s="4"/>
    </row>
    <row r="673" spans="1:26" x14ac:dyDescent="0.3">
      <c r="A673" t="s">
        <v>1044</v>
      </c>
      <c r="B673" s="22" t="s">
        <v>284</v>
      </c>
      <c r="C673" s="23" t="s">
        <v>11</v>
      </c>
      <c r="D673" s="24" t="s">
        <v>322</v>
      </c>
      <c r="E673" s="25">
        <v>46</v>
      </c>
      <c r="F673" t="s">
        <v>375</v>
      </c>
      <c r="G673" s="24" t="s">
        <v>26</v>
      </c>
      <c r="H673" s="24" t="s">
        <v>27</v>
      </c>
      <c r="I673" s="24">
        <v>24600</v>
      </c>
      <c r="J673" s="24">
        <v>2</v>
      </c>
      <c r="K673" s="25">
        <f t="shared" si="30"/>
        <v>49200</v>
      </c>
      <c r="L673" s="26">
        <v>45026</v>
      </c>
      <c r="M673" s="25" t="str">
        <f t="shared" si="31"/>
        <v>Monday</v>
      </c>
      <c r="N673" s="25" t="str">
        <f t="shared" si="32"/>
        <v>Weekday</v>
      </c>
      <c r="Q673" s="25"/>
      <c r="R673" s="24"/>
      <c r="S673" s="27"/>
      <c r="T673"/>
      <c r="U673" s="6"/>
      <c r="W673" s="7"/>
      <c r="Z673" s="4"/>
    </row>
    <row r="674" spans="1:26" x14ac:dyDescent="0.3">
      <c r="A674" t="s">
        <v>1045</v>
      </c>
      <c r="B674" s="16" t="s">
        <v>264</v>
      </c>
      <c r="C674" s="17" t="s">
        <v>11</v>
      </c>
      <c r="D674" s="18" t="s">
        <v>322</v>
      </c>
      <c r="E674" s="19">
        <v>40</v>
      </c>
      <c r="F674" t="s">
        <v>373</v>
      </c>
      <c r="G674" s="18" t="s">
        <v>26</v>
      </c>
      <c r="H674" s="18" t="s">
        <v>27</v>
      </c>
      <c r="I674" s="18">
        <v>24600</v>
      </c>
      <c r="J674" s="18">
        <v>4</v>
      </c>
      <c r="K674" s="19">
        <f t="shared" si="30"/>
        <v>98400</v>
      </c>
      <c r="L674" s="20">
        <v>45287</v>
      </c>
      <c r="M674" s="19" t="str">
        <f t="shared" si="31"/>
        <v>Wednesday</v>
      </c>
      <c r="N674" s="19" t="str">
        <f t="shared" si="32"/>
        <v>Weekday</v>
      </c>
      <c r="Q674" s="19"/>
      <c r="R674" s="18"/>
      <c r="S674" s="21"/>
      <c r="T674"/>
      <c r="U674" s="6"/>
      <c r="W674" s="7"/>
      <c r="Z674" s="4"/>
    </row>
    <row r="675" spans="1:26" x14ac:dyDescent="0.3">
      <c r="A675" t="s">
        <v>1046</v>
      </c>
      <c r="B675" s="22" t="s">
        <v>23</v>
      </c>
      <c r="C675" s="23" t="s">
        <v>11</v>
      </c>
      <c r="D675" s="24" t="s">
        <v>322</v>
      </c>
      <c r="E675" s="25">
        <v>65</v>
      </c>
      <c r="F675" t="s">
        <v>373</v>
      </c>
      <c r="G675" s="24" t="s">
        <v>24</v>
      </c>
      <c r="H675" s="24" t="s">
        <v>14</v>
      </c>
      <c r="I675" s="24">
        <v>184500</v>
      </c>
      <c r="J675" s="24">
        <v>3</v>
      </c>
      <c r="K675" s="25">
        <f t="shared" si="30"/>
        <v>553500</v>
      </c>
      <c r="L675" s="26">
        <v>45282</v>
      </c>
      <c r="M675" s="25" t="str">
        <f t="shared" si="31"/>
        <v>Friday</v>
      </c>
      <c r="N675" s="25" t="str">
        <f t="shared" si="32"/>
        <v>Weekend</v>
      </c>
      <c r="Q675" s="25"/>
      <c r="R675" s="24"/>
      <c r="S675" s="27"/>
      <c r="T675"/>
      <c r="U675" s="6"/>
      <c r="W675" s="7"/>
      <c r="Z675" s="4"/>
    </row>
    <row r="676" spans="1:26" x14ac:dyDescent="0.3">
      <c r="A676" t="s">
        <v>1047</v>
      </c>
      <c r="B676" s="16" t="s">
        <v>49</v>
      </c>
      <c r="C676" s="17" t="s">
        <v>20</v>
      </c>
      <c r="D676" s="18" t="s">
        <v>323</v>
      </c>
      <c r="E676" s="19">
        <v>57</v>
      </c>
      <c r="F676" t="s">
        <v>381</v>
      </c>
      <c r="G676" s="18" t="s">
        <v>42</v>
      </c>
      <c r="H676" s="18" t="s">
        <v>14</v>
      </c>
      <c r="I676" s="18">
        <v>98400</v>
      </c>
      <c r="J676" s="18">
        <v>2</v>
      </c>
      <c r="K676" s="19">
        <f t="shared" si="30"/>
        <v>196800</v>
      </c>
      <c r="L676" s="20">
        <v>45238</v>
      </c>
      <c r="M676" s="19" t="str">
        <f t="shared" si="31"/>
        <v>Wednesday</v>
      </c>
      <c r="N676" s="19" t="str">
        <f t="shared" si="32"/>
        <v>Weekday</v>
      </c>
      <c r="Q676" s="19"/>
      <c r="R676" s="18"/>
      <c r="S676" s="21"/>
      <c r="T676"/>
      <c r="U676" s="6"/>
      <c r="W676" s="7"/>
      <c r="Z676" s="4"/>
    </row>
    <row r="677" spans="1:26" x14ac:dyDescent="0.3">
      <c r="A677" t="s">
        <v>1048</v>
      </c>
      <c r="B677" s="22" t="s">
        <v>201</v>
      </c>
      <c r="C677" s="23" t="s">
        <v>20</v>
      </c>
      <c r="D677" s="24" t="s">
        <v>322</v>
      </c>
      <c r="E677" s="25">
        <v>50</v>
      </c>
      <c r="F677" t="s">
        <v>373</v>
      </c>
      <c r="G677" s="24" t="s">
        <v>17</v>
      </c>
      <c r="H677" s="24" t="s">
        <v>18</v>
      </c>
      <c r="I677" s="24">
        <v>12300</v>
      </c>
      <c r="J677" s="24">
        <v>3</v>
      </c>
      <c r="K677" s="25">
        <f t="shared" si="30"/>
        <v>36900</v>
      </c>
      <c r="L677" s="26">
        <v>45267</v>
      </c>
      <c r="M677" s="25" t="str">
        <f t="shared" si="31"/>
        <v>Thursday</v>
      </c>
      <c r="N677" s="25" t="str">
        <f t="shared" si="32"/>
        <v>Weekday</v>
      </c>
      <c r="Q677" s="25"/>
      <c r="R677" s="24"/>
      <c r="S677" s="27"/>
      <c r="T677"/>
      <c r="U677" s="6"/>
      <c r="W677" s="7"/>
      <c r="Z677" s="4"/>
    </row>
    <row r="678" spans="1:26" x14ac:dyDescent="0.3">
      <c r="A678" t="s">
        <v>1049</v>
      </c>
      <c r="B678" s="16" t="s">
        <v>269</v>
      </c>
      <c r="C678" s="17" t="s">
        <v>11</v>
      </c>
      <c r="D678" s="18" t="s">
        <v>327</v>
      </c>
      <c r="E678" s="19">
        <v>19</v>
      </c>
      <c r="F678" t="s">
        <v>370</v>
      </c>
      <c r="G678" s="18" t="s">
        <v>13</v>
      </c>
      <c r="H678" s="18" t="s">
        <v>14</v>
      </c>
      <c r="I678" s="18">
        <v>36900</v>
      </c>
      <c r="J678" s="18">
        <v>1</v>
      </c>
      <c r="K678" s="19">
        <f t="shared" si="30"/>
        <v>36900</v>
      </c>
      <c r="L678" s="20">
        <v>44991</v>
      </c>
      <c r="M678" s="19" t="str">
        <f t="shared" si="31"/>
        <v>Monday</v>
      </c>
      <c r="N678" s="19" t="str">
        <f t="shared" si="32"/>
        <v>Weekday</v>
      </c>
      <c r="Q678" s="19"/>
      <c r="R678" s="18"/>
      <c r="S678" s="21"/>
      <c r="T678"/>
      <c r="U678" s="6"/>
      <c r="W678" s="7"/>
      <c r="Z678" s="4"/>
    </row>
    <row r="679" spans="1:26" x14ac:dyDescent="0.3">
      <c r="A679" t="s">
        <v>1050</v>
      </c>
      <c r="B679" s="22" t="s">
        <v>216</v>
      </c>
      <c r="C679" s="23" t="s">
        <v>11</v>
      </c>
      <c r="D679" s="24" t="s">
        <v>323</v>
      </c>
      <c r="E679" s="25">
        <v>67</v>
      </c>
      <c r="F679" t="s">
        <v>381</v>
      </c>
      <c r="G679" s="24" t="s">
        <v>32</v>
      </c>
      <c r="H679" s="24" t="s">
        <v>18</v>
      </c>
      <c r="I679" s="24">
        <v>3690</v>
      </c>
      <c r="J679" s="24">
        <v>1</v>
      </c>
      <c r="K679" s="25">
        <f t="shared" si="30"/>
        <v>3690</v>
      </c>
      <c r="L679" s="26">
        <v>45053</v>
      </c>
      <c r="M679" s="25" t="str">
        <f t="shared" si="31"/>
        <v>Sunday</v>
      </c>
      <c r="N679" s="25" t="str">
        <f t="shared" si="32"/>
        <v>Weekday</v>
      </c>
      <c r="Q679" s="25"/>
      <c r="R679" s="24"/>
      <c r="S679" s="27"/>
      <c r="T679"/>
      <c r="U679" s="6"/>
      <c r="W679" s="7"/>
      <c r="Z679" s="4"/>
    </row>
    <row r="680" spans="1:26" x14ac:dyDescent="0.3">
      <c r="A680" t="s">
        <v>1051</v>
      </c>
      <c r="B680" s="16" t="s">
        <v>50</v>
      </c>
      <c r="C680" s="17" t="s">
        <v>20</v>
      </c>
      <c r="D680" s="18" t="s">
        <v>326</v>
      </c>
      <c r="E680" s="19">
        <v>59</v>
      </c>
      <c r="F680" t="s">
        <v>370</v>
      </c>
      <c r="G680" s="18" t="s">
        <v>32</v>
      </c>
      <c r="H680" s="18" t="s">
        <v>18</v>
      </c>
      <c r="I680" s="18">
        <v>3690</v>
      </c>
      <c r="J680" s="18">
        <v>5</v>
      </c>
      <c r="K680" s="19">
        <f t="shared" si="30"/>
        <v>18450</v>
      </c>
      <c r="L680" s="20">
        <v>45267</v>
      </c>
      <c r="M680" s="19" t="str">
        <f t="shared" si="31"/>
        <v>Thursday</v>
      </c>
      <c r="N680" s="19" t="str">
        <f t="shared" si="32"/>
        <v>Weekday</v>
      </c>
      <c r="Q680" s="19"/>
      <c r="R680" s="18"/>
      <c r="S680" s="21"/>
      <c r="T680"/>
      <c r="U680" s="6"/>
      <c r="W680" s="7"/>
      <c r="Z680" s="4"/>
    </row>
    <row r="681" spans="1:26" x14ac:dyDescent="0.3">
      <c r="A681" t="s">
        <v>1052</v>
      </c>
      <c r="B681" s="22" t="s">
        <v>268</v>
      </c>
      <c r="C681" s="23" t="s">
        <v>20</v>
      </c>
      <c r="D681" s="24" t="s">
        <v>323</v>
      </c>
      <c r="E681" s="25">
        <v>55</v>
      </c>
      <c r="F681" t="s">
        <v>375</v>
      </c>
      <c r="G681" s="24" t="s">
        <v>42</v>
      </c>
      <c r="H681" s="24" t="s">
        <v>14</v>
      </c>
      <c r="I681" s="24">
        <v>98400</v>
      </c>
      <c r="J681" s="24">
        <v>4</v>
      </c>
      <c r="K681" s="25">
        <f t="shared" si="30"/>
        <v>393600</v>
      </c>
      <c r="L681" s="26">
        <v>45182</v>
      </c>
      <c r="M681" s="25" t="str">
        <f t="shared" si="31"/>
        <v>Wednesday</v>
      </c>
      <c r="N681" s="25" t="str">
        <f t="shared" si="32"/>
        <v>Weekday</v>
      </c>
      <c r="Q681" s="25"/>
      <c r="R681" s="24"/>
      <c r="S681" s="27"/>
      <c r="T681"/>
      <c r="U681" s="6"/>
      <c r="W681" s="7"/>
      <c r="Z681" s="4"/>
    </row>
    <row r="682" spans="1:26" x14ac:dyDescent="0.3">
      <c r="A682" t="s">
        <v>1053</v>
      </c>
      <c r="B682" s="16" t="s">
        <v>40</v>
      </c>
      <c r="C682" s="17" t="s">
        <v>11</v>
      </c>
      <c r="D682" s="18" t="s">
        <v>323</v>
      </c>
      <c r="E682" s="19">
        <v>57</v>
      </c>
      <c r="F682" t="s">
        <v>373</v>
      </c>
      <c r="G682" s="18" t="s">
        <v>42</v>
      </c>
      <c r="H682" s="18" t="s">
        <v>14</v>
      </c>
      <c r="I682" s="18">
        <v>98400</v>
      </c>
      <c r="J682" s="18">
        <v>3</v>
      </c>
      <c r="K682" s="19">
        <f t="shared" si="30"/>
        <v>295200</v>
      </c>
      <c r="L682" s="20">
        <v>45291</v>
      </c>
      <c r="M682" s="19" t="str">
        <f t="shared" si="31"/>
        <v>Sunday</v>
      </c>
      <c r="N682" s="19" t="str">
        <f t="shared" si="32"/>
        <v>Weekday</v>
      </c>
      <c r="Q682" s="19"/>
      <c r="R682" s="18"/>
      <c r="S682" s="21"/>
      <c r="T682"/>
      <c r="U682" s="6"/>
      <c r="W682" s="7"/>
      <c r="Z682" s="4"/>
    </row>
    <row r="683" spans="1:26" x14ac:dyDescent="0.3">
      <c r="A683" t="s">
        <v>1054</v>
      </c>
      <c r="B683" s="22" t="s">
        <v>97</v>
      </c>
      <c r="C683" s="23" t="s">
        <v>20</v>
      </c>
      <c r="D683" s="24" t="s">
        <v>322</v>
      </c>
      <c r="E683" s="25">
        <v>33</v>
      </c>
      <c r="F683" t="s">
        <v>373</v>
      </c>
      <c r="G683" s="24" t="s">
        <v>31</v>
      </c>
      <c r="H683" s="24" t="s">
        <v>18</v>
      </c>
      <c r="I683" s="24">
        <v>6150</v>
      </c>
      <c r="J683" s="24">
        <v>2</v>
      </c>
      <c r="K683" s="25">
        <f t="shared" si="30"/>
        <v>12300</v>
      </c>
      <c r="L683" s="26">
        <v>45036</v>
      </c>
      <c r="M683" s="25" t="str">
        <f t="shared" si="31"/>
        <v>Thursday</v>
      </c>
      <c r="N683" s="25" t="str">
        <f t="shared" si="32"/>
        <v>Weekday</v>
      </c>
      <c r="Q683" s="25"/>
      <c r="R683" s="24"/>
      <c r="S683" s="27"/>
      <c r="T683"/>
      <c r="U683" s="6"/>
      <c r="W683" s="7"/>
      <c r="Z683" s="4"/>
    </row>
    <row r="684" spans="1:26" x14ac:dyDescent="0.3">
      <c r="A684" t="s">
        <v>1055</v>
      </c>
      <c r="B684" s="16" t="s">
        <v>293</v>
      </c>
      <c r="C684" s="17" t="s">
        <v>20</v>
      </c>
      <c r="D684" s="18" t="s">
        <v>323</v>
      </c>
      <c r="E684" s="19">
        <v>53</v>
      </c>
      <c r="F684" t="s">
        <v>370</v>
      </c>
      <c r="G684" s="18" t="s">
        <v>13</v>
      </c>
      <c r="H684" s="18" t="s">
        <v>14</v>
      </c>
      <c r="I684" s="18">
        <v>36900</v>
      </c>
      <c r="J684" s="18">
        <v>4</v>
      </c>
      <c r="K684" s="19">
        <f t="shared" si="30"/>
        <v>147600</v>
      </c>
      <c r="L684" s="20">
        <v>45016</v>
      </c>
      <c r="M684" s="19" t="str">
        <f t="shared" si="31"/>
        <v>Friday</v>
      </c>
      <c r="N684" s="19" t="str">
        <f t="shared" si="32"/>
        <v>Weekend</v>
      </c>
      <c r="Q684" s="19"/>
      <c r="R684" s="18"/>
      <c r="S684" s="21"/>
      <c r="T684"/>
      <c r="U684" s="6"/>
      <c r="W684" s="7"/>
      <c r="Z684" s="4"/>
    </row>
    <row r="685" spans="1:26" x14ac:dyDescent="0.3">
      <c r="A685" t="s">
        <v>1056</v>
      </c>
      <c r="B685" s="22" t="s">
        <v>284</v>
      </c>
      <c r="C685" s="23" t="s">
        <v>11</v>
      </c>
      <c r="D685" s="24" t="s">
        <v>322</v>
      </c>
      <c r="E685" s="25">
        <v>46</v>
      </c>
      <c r="F685" t="s">
        <v>381</v>
      </c>
      <c r="G685" s="24" t="s">
        <v>13</v>
      </c>
      <c r="H685" s="24" t="s">
        <v>14</v>
      </c>
      <c r="I685" s="24">
        <v>36900</v>
      </c>
      <c r="J685" s="24">
        <v>4</v>
      </c>
      <c r="K685" s="25">
        <f t="shared" si="30"/>
        <v>147600</v>
      </c>
      <c r="L685" s="26">
        <v>45250</v>
      </c>
      <c r="M685" s="25" t="str">
        <f t="shared" si="31"/>
        <v>Monday</v>
      </c>
      <c r="N685" s="25" t="str">
        <f t="shared" si="32"/>
        <v>Weekday</v>
      </c>
      <c r="Q685" s="25"/>
      <c r="R685" s="24"/>
      <c r="S685" s="27"/>
      <c r="T685"/>
      <c r="U685" s="6"/>
      <c r="W685" s="7"/>
      <c r="Z685" s="4"/>
    </row>
    <row r="686" spans="1:26" x14ac:dyDescent="0.3">
      <c r="A686" t="s">
        <v>1057</v>
      </c>
      <c r="B686" s="16" t="s">
        <v>137</v>
      </c>
      <c r="C686" s="17" t="s">
        <v>11</v>
      </c>
      <c r="D686" s="18" t="s">
        <v>329</v>
      </c>
      <c r="E686" s="19">
        <v>54</v>
      </c>
      <c r="F686" t="s">
        <v>381</v>
      </c>
      <c r="G686" s="18" t="s">
        <v>32</v>
      </c>
      <c r="H686" s="18" t="s">
        <v>18</v>
      </c>
      <c r="I686" s="18">
        <v>3690</v>
      </c>
      <c r="J686" s="18">
        <v>3</v>
      </c>
      <c r="K686" s="19">
        <f t="shared" si="30"/>
        <v>11070</v>
      </c>
      <c r="L686" s="20">
        <v>45269</v>
      </c>
      <c r="M686" s="19" t="str">
        <f t="shared" si="31"/>
        <v>Saturday</v>
      </c>
      <c r="N686" s="19" t="str">
        <f t="shared" si="32"/>
        <v>Weekend</v>
      </c>
      <c r="Q686" s="19"/>
      <c r="R686" s="18"/>
      <c r="S686" s="21"/>
      <c r="T686"/>
      <c r="U686" s="6"/>
      <c r="W686" s="7"/>
      <c r="Z686" s="4"/>
    </row>
    <row r="687" spans="1:26" x14ac:dyDescent="0.3">
      <c r="A687" t="s">
        <v>1058</v>
      </c>
      <c r="B687" s="22" t="s">
        <v>294</v>
      </c>
      <c r="C687" s="23" t="s">
        <v>11</v>
      </c>
      <c r="D687" s="24" t="s">
        <v>327</v>
      </c>
      <c r="E687" s="25">
        <v>41</v>
      </c>
      <c r="F687" t="s">
        <v>373</v>
      </c>
      <c r="G687" s="24" t="s">
        <v>26</v>
      </c>
      <c r="H687" s="24" t="s">
        <v>27</v>
      </c>
      <c r="I687" s="24">
        <v>24600</v>
      </c>
      <c r="J687" s="24">
        <v>1</v>
      </c>
      <c r="K687" s="25">
        <f t="shared" si="30"/>
        <v>24600</v>
      </c>
      <c r="L687" s="26">
        <v>45083</v>
      </c>
      <c r="M687" s="25" t="str">
        <f t="shared" si="31"/>
        <v>Tuesday</v>
      </c>
      <c r="N687" s="25" t="str">
        <f t="shared" si="32"/>
        <v>Weekday</v>
      </c>
      <c r="Q687" s="25"/>
      <c r="R687" s="24"/>
      <c r="S687" s="27"/>
      <c r="T687"/>
      <c r="U687" s="6"/>
      <c r="W687" s="7"/>
      <c r="Z687" s="4"/>
    </row>
    <row r="688" spans="1:26" x14ac:dyDescent="0.3">
      <c r="A688" t="s">
        <v>1059</v>
      </c>
      <c r="B688" s="16" t="s">
        <v>148</v>
      </c>
      <c r="C688" s="17" t="s">
        <v>20</v>
      </c>
      <c r="D688" s="18" t="s">
        <v>323</v>
      </c>
      <c r="E688" s="19">
        <v>68</v>
      </c>
      <c r="F688" t="s">
        <v>370</v>
      </c>
      <c r="G688" s="18" t="s">
        <v>32</v>
      </c>
      <c r="H688" s="18" t="s">
        <v>18</v>
      </c>
      <c r="I688" s="18">
        <v>3690</v>
      </c>
      <c r="J688" s="18">
        <v>5</v>
      </c>
      <c r="K688" s="19">
        <f t="shared" si="30"/>
        <v>18450</v>
      </c>
      <c r="L688" s="20">
        <v>45272</v>
      </c>
      <c r="M688" s="19" t="str">
        <f t="shared" si="31"/>
        <v>Tuesday</v>
      </c>
      <c r="N688" s="19" t="str">
        <f t="shared" si="32"/>
        <v>Weekday</v>
      </c>
      <c r="Q688" s="19"/>
      <c r="R688" s="18"/>
      <c r="S688" s="21"/>
      <c r="T688"/>
      <c r="U688" s="6"/>
      <c r="W688" s="7"/>
      <c r="Z688" s="4"/>
    </row>
    <row r="689" spans="1:26" x14ac:dyDescent="0.3">
      <c r="A689" t="s">
        <v>1060</v>
      </c>
      <c r="B689" s="22" t="s">
        <v>40</v>
      </c>
      <c r="C689" s="23" t="s">
        <v>11</v>
      </c>
      <c r="D689" s="24" t="s">
        <v>323</v>
      </c>
      <c r="E689" s="25">
        <v>57</v>
      </c>
      <c r="F689" t="s">
        <v>375</v>
      </c>
      <c r="G689" s="24" t="s">
        <v>24</v>
      </c>
      <c r="H689" s="24" t="s">
        <v>14</v>
      </c>
      <c r="I689" s="24">
        <v>184500</v>
      </c>
      <c r="J689" s="24">
        <v>5</v>
      </c>
      <c r="K689" s="25">
        <f t="shared" si="30"/>
        <v>922500</v>
      </c>
      <c r="L689" s="26">
        <v>45137</v>
      </c>
      <c r="M689" s="25" t="str">
        <f t="shared" si="31"/>
        <v>Sunday</v>
      </c>
      <c r="N689" s="25" t="str">
        <f t="shared" si="32"/>
        <v>Weekday</v>
      </c>
      <c r="Q689" s="25"/>
      <c r="R689" s="24"/>
      <c r="S689" s="27"/>
      <c r="T689"/>
      <c r="U689" s="6"/>
      <c r="W689" s="7"/>
      <c r="Z689" s="4"/>
    </row>
    <row r="690" spans="1:26" x14ac:dyDescent="0.3">
      <c r="A690" t="s">
        <v>1061</v>
      </c>
      <c r="B690" s="16" t="s">
        <v>232</v>
      </c>
      <c r="C690" s="17" t="s">
        <v>366</v>
      </c>
      <c r="D690" s="18" t="s">
        <v>323</v>
      </c>
      <c r="E690" s="19">
        <v>42</v>
      </c>
      <c r="F690" t="s">
        <v>370</v>
      </c>
      <c r="G690" s="18" t="s">
        <v>17</v>
      </c>
      <c r="H690" s="18" t="s">
        <v>18</v>
      </c>
      <c r="I690" s="18">
        <v>12300</v>
      </c>
      <c r="J690" s="18">
        <v>5</v>
      </c>
      <c r="K690" s="19">
        <f t="shared" si="30"/>
        <v>61500</v>
      </c>
      <c r="L690" s="20">
        <v>45223</v>
      </c>
      <c r="M690" s="19" t="str">
        <f t="shared" si="31"/>
        <v>Tuesday</v>
      </c>
      <c r="N690" s="19" t="str">
        <f t="shared" si="32"/>
        <v>Weekday</v>
      </c>
      <c r="Q690" s="19"/>
      <c r="R690" s="18"/>
      <c r="S690" s="21"/>
      <c r="T690"/>
      <c r="U690" s="6"/>
      <c r="W690" s="7"/>
      <c r="Z690" s="4"/>
    </row>
    <row r="691" spans="1:26" x14ac:dyDescent="0.3">
      <c r="A691" t="s">
        <v>1062</v>
      </c>
      <c r="B691" s="22" t="s">
        <v>206</v>
      </c>
      <c r="C691" s="23" t="s">
        <v>11</v>
      </c>
      <c r="D691" s="24" t="s">
        <v>322</v>
      </c>
      <c r="E691" s="25">
        <v>69</v>
      </c>
      <c r="F691" t="s">
        <v>381</v>
      </c>
      <c r="G691" s="24" t="s">
        <v>26</v>
      </c>
      <c r="H691" s="24" t="s">
        <v>27</v>
      </c>
      <c r="I691" s="24">
        <v>24600</v>
      </c>
      <c r="J691" s="24">
        <v>5</v>
      </c>
      <c r="K691" s="25">
        <f t="shared" si="30"/>
        <v>123000</v>
      </c>
      <c r="L691" s="26">
        <v>45224</v>
      </c>
      <c r="M691" s="25" t="str">
        <f t="shared" si="31"/>
        <v>Wednesday</v>
      </c>
      <c r="N691" s="25" t="str">
        <f t="shared" si="32"/>
        <v>Weekday</v>
      </c>
      <c r="Q691" s="25"/>
      <c r="R691" s="24"/>
      <c r="S691" s="27"/>
      <c r="T691"/>
      <c r="U691" s="6"/>
      <c r="W691" s="7"/>
      <c r="Z691" s="4"/>
    </row>
    <row r="692" spans="1:26" x14ac:dyDescent="0.3">
      <c r="A692" t="s">
        <v>1063</v>
      </c>
      <c r="B692" s="16" t="s">
        <v>55</v>
      </c>
      <c r="C692" s="17" t="s">
        <v>11</v>
      </c>
      <c r="D692" s="18" t="s">
        <v>324</v>
      </c>
      <c r="E692" s="19">
        <v>55</v>
      </c>
      <c r="F692" t="s">
        <v>373</v>
      </c>
      <c r="G692" s="18" t="s">
        <v>31</v>
      </c>
      <c r="H692" s="18" t="s">
        <v>18</v>
      </c>
      <c r="I692" s="18">
        <v>6150</v>
      </c>
      <c r="J692" s="18">
        <v>3</v>
      </c>
      <c r="K692" s="19">
        <f t="shared" si="30"/>
        <v>18450</v>
      </c>
      <c r="L692" s="20">
        <v>45074</v>
      </c>
      <c r="M692" s="19" t="str">
        <f t="shared" si="31"/>
        <v>Sunday</v>
      </c>
      <c r="N692" s="19" t="str">
        <f t="shared" si="32"/>
        <v>Weekday</v>
      </c>
      <c r="Q692" s="19"/>
      <c r="R692" s="18"/>
      <c r="S692" s="21"/>
      <c r="T692"/>
      <c r="U692" s="6"/>
      <c r="W692" s="7"/>
      <c r="Z692" s="4"/>
    </row>
    <row r="693" spans="1:26" x14ac:dyDescent="0.3">
      <c r="A693" t="s">
        <v>1064</v>
      </c>
      <c r="B693" s="22" t="s">
        <v>102</v>
      </c>
      <c r="C693" s="23" t="s">
        <v>20</v>
      </c>
      <c r="D693" s="24" t="s">
        <v>322</v>
      </c>
      <c r="E693" s="25">
        <v>48</v>
      </c>
      <c r="F693" t="s">
        <v>373</v>
      </c>
      <c r="G693" s="24" t="s">
        <v>26</v>
      </c>
      <c r="H693" s="24" t="s">
        <v>27</v>
      </c>
      <c r="I693" s="24">
        <v>24600</v>
      </c>
      <c r="J693" s="24">
        <v>5</v>
      </c>
      <c r="K693" s="25">
        <f t="shared" si="30"/>
        <v>123000</v>
      </c>
      <c r="L693" s="26">
        <v>45491</v>
      </c>
      <c r="M693" s="25" t="str">
        <f t="shared" si="31"/>
        <v>Thursday</v>
      </c>
      <c r="N693" s="25" t="str">
        <f t="shared" si="32"/>
        <v>Weekday</v>
      </c>
      <c r="Q693" s="25"/>
      <c r="R693" s="24"/>
      <c r="S693" s="27"/>
      <c r="T693"/>
      <c r="U693" s="6"/>
      <c r="W693" s="7"/>
      <c r="Z693" s="4"/>
    </row>
    <row r="694" spans="1:26" x14ac:dyDescent="0.3">
      <c r="A694" t="s">
        <v>1065</v>
      </c>
      <c r="B694" s="16" t="s">
        <v>135</v>
      </c>
      <c r="C694" s="17" t="s">
        <v>366</v>
      </c>
      <c r="D694" s="18" t="s">
        <v>323</v>
      </c>
      <c r="E694" s="19">
        <v>41</v>
      </c>
      <c r="F694" t="s">
        <v>373</v>
      </c>
      <c r="G694" s="18" t="s">
        <v>13</v>
      </c>
      <c r="H694" s="18" t="s">
        <v>14</v>
      </c>
      <c r="I694" s="18">
        <v>36900</v>
      </c>
      <c r="J694" s="18">
        <v>1</v>
      </c>
      <c r="K694" s="19">
        <f t="shared" si="30"/>
        <v>36900</v>
      </c>
      <c r="L694" s="20">
        <v>45210</v>
      </c>
      <c r="M694" s="19" t="str">
        <f t="shared" si="31"/>
        <v>Wednesday</v>
      </c>
      <c r="N694" s="19" t="str">
        <f t="shared" si="32"/>
        <v>Weekday</v>
      </c>
      <c r="Q694" s="19"/>
      <c r="R694" s="18"/>
      <c r="S694" s="21"/>
      <c r="T694"/>
      <c r="U694" s="6"/>
      <c r="W694" s="7"/>
      <c r="Z694" s="4"/>
    </row>
    <row r="695" spans="1:26" x14ac:dyDescent="0.3">
      <c r="A695" t="s">
        <v>1066</v>
      </c>
      <c r="B695" s="22" t="s">
        <v>195</v>
      </c>
      <c r="C695" s="23" t="s">
        <v>20</v>
      </c>
      <c r="D695" s="24" t="s">
        <v>323</v>
      </c>
      <c r="E695" s="25">
        <v>52</v>
      </c>
      <c r="F695" t="s">
        <v>375</v>
      </c>
      <c r="G695" s="24" t="s">
        <v>13</v>
      </c>
      <c r="H695" s="24" t="s">
        <v>14</v>
      </c>
      <c r="I695" s="24">
        <v>36900</v>
      </c>
      <c r="J695" s="24">
        <v>3</v>
      </c>
      <c r="K695" s="25">
        <f t="shared" si="30"/>
        <v>110700</v>
      </c>
      <c r="L695" s="26">
        <v>44985</v>
      </c>
      <c r="M695" s="25" t="str">
        <f t="shared" si="31"/>
        <v>Tuesday</v>
      </c>
      <c r="N695" s="25" t="str">
        <f t="shared" si="32"/>
        <v>Weekday</v>
      </c>
      <c r="Q695" s="25"/>
      <c r="R695" s="24"/>
      <c r="S695" s="27"/>
      <c r="T695"/>
      <c r="U695" s="6"/>
      <c r="W695" s="7"/>
      <c r="Z695" s="4"/>
    </row>
    <row r="696" spans="1:26" x14ac:dyDescent="0.3">
      <c r="A696" t="s">
        <v>1067</v>
      </c>
      <c r="B696" s="16" t="s">
        <v>70</v>
      </c>
      <c r="C696" s="17" t="s">
        <v>11</v>
      </c>
      <c r="D696" s="18" t="s">
        <v>329</v>
      </c>
      <c r="E696" s="19">
        <v>44</v>
      </c>
      <c r="F696" t="s">
        <v>375</v>
      </c>
      <c r="G696" s="18" t="s">
        <v>26</v>
      </c>
      <c r="H696" s="18" t="s">
        <v>27</v>
      </c>
      <c r="I696" s="18">
        <v>24600</v>
      </c>
      <c r="J696" s="18">
        <v>3</v>
      </c>
      <c r="K696" s="19">
        <f t="shared" si="30"/>
        <v>73800</v>
      </c>
      <c r="L696" s="20">
        <v>45034</v>
      </c>
      <c r="M696" s="19" t="str">
        <f t="shared" si="31"/>
        <v>Tuesday</v>
      </c>
      <c r="N696" s="19" t="str">
        <f t="shared" si="32"/>
        <v>Weekday</v>
      </c>
      <c r="Q696" s="19"/>
      <c r="R696" s="18"/>
      <c r="S696" s="21"/>
      <c r="T696"/>
      <c r="U696" s="6"/>
      <c r="W696" s="7"/>
      <c r="Z696" s="4"/>
    </row>
    <row r="697" spans="1:26" x14ac:dyDescent="0.3">
      <c r="A697" t="s">
        <v>1068</v>
      </c>
      <c r="B697" s="22" t="s">
        <v>57</v>
      </c>
      <c r="C697" s="23" t="s">
        <v>366</v>
      </c>
      <c r="D697" s="24" t="s">
        <v>322</v>
      </c>
      <c r="E697" s="25">
        <v>58</v>
      </c>
      <c r="F697" t="s">
        <v>381</v>
      </c>
      <c r="G697" s="24" t="s">
        <v>42</v>
      </c>
      <c r="H697" s="24" t="s">
        <v>14</v>
      </c>
      <c r="I697" s="24">
        <v>98400</v>
      </c>
      <c r="J697" s="24">
        <v>2</v>
      </c>
      <c r="K697" s="25">
        <f t="shared" si="30"/>
        <v>196800</v>
      </c>
      <c r="L697" s="26">
        <v>45241</v>
      </c>
      <c r="M697" s="25" t="str">
        <f t="shared" si="31"/>
        <v>Saturday</v>
      </c>
      <c r="N697" s="25" t="str">
        <f t="shared" si="32"/>
        <v>Weekend</v>
      </c>
      <c r="Q697" s="25"/>
      <c r="R697" s="24"/>
      <c r="S697" s="27"/>
      <c r="T697"/>
      <c r="U697" s="6"/>
      <c r="W697" s="7"/>
      <c r="Z697" s="4"/>
    </row>
    <row r="698" spans="1:26" x14ac:dyDescent="0.3">
      <c r="A698" t="s">
        <v>1069</v>
      </c>
      <c r="B698" s="16" t="s">
        <v>65</v>
      </c>
      <c r="C698" s="17" t="s">
        <v>11</v>
      </c>
      <c r="D698" s="18" t="s">
        <v>326</v>
      </c>
      <c r="E698" s="19">
        <v>61</v>
      </c>
      <c r="F698" t="s">
        <v>370</v>
      </c>
      <c r="G698" s="18" t="s">
        <v>24</v>
      </c>
      <c r="H698" s="18" t="s">
        <v>14</v>
      </c>
      <c r="I698" s="18">
        <v>184500</v>
      </c>
      <c r="J698" s="18">
        <v>1</v>
      </c>
      <c r="K698" s="19">
        <f t="shared" si="30"/>
        <v>184500</v>
      </c>
      <c r="L698" s="20">
        <v>45170</v>
      </c>
      <c r="M698" s="19" t="str">
        <f t="shared" si="31"/>
        <v>Friday</v>
      </c>
      <c r="N698" s="19" t="str">
        <f t="shared" si="32"/>
        <v>Weekend</v>
      </c>
      <c r="Q698" s="19"/>
      <c r="R698" s="18"/>
      <c r="S698" s="21"/>
      <c r="T698"/>
      <c r="U698" s="6"/>
      <c r="W698" s="7"/>
      <c r="Z698" s="4"/>
    </row>
    <row r="699" spans="1:26" x14ac:dyDescent="0.3">
      <c r="A699" t="s">
        <v>1070</v>
      </c>
      <c r="B699" s="22" t="s">
        <v>104</v>
      </c>
      <c r="C699" s="23" t="s">
        <v>366</v>
      </c>
      <c r="D699" s="24" t="s">
        <v>326</v>
      </c>
      <c r="E699" s="25">
        <v>30</v>
      </c>
      <c r="F699" t="s">
        <v>370</v>
      </c>
      <c r="G699" s="24" t="s">
        <v>32</v>
      </c>
      <c r="H699" s="24" t="s">
        <v>18</v>
      </c>
      <c r="I699" s="24">
        <v>3690</v>
      </c>
      <c r="J699" s="24">
        <v>3</v>
      </c>
      <c r="K699" s="25">
        <f t="shared" si="30"/>
        <v>11070</v>
      </c>
      <c r="L699" s="26">
        <v>45152</v>
      </c>
      <c r="M699" s="25" t="str">
        <f t="shared" si="31"/>
        <v>Monday</v>
      </c>
      <c r="N699" s="25" t="str">
        <f t="shared" si="32"/>
        <v>Weekday</v>
      </c>
      <c r="Q699" s="25"/>
      <c r="R699" s="24"/>
      <c r="S699" s="27"/>
      <c r="T699"/>
      <c r="U699" s="6"/>
      <c r="W699" s="7"/>
      <c r="Z699" s="4"/>
    </row>
    <row r="700" spans="1:26" x14ac:dyDescent="0.3">
      <c r="A700" t="s">
        <v>1071</v>
      </c>
      <c r="B700" s="16" t="s">
        <v>112</v>
      </c>
      <c r="C700" s="17" t="s">
        <v>366</v>
      </c>
      <c r="D700" s="18" t="s">
        <v>325</v>
      </c>
      <c r="E700" s="19">
        <v>38</v>
      </c>
      <c r="F700" t="s">
        <v>370</v>
      </c>
      <c r="G700" s="18" t="s">
        <v>24</v>
      </c>
      <c r="H700" s="18" t="s">
        <v>14</v>
      </c>
      <c r="I700" s="18">
        <v>184500</v>
      </c>
      <c r="J700" s="18">
        <v>3</v>
      </c>
      <c r="K700" s="19">
        <f t="shared" si="30"/>
        <v>553500</v>
      </c>
      <c r="L700" s="20">
        <v>44960</v>
      </c>
      <c r="M700" s="19" t="str">
        <f t="shared" si="31"/>
        <v>Friday</v>
      </c>
      <c r="N700" s="19" t="str">
        <f t="shared" si="32"/>
        <v>Weekend</v>
      </c>
      <c r="Q700" s="19"/>
      <c r="R700" s="18"/>
      <c r="S700" s="21"/>
      <c r="T700"/>
      <c r="U700" s="6"/>
      <c r="W700" s="7"/>
      <c r="Z700" s="4"/>
    </row>
    <row r="701" spans="1:26" x14ac:dyDescent="0.3">
      <c r="A701" t="s">
        <v>1072</v>
      </c>
      <c r="B701" s="22" t="s">
        <v>296</v>
      </c>
      <c r="C701" s="23" t="s">
        <v>20</v>
      </c>
      <c r="D701" s="24" t="s">
        <v>322</v>
      </c>
      <c r="E701" s="25">
        <v>49</v>
      </c>
      <c r="F701" t="s">
        <v>375</v>
      </c>
      <c r="G701" s="24" t="s">
        <v>32</v>
      </c>
      <c r="H701" s="24" t="s">
        <v>18</v>
      </c>
      <c r="I701" s="24">
        <v>3690</v>
      </c>
      <c r="J701" s="24">
        <v>2</v>
      </c>
      <c r="K701" s="25">
        <f t="shared" si="30"/>
        <v>7380</v>
      </c>
      <c r="L701" s="26">
        <v>44962</v>
      </c>
      <c r="M701" s="25" t="str">
        <f t="shared" si="31"/>
        <v>Sunday</v>
      </c>
      <c r="N701" s="25" t="str">
        <f t="shared" si="32"/>
        <v>Weekday</v>
      </c>
      <c r="Q701" s="25"/>
      <c r="R701" s="24"/>
      <c r="S701" s="27"/>
      <c r="T701"/>
      <c r="U701" s="6"/>
      <c r="W701" s="7"/>
      <c r="Z701" s="4"/>
    </row>
    <row r="702" spans="1:26" x14ac:dyDescent="0.3">
      <c r="A702" t="s">
        <v>1073</v>
      </c>
      <c r="B702" s="16" t="s">
        <v>296</v>
      </c>
      <c r="C702" s="17" t="s">
        <v>20</v>
      </c>
      <c r="D702" s="18" t="s">
        <v>322</v>
      </c>
      <c r="E702" s="19">
        <v>49</v>
      </c>
      <c r="F702" t="s">
        <v>373</v>
      </c>
      <c r="G702" s="18" t="s">
        <v>13</v>
      </c>
      <c r="H702" s="18" t="s">
        <v>14</v>
      </c>
      <c r="I702" s="18">
        <v>36900</v>
      </c>
      <c r="J702" s="18">
        <v>3</v>
      </c>
      <c r="K702" s="19">
        <f t="shared" si="30"/>
        <v>110700</v>
      </c>
      <c r="L702" s="20">
        <v>44946</v>
      </c>
      <c r="M702" s="19" t="str">
        <f t="shared" si="31"/>
        <v>Friday</v>
      </c>
      <c r="N702" s="19" t="str">
        <f t="shared" si="32"/>
        <v>Weekend</v>
      </c>
      <c r="Q702" s="19"/>
      <c r="R702" s="18"/>
      <c r="S702" s="21"/>
      <c r="T702"/>
      <c r="U702" s="6"/>
      <c r="W702" s="7"/>
      <c r="Z702" s="4"/>
    </row>
    <row r="703" spans="1:26" x14ac:dyDescent="0.3">
      <c r="A703" t="s">
        <v>1074</v>
      </c>
      <c r="B703" s="22" t="s">
        <v>297</v>
      </c>
      <c r="C703" s="23" t="s">
        <v>11</v>
      </c>
      <c r="D703" s="24" t="s">
        <v>323</v>
      </c>
      <c r="E703" s="25">
        <v>39</v>
      </c>
      <c r="F703" t="s">
        <v>381</v>
      </c>
      <c r="G703" s="24" t="s">
        <v>42</v>
      </c>
      <c r="H703" s="24" t="s">
        <v>14</v>
      </c>
      <c r="I703" s="24">
        <v>98400</v>
      </c>
      <c r="J703" s="24">
        <v>3</v>
      </c>
      <c r="K703" s="25">
        <f t="shared" si="30"/>
        <v>295200</v>
      </c>
      <c r="L703" s="26">
        <v>44975</v>
      </c>
      <c r="M703" s="25" t="str">
        <f t="shared" si="31"/>
        <v>Saturday</v>
      </c>
      <c r="N703" s="25" t="str">
        <f t="shared" si="32"/>
        <v>Weekend</v>
      </c>
      <c r="Q703" s="25"/>
      <c r="R703" s="24"/>
      <c r="S703" s="27"/>
      <c r="T703"/>
      <c r="U703" s="6"/>
      <c r="W703" s="7"/>
      <c r="Z703" s="4"/>
    </row>
    <row r="704" spans="1:26" x14ac:dyDescent="0.3">
      <c r="A704" t="s">
        <v>1075</v>
      </c>
      <c r="B704" s="16" t="s">
        <v>147</v>
      </c>
      <c r="C704" s="17" t="s">
        <v>11</v>
      </c>
      <c r="D704" s="18" t="s">
        <v>322</v>
      </c>
      <c r="E704" s="19">
        <v>30</v>
      </c>
      <c r="F704" t="s">
        <v>381</v>
      </c>
      <c r="G704" s="18" t="s">
        <v>13</v>
      </c>
      <c r="H704" s="18" t="s">
        <v>14</v>
      </c>
      <c r="I704" s="18">
        <v>36900</v>
      </c>
      <c r="J704" s="18">
        <v>1</v>
      </c>
      <c r="K704" s="19">
        <f t="shared" si="30"/>
        <v>36900</v>
      </c>
      <c r="L704" s="20">
        <v>45136</v>
      </c>
      <c r="M704" s="19" t="str">
        <f t="shared" si="31"/>
        <v>Saturday</v>
      </c>
      <c r="N704" s="19" t="str">
        <f t="shared" si="32"/>
        <v>Weekend</v>
      </c>
      <c r="Q704" s="19"/>
      <c r="R704" s="18"/>
      <c r="S704" s="21"/>
      <c r="T704"/>
      <c r="U704" s="6"/>
      <c r="W704" s="7"/>
      <c r="Z704" s="4"/>
    </row>
    <row r="705" spans="1:26" x14ac:dyDescent="0.3">
      <c r="A705" t="s">
        <v>1076</v>
      </c>
      <c r="B705" s="22" t="s">
        <v>95</v>
      </c>
      <c r="C705" s="23" t="s">
        <v>11</v>
      </c>
      <c r="D705" s="24" t="s">
        <v>322</v>
      </c>
      <c r="E705" s="25">
        <v>47</v>
      </c>
      <c r="F705" t="s">
        <v>375</v>
      </c>
      <c r="G705" s="24" t="s">
        <v>24</v>
      </c>
      <c r="H705" s="24" t="s">
        <v>14</v>
      </c>
      <c r="I705" s="24">
        <v>184500</v>
      </c>
      <c r="J705" s="24">
        <v>3</v>
      </c>
      <c r="K705" s="25">
        <f t="shared" si="30"/>
        <v>553500</v>
      </c>
      <c r="L705" s="26">
        <v>45132</v>
      </c>
      <c r="M705" s="25" t="str">
        <f t="shared" si="31"/>
        <v>Tuesday</v>
      </c>
      <c r="N705" s="25" t="str">
        <f t="shared" si="32"/>
        <v>Weekday</v>
      </c>
      <c r="Q705" s="25"/>
      <c r="R705" s="24"/>
      <c r="S705" s="27"/>
      <c r="T705"/>
      <c r="U705" s="6"/>
      <c r="W705" s="7"/>
      <c r="Z705" s="4"/>
    </row>
    <row r="706" spans="1:26" x14ac:dyDescent="0.3">
      <c r="A706" t="s">
        <v>1077</v>
      </c>
      <c r="B706" s="16" t="s">
        <v>73</v>
      </c>
      <c r="C706" s="17" t="s">
        <v>11</v>
      </c>
      <c r="D706" s="18" t="s">
        <v>322</v>
      </c>
      <c r="E706" s="19">
        <v>68</v>
      </c>
      <c r="F706" t="s">
        <v>375</v>
      </c>
      <c r="G706" s="18" t="s">
        <v>13</v>
      </c>
      <c r="H706" s="18" t="s">
        <v>14</v>
      </c>
      <c r="I706" s="18">
        <v>36900</v>
      </c>
      <c r="J706" s="18">
        <v>3</v>
      </c>
      <c r="K706" s="19">
        <f t="shared" ref="K706:K769" si="33">I706*J706</f>
        <v>110700</v>
      </c>
      <c r="L706" s="20">
        <v>45276</v>
      </c>
      <c r="M706" s="19" t="str">
        <f t="shared" ref="M706:M769" si="34">TEXT(L706, "dddd")</f>
        <v>Saturday</v>
      </c>
      <c r="N706" s="19" t="str">
        <f t="shared" ref="N706:N769" si="35">IF(OR(WEEKDAY(L706, 2)=5, WEEKDAY(L706, 2)=6), "Weekend", "Weekday")</f>
        <v>Weekend</v>
      </c>
      <c r="Q706" s="19"/>
      <c r="R706" s="18"/>
      <c r="S706" s="21"/>
      <c r="T706"/>
      <c r="U706" s="6"/>
      <c r="W706" s="7"/>
      <c r="Z706" s="4"/>
    </row>
    <row r="707" spans="1:26" x14ac:dyDescent="0.3">
      <c r="A707" t="s">
        <v>1078</v>
      </c>
      <c r="B707" s="22" t="s">
        <v>216</v>
      </c>
      <c r="C707" s="23" t="s">
        <v>11</v>
      </c>
      <c r="D707" s="24" t="s">
        <v>323</v>
      </c>
      <c r="E707" s="25">
        <v>67</v>
      </c>
      <c r="F707" t="s">
        <v>373</v>
      </c>
      <c r="G707" s="24" t="s">
        <v>24</v>
      </c>
      <c r="H707" s="24" t="s">
        <v>14</v>
      </c>
      <c r="I707" s="24">
        <v>184500</v>
      </c>
      <c r="J707" s="24">
        <v>2</v>
      </c>
      <c r="K707" s="25">
        <f t="shared" si="33"/>
        <v>369000</v>
      </c>
      <c r="L707" s="26">
        <v>45015</v>
      </c>
      <c r="M707" s="25" t="str">
        <f t="shared" si="34"/>
        <v>Thursday</v>
      </c>
      <c r="N707" s="25" t="str">
        <f t="shared" si="35"/>
        <v>Weekday</v>
      </c>
      <c r="Q707" s="25"/>
      <c r="R707" s="24"/>
      <c r="S707" s="27"/>
      <c r="T707"/>
      <c r="U707" s="6"/>
      <c r="W707" s="7"/>
      <c r="Z707" s="4"/>
    </row>
    <row r="708" spans="1:26" x14ac:dyDescent="0.3">
      <c r="A708" t="s">
        <v>1079</v>
      </c>
      <c r="B708" s="16" t="s">
        <v>101</v>
      </c>
      <c r="C708" s="17" t="s">
        <v>11</v>
      </c>
      <c r="D708" s="18" t="s">
        <v>322</v>
      </c>
      <c r="E708" s="19">
        <v>19</v>
      </c>
      <c r="F708" t="s">
        <v>373</v>
      </c>
      <c r="G708" s="18" t="s">
        <v>17</v>
      </c>
      <c r="H708" s="18" t="s">
        <v>18</v>
      </c>
      <c r="I708" s="18">
        <v>12300</v>
      </c>
      <c r="J708" s="18">
        <v>2</v>
      </c>
      <c r="K708" s="19">
        <f t="shared" si="33"/>
        <v>24600</v>
      </c>
      <c r="L708" s="20">
        <v>44948</v>
      </c>
      <c r="M708" s="19" t="str">
        <f t="shared" si="34"/>
        <v>Sunday</v>
      </c>
      <c r="N708" s="19" t="str">
        <f t="shared" si="35"/>
        <v>Weekday</v>
      </c>
      <c r="Q708" s="19"/>
      <c r="R708" s="18"/>
      <c r="S708" s="21"/>
      <c r="T708"/>
      <c r="U708" s="6"/>
      <c r="W708" s="7"/>
      <c r="Z708" s="4"/>
    </row>
    <row r="709" spans="1:26" x14ac:dyDescent="0.3">
      <c r="A709" t="s">
        <v>1080</v>
      </c>
      <c r="B709" s="22" t="s">
        <v>67</v>
      </c>
      <c r="C709" s="23" t="s">
        <v>11</v>
      </c>
      <c r="D709" s="24" t="s">
        <v>327</v>
      </c>
      <c r="E709" s="25">
        <v>38</v>
      </c>
      <c r="F709" t="s">
        <v>375</v>
      </c>
      <c r="G709" s="24" t="s">
        <v>13</v>
      </c>
      <c r="H709" s="24" t="s">
        <v>14</v>
      </c>
      <c r="I709" s="24">
        <v>36900</v>
      </c>
      <c r="J709" s="24">
        <v>2</v>
      </c>
      <c r="K709" s="25">
        <f t="shared" si="33"/>
        <v>73800</v>
      </c>
      <c r="L709" s="26">
        <v>44945</v>
      </c>
      <c r="M709" s="25" t="str">
        <f t="shared" si="34"/>
        <v>Thursday</v>
      </c>
      <c r="N709" s="25" t="str">
        <f t="shared" si="35"/>
        <v>Weekday</v>
      </c>
      <c r="Q709" s="25"/>
      <c r="R709" s="24"/>
      <c r="S709" s="27"/>
      <c r="T709"/>
      <c r="U709" s="6"/>
      <c r="W709" s="7"/>
      <c r="Z709" s="4"/>
    </row>
    <row r="710" spans="1:26" x14ac:dyDescent="0.3">
      <c r="A710" t="s">
        <v>1081</v>
      </c>
      <c r="B710" s="16" t="s">
        <v>238</v>
      </c>
      <c r="C710" s="17" t="s">
        <v>366</v>
      </c>
      <c r="D710" s="18" t="s">
        <v>329</v>
      </c>
      <c r="E710" s="19">
        <v>57</v>
      </c>
      <c r="F710" t="s">
        <v>381</v>
      </c>
      <c r="G710" s="18" t="s">
        <v>26</v>
      </c>
      <c r="H710" s="18" t="s">
        <v>27</v>
      </c>
      <c r="I710" s="18">
        <v>24600</v>
      </c>
      <c r="J710" s="18">
        <v>4</v>
      </c>
      <c r="K710" s="19">
        <f t="shared" si="33"/>
        <v>98400</v>
      </c>
      <c r="L710" s="20">
        <v>45273</v>
      </c>
      <c r="M710" s="19" t="str">
        <f t="shared" si="34"/>
        <v>Wednesday</v>
      </c>
      <c r="N710" s="19" t="str">
        <f t="shared" si="35"/>
        <v>Weekday</v>
      </c>
      <c r="Q710" s="19"/>
      <c r="R710" s="18"/>
      <c r="S710" s="21"/>
      <c r="T710"/>
      <c r="U710" s="6"/>
      <c r="W710" s="7"/>
      <c r="Z710" s="4"/>
    </row>
    <row r="711" spans="1:26" x14ac:dyDescent="0.3">
      <c r="A711" t="s">
        <v>1082</v>
      </c>
      <c r="B711" s="22" t="s">
        <v>72</v>
      </c>
      <c r="C711" s="23" t="s">
        <v>11</v>
      </c>
      <c r="D711" s="24" t="s">
        <v>328</v>
      </c>
      <c r="E711" s="25">
        <v>23</v>
      </c>
      <c r="F711" t="s">
        <v>373</v>
      </c>
      <c r="G711" s="24" t="s">
        <v>42</v>
      </c>
      <c r="H711" s="24" t="s">
        <v>14</v>
      </c>
      <c r="I711" s="24">
        <v>98400</v>
      </c>
      <c r="J711" s="24">
        <v>1</v>
      </c>
      <c r="K711" s="25">
        <f t="shared" si="33"/>
        <v>98400</v>
      </c>
      <c r="L711" s="26">
        <v>45113</v>
      </c>
      <c r="M711" s="25" t="str">
        <f t="shared" si="34"/>
        <v>Thursday</v>
      </c>
      <c r="N711" s="25" t="str">
        <f t="shared" si="35"/>
        <v>Weekday</v>
      </c>
      <c r="Q711" s="25"/>
      <c r="R711" s="24"/>
      <c r="S711" s="27"/>
      <c r="T711"/>
      <c r="U711" s="6"/>
      <c r="W711" s="7"/>
      <c r="Z711" s="4"/>
    </row>
    <row r="712" spans="1:26" x14ac:dyDescent="0.3">
      <c r="A712" t="s">
        <v>1083</v>
      </c>
      <c r="B712" s="16" t="s">
        <v>188</v>
      </c>
      <c r="C712" s="17" t="s">
        <v>20</v>
      </c>
      <c r="D712" s="18" t="s">
        <v>322</v>
      </c>
      <c r="E712" s="19">
        <v>40</v>
      </c>
      <c r="F712" t="s">
        <v>373</v>
      </c>
      <c r="G712" s="18" t="s">
        <v>13</v>
      </c>
      <c r="H712" s="18" t="s">
        <v>14</v>
      </c>
      <c r="I712" s="18">
        <v>36900</v>
      </c>
      <c r="J712" s="18">
        <v>1</v>
      </c>
      <c r="K712" s="19">
        <f t="shared" si="33"/>
        <v>36900</v>
      </c>
      <c r="L712" s="20">
        <v>45129</v>
      </c>
      <c r="M712" s="19" t="str">
        <f t="shared" si="34"/>
        <v>Saturday</v>
      </c>
      <c r="N712" s="19" t="str">
        <f t="shared" si="35"/>
        <v>Weekend</v>
      </c>
      <c r="Q712" s="19"/>
      <c r="R712" s="18"/>
      <c r="S712" s="21"/>
      <c r="T712"/>
      <c r="U712" s="6"/>
      <c r="W712" s="7"/>
      <c r="Z712" s="4"/>
    </row>
    <row r="713" spans="1:26" x14ac:dyDescent="0.3">
      <c r="A713" t="s">
        <v>1084</v>
      </c>
      <c r="B713" s="22" t="s">
        <v>167</v>
      </c>
      <c r="C713" s="23" t="s">
        <v>11</v>
      </c>
      <c r="D713" s="24" t="s">
        <v>322</v>
      </c>
      <c r="E713" s="25">
        <v>66</v>
      </c>
      <c r="F713" t="s">
        <v>381</v>
      </c>
      <c r="G713" s="24" t="s">
        <v>31</v>
      </c>
      <c r="H713" s="24" t="s">
        <v>18</v>
      </c>
      <c r="I713" s="24">
        <v>6150</v>
      </c>
      <c r="J713" s="24">
        <v>4</v>
      </c>
      <c r="K713" s="25">
        <f t="shared" si="33"/>
        <v>24600</v>
      </c>
      <c r="L713" s="26">
        <v>45083</v>
      </c>
      <c r="M713" s="25" t="str">
        <f t="shared" si="34"/>
        <v>Tuesday</v>
      </c>
      <c r="N713" s="25" t="str">
        <f t="shared" si="35"/>
        <v>Weekday</v>
      </c>
      <c r="Q713" s="25"/>
      <c r="R713" s="24"/>
      <c r="S713" s="27"/>
      <c r="T713"/>
      <c r="U713" s="6"/>
      <c r="W713" s="7"/>
      <c r="Z713" s="4"/>
    </row>
    <row r="714" spans="1:26" x14ac:dyDescent="0.3">
      <c r="A714" t="s">
        <v>1085</v>
      </c>
      <c r="B714" s="16" t="s">
        <v>186</v>
      </c>
      <c r="C714" s="17" t="s">
        <v>20</v>
      </c>
      <c r="D714" s="18" t="s">
        <v>324</v>
      </c>
      <c r="E714" s="19">
        <v>51</v>
      </c>
      <c r="F714" t="s">
        <v>373</v>
      </c>
      <c r="G714" s="18" t="s">
        <v>13</v>
      </c>
      <c r="H714" s="18" t="s">
        <v>14</v>
      </c>
      <c r="I714" s="18">
        <v>36900</v>
      </c>
      <c r="J714" s="18">
        <v>5</v>
      </c>
      <c r="K714" s="19">
        <f t="shared" si="33"/>
        <v>184500</v>
      </c>
      <c r="L714" s="20">
        <v>45141</v>
      </c>
      <c r="M714" s="19" t="str">
        <f t="shared" si="34"/>
        <v>Thursday</v>
      </c>
      <c r="N714" s="19" t="str">
        <f t="shared" si="35"/>
        <v>Weekday</v>
      </c>
      <c r="Q714" s="19"/>
      <c r="R714" s="18"/>
      <c r="S714" s="21"/>
      <c r="T714"/>
      <c r="U714" s="6"/>
      <c r="W714" s="7"/>
      <c r="Z714" s="4"/>
    </row>
    <row r="715" spans="1:26" x14ac:dyDescent="0.3">
      <c r="A715" t="s">
        <v>1086</v>
      </c>
      <c r="B715" s="22" t="s">
        <v>175</v>
      </c>
      <c r="C715" s="23" t="s">
        <v>20</v>
      </c>
      <c r="D715" s="24" t="s">
        <v>322</v>
      </c>
      <c r="E715" s="25">
        <v>60</v>
      </c>
      <c r="F715" t="s">
        <v>381</v>
      </c>
      <c r="G715" s="24" t="s">
        <v>13</v>
      </c>
      <c r="H715" s="24" t="s">
        <v>14</v>
      </c>
      <c r="I715" s="24">
        <v>36900</v>
      </c>
      <c r="J715" s="24">
        <v>2</v>
      </c>
      <c r="K715" s="25">
        <f t="shared" si="33"/>
        <v>73800</v>
      </c>
      <c r="L715" s="26">
        <v>44938</v>
      </c>
      <c r="M715" s="25" t="str">
        <f t="shared" si="34"/>
        <v>Thursday</v>
      </c>
      <c r="N715" s="25" t="str">
        <f t="shared" si="35"/>
        <v>Weekday</v>
      </c>
      <c r="Q715" s="25"/>
      <c r="R715" s="24"/>
      <c r="S715" s="27"/>
      <c r="T715"/>
      <c r="U715" s="6"/>
      <c r="W715" s="7"/>
      <c r="Z715" s="4"/>
    </row>
    <row r="716" spans="1:26" x14ac:dyDescent="0.3">
      <c r="A716" t="s">
        <v>1087</v>
      </c>
      <c r="B716" s="16" t="s">
        <v>224</v>
      </c>
      <c r="C716" s="17" t="s">
        <v>11</v>
      </c>
      <c r="D716" s="18" t="s">
        <v>323</v>
      </c>
      <c r="E716" s="19">
        <v>67</v>
      </c>
      <c r="F716" t="s">
        <v>370</v>
      </c>
      <c r="G716" s="18" t="s">
        <v>31</v>
      </c>
      <c r="H716" s="18" t="s">
        <v>18</v>
      </c>
      <c r="I716" s="18">
        <v>6150</v>
      </c>
      <c r="J716" s="18">
        <v>1</v>
      </c>
      <c r="K716" s="19">
        <f t="shared" si="33"/>
        <v>6150</v>
      </c>
      <c r="L716" s="20">
        <v>45136</v>
      </c>
      <c r="M716" s="19" t="str">
        <f t="shared" si="34"/>
        <v>Saturday</v>
      </c>
      <c r="N716" s="19" t="str">
        <f t="shared" si="35"/>
        <v>Weekend</v>
      </c>
      <c r="Q716" s="19"/>
      <c r="R716" s="18"/>
      <c r="S716" s="21"/>
      <c r="T716"/>
      <c r="U716" s="6"/>
      <c r="W716" s="7"/>
      <c r="Z716" s="4"/>
    </row>
    <row r="717" spans="1:26" x14ac:dyDescent="0.3">
      <c r="A717" t="s">
        <v>1088</v>
      </c>
      <c r="B717" s="22" t="s">
        <v>195</v>
      </c>
      <c r="C717" s="23" t="s">
        <v>20</v>
      </c>
      <c r="D717" s="24" t="s">
        <v>323</v>
      </c>
      <c r="E717" s="25">
        <v>52</v>
      </c>
      <c r="F717" t="s">
        <v>373</v>
      </c>
      <c r="G717" s="24" t="s">
        <v>42</v>
      </c>
      <c r="H717" s="24" t="s">
        <v>14</v>
      </c>
      <c r="I717" s="24">
        <v>98400</v>
      </c>
      <c r="J717" s="24">
        <v>4</v>
      </c>
      <c r="K717" s="25">
        <f t="shared" si="33"/>
        <v>393600</v>
      </c>
      <c r="L717" s="26">
        <v>45158</v>
      </c>
      <c r="M717" s="25" t="str">
        <f t="shared" si="34"/>
        <v>Sunday</v>
      </c>
      <c r="N717" s="25" t="str">
        <f t="shared" si="35"/>
        <v>Weekday</v>
      </c>
      <c r="Q717" s="25"/>
      <c r="R717" s="24"/>
      <c r="S717" s="27"/>
      <c r="T717"/>
      <c r="U717" s="6"/>
      <c r="W717" s="7"/>
      <c r="Z717" s="4"/>
    </row>
    <row r="718" spans="1:26" x14ac:dyDescent="0.3">
      <c r="A718" t="s">
        <v>1089</v>
      </c>
      <c r="B718" s="16" t="s">
        <v>92</v>
      </c>
      <c r="C718" s="17" t="s">
        <v>11</v>
      </c>
      <c r="D718" s="18" t="s">
        <v>323</v>
      </c>
      <c r="E718" s="19">
        <v>50</v>
      </c>
      <c r="F718" t="s">
        <v>373</v>
      </c>
      <c r="G718" s="18" t="s">
        <v>32</v>
      </c>
      <c r="H718" s="18" t="s">
        <v>18</v>
      </c>
      <c r="I718" s="18">
        <v>3690</v>
      </c>
      <c r="J718" s="18">
        <v>4</v>
      </c>
      <c r="K718" s="19">
        <f t="shared" si="33"/>
        <v>14760</v>
      </c>
      <c r="L718" s="20">
        <v>44994</v>
      </c>
      <c r="M718" s="19" t="str">
        <f t="shared" si="34"/>
        <v>Thursday</v>
      </c>
      <c r="N718" s="19" t="str">
        <f t="shared" si="35"/>
        <v>Weekday</v>
      </c>
      <c r="Q718" s="19"/>
      <c r="R718" s="18"/>
      <c r="S718" s="21"/>
      <c r="T718"/>
      <c r="U718" s="6"/>
      <c r="W718" s="7"/>
      <c r="Z718" s="4"/>
    </row>
    <row r="719" spans="1:26" x14ac:dyDescent="0.3">
      <c r="A719" t="s">
        <v>1090</v>
      </c>
      <c r="B719" s="22" t="s">
        <v>66</v>
      </c>
      <c r="C719" s="23" t="s">
        <v>11</v>
      </c>
      <c r="D719" s="24" t="s">
        <v>322</v>
      </c>
      <c r="E719" s="25">
        <v>19</v>
      </c>
      <c r="F719" t="s">
        <v>370</v>
      </c>
      <c r="G719" s="24" t="s">
        <v>26</v>
      </c>
      <c r="H719" s="24" t="s">
        <v>27</v>
      </c>
      <c r="I719" s="24">
        <v>24600</v>
      </c>
      <c r="J719" s="24">
        <v>3</v>
      </c>
      <c r="K719" s="25">
        <f t="shared" si="33"/>
        <v>73800</v>
      </c>
      <c r="L719" s="26">
        <v>45248</v>
      </c>
      <c r="M719" s="25" t="str">
        <f t="shared" si="34"/>
        <v>Saturday</v>
      </c>
      <c r="N719" s="25" t="str">
        <f t="shared" si="35"/>
        <v>Weekend</v>
      </c>
      <c r="Q719" s="25"/>
      <c r="R719" s="24"/>
      <c r="S719" s="27"/>
      <c r="T719"/>
      <c r="U719" s="6"/>
      <c r="W719" s="7"/>
      <c r="Z719" s="4"/>
    </row>
    <row r="720" spans="1:26" x14ac:dyDescent="0.3">
      <c r="A720" t="s">
        <v>1091</v>
      </c>
      <c r="B720" s="16" t="s">
        <v>23</v>
      </c>
      <c r="C720" s="17" t="s">
        <v>11</v>
      </c>
      <c r="D720" s="18" t="s">
        <v>322</v>
      </c>
      <c r="E720" s="19">
        <v>65</v>
      </c>
      <c r="F720" t="s">
        <v>381</v>
      </c>
      <c r="G720" s="18" t="s">
        <v>32</v>
      </c>
      <c r="H720" s="18" t="s">
        <v>18</v>
      </c>
      <c r="I720" s="18">
        <v>3690</v>
      </c>
      <c r="J720" s="18">
        <v>5</v>
      </c>
      <c r="K720" s="19">
        <f t="shared" si="33"/>
        <v>18450</v>
      </c>
      <c r="L720" s="20">
        <v>45169</v>
      </c>
      <c r="M720" s="19" t="str">
        <f t="shared" si="34"/>
        <v>Thursday</v>
      </c>
      <c r="N720" s="19" t="str">
        <f t="shared" si="35"/>
        <v>Weekday</v>
      </c>
      <c r="Q720" s="19"/>
      <c r="R720" s="18"/>
      <c r="S720" s="21"/>
      <c r="T720"/>
      <c r="U720" s="6"/>
      <c r="W720" s="7"/>
      <c r="Z720" s="4"/>
    </row>
    <row r="721" spans="1:26" x14ac:dyDescent="0.3">
      <c r="A721" t="s">
        <v>1092</v>
      </c>
      <c r="B721" s="22" t="s">
        <v>85</v>
      </c>
      <c r="C721" s="23" t="s">
        <v>11</v>
      </c>
      <c r="D721" s="24" t="s">
        <v>326</v>
      </c>
      <c r="E721" s="25">
        <v>36</v>
      </c>
      <c r="F721" t="s">
        <v>373</v>
      </c>
      <c r="G721" s="24" t="s">
        <v>13</v>
      </c>
      <c r="H721" s="24" t="s">
        <v>14</v>
      </c>
      <c r="I721" s="24">
        <v>36900</v>
      </c>
      <c r="J721" s="24">
        <v>4</v>
      </c>
      <c r="K721" s="25">
        <f t="shared" si="33"/>
        <v>147600</v>
      </c>
      <c r="L721" s="26">
        <v>45155</v>
      </c>
      <c r="M721" s="25" t="str">
        <f t="shared" si="34"/>
        <v>Thursday</v>
      </c>
      <c r="N721" s="25" t="str">
        <f t="shared" si="35"/>
        <v>Weekday</v>
      </c>
      <c r="Q721" s="25"/>
      <c r="R721" s="24"/>
      <c r="S721" s="27"/>
      <c r="T721"/>
      <c r="U721" s="6"/>
      <c r="W721" s="7"/>
      <c r="Z721" s="4"/>
    </row>
    <row r="722" spans="1:26" x14ac:dyDescent="0.3">
      <c r="A722" t="s">
        <v>1093</v>
      </c>
      <c r="B722" s="16" t="s">
        <v>253</v>
      </c>
      <c r="C722" s="17" t="s">
        <v>366</v>
      </c>
      <c r="D722" s="18" t="s">
        <v>323</v>
      </c>
      <c r="E722" s="19">
        <v>51</v>
      </c>
      <c r="F722" t="s">
        <v>370</v>
      </c>
      <c r="G722" s="18" t="s">
        <v>31</v>
      </c>
      <c r="H722" s="18" t="s">
        <v>18</v>
      </c>
      <c r="I722" s="18">
        <v>6150</v>
      </c>
      <c r="J722" s="18">
        <v>5</v>
      </c>
      <c r="K722" s="19">
        <f t="shared" si="33"/>
        <v>30750</v>
      </c>
      <c r="L722" s="20">
        <v>45145</v>
      </c>
      <c r="M722" s="19" t="str">
        <f t="shared" si="34"/>
        <v>Monday</v>
      </c>
      <c r="N722" s="19" t="str">
        <f t="shared" si="35"/>
        <v>Weekday</v>
      </c>
      <c r="Q722" s="19"/>
      <c r="R722" s="18"/>
      <c r="S722" s="21"/>
      <c r="T722"/>
      <c r="U722" s="6"/>
      <c r="W722" s="7"/>
      <c r="Z722" s="4"/>
    </row>
    <row r="723" spans="1:26" x14ac:dyDescent="0.3">
      <c r="A723" t="s">
        <v>1094</v>
      </c>
      <c r="B723" s="22" t="s">
        <v>298</v>
      </c>
      <c r="C723" s="23" t="s">
        <v>20</v>
      </c>
      <c r="D723" s="24" t="s">
        <v>324</v>
      </c>
      <c r="E723" s="25">
        <v>65</v>
      </c>
      <c r="F723" t="s">
        <v>381</v>
      </c>
      <c r="G723" s="24" t="s">
        <v>31</v>
      </c>
      <c r="H723" s="24" t="s">
        <v>18</v>
      </c>
      <c r="I723" s="24">
        <v>6150</v>
      </c>
      <c r="J723" s="24">
        <v>3</v>
      </c>
      <c r="K723" s="25">
        <f t="shared" si="33"/>
        <v>18450</v>
      </c>
      <c r="L723" s="26">
        <v>45247</v>
      </c>
      <c r="M723" s="25" t="str">
        <f t="shared" si="34"/>
        <v>Friday</v>
      </c>
      <c r="N723" s="25" t="str">
        <f t="shared" si="35"/>
        <v>Weekend</v>
      </c>
      <c r="Q723" s="25"/>
      <c r="R723" s="24"/>
      <c r="S723" s="27"/>
      <c r="T723"/>
      <c r="U723" s="6"/>
      <c r="W723" s="7"/>
      <c r="Z723" s="4"/>
    </row>
    <row r="724" spans="1:26" x14ac:dyDescent="0.3">
      <c r="A724" t="s">
        <v>1095</v>
      </c>
      <c r="B724" s="16" t="s">
        <v>240</v>
      </c>
      <c r="C724" s="17" t="s">
        <v>20</v>
      </c>
      <c r="D724" s="18" t="s">
        <v>323</v>
      </c>
      <c r="E724" s="19">
        <v>58</v>
      </c>
      <c r="F724" t="s">
        <v>373</v>
      </c>
      <c r="G724" s="18" t="s">
        <v>13</v>
      </c>
      <c r="H724" s="18" t="s">
        <v>14</v>
      </c>
      <c r="I724" s="18">
        <v>36900</v>
      </c>
      <c r="J724" s="18">
        <v>4</v>
      </c>
      <c r="K724" s="19">
        <f t="shared" si="33"/>
        <v>147600</v>
      </c>
      <c r="L724" s="20">
        <v>45016</v>
      </c>
      <c r="M724" s="19" t="str">
        <f t="shared" si="34"/>
        <v>Friday</v>
      </c>
      <c r="N724" s="19" t="str">
        <f t="shared" si="35"/>
        <v>Weekend</v>
      </c>
      <c r="Q724" s="19"/>
      <c r="R724" s="18"/>
      <c r="S724" s="21"/>
      <c r="T724"/>
      <c r="U724" s="6"/>
      <c r="W724" s="7"/>
      <c r="Z724" s="4"/>
    </row>
    <row r="725" spans="1:26" x14ac:dyDescent="0.3">
      <c r="A725" t="s">
        <v>1096</v>
      </c>
      <c r="B725" s="22" t="s">
        <v>292</v>
      </c>
      <c r="C725" s="23" t="s">
        <v>366</v>
      </c>
      <c r="D725" s="24" t="s">
        <v>322</v>
      </c>
      <c r="E725" s="25">
        <v>22</v>
      </c>
      <c r="F725" t="s">
        <v>375</v>
      </c>
      <c r="G725" s="24" t="s">
        <v>17</v>
      </c>
      <c r="H725" s="24" t="s">
        <v>18</v>
      </c>
      <c r="I725" s="24">
        <v>12300</v>
      </c>
      <c r="J725" s="24">
        <v>3</v>
      </c>
      <c r="K725" s="25">
        <f t="shared" si="33"/>
        <v>36900</v>
      </c>
      <c r="L725" s="26">
        <v>45127</v>
      </c>
      <c r="M725" s="25" t="str">
        <f t="shared" si="34"/>
        <v>Thursday</v>
      </c>
      <c r="N725" s="25" t="str">
        <f t="shared" si="35"/>
        <v>Weekday</v>
      </c>
      <c r="Q725" s="25"/>
      <c r="R725" s="24"/>
      <c r="S725" s="27"/>
      <c r="T725"/>
      <c r="U725" s="6"/>
      <c r="W725" s="7"/>
      <c r="Z725" s="4"/>
    </row>
    <row r="726" spans="1:26" x14ac:dyDescent="0.3">
      <c r="A726" t="s">
        <v>1097</v>
      </c>
      <c r="B726" s="16" t="s">
        <v>172</v>
      </c>
      <c r="C726" s="17" t="s">
        <v>20</v>
      </c>
      <c r="D726" s="18" t="s">
        <v>327</v>
      </c>
      <c r="E726" s="19">
        <v>57</v>
      </c>
      <c r="F726" t="s">
        <v>370</v>
      </c>
      <c r="G726" s="18" t="s">
        <v>32</v>
      </c>
      <c r="H726" s="18" t="s">
        <v>18</v>
      </c>
      <c r="I726" s="18">
        <v>3690</v>
      </c>
      <c r="J726" s="18">
        <v>4</v>
      </c>
      <c r="K726" s="19">
        <f t="shared" si="33"/>
        <v>14760</v>
      </c>
      <c r="L726" s="20">
        <v>45089</v>
      </c>
      <c r="M726" s="19" t="str">
        <f t="shared" si="34"/>
        <v>Monday</v>
      </c>
      <c r="N726" s="19" t="str">
        <f t="shared" si="35"/>
        <v>Weekday</v>
      </c>
      <c r="Q726" s="19"/>
      <c r="R726" s="18"/>
      <c r="S726" s="21"/>
      <c r="T726"/>
      <c r="U726" s="6"/>
      <c r="W726" s="7"/>
      <c r="Z726" s="4"/>
    </row>
    <row r="727" spans="1:26" x14ac:dyDescent="0.3">
      <c r="A727" t="s">
        <v>1098</v>
      </c>
      <c r="B727" s="22" t="s">
        <v>291</v>
      </c>
      <c r="C727" s="23" t="s">
        <v>11</v>
      </c>
      <c r="D727" s="24" t="s">
        <v>324</v>
      </c>
      <c r="E727" s="25">
        <v>67</v>
      </c>
      <c r="F727" t="s">
        <v>381</v>
      </c>
      <c r="G727" s="24" t="s">
        <v>17</v>
      </c>
      <c r="H727" s="24" t="s">
        <v>18</v>
      </c>
      <c r="I727" s="24">
        <v>12300</v>
      </c>
      <c r="J727" s="24">
        <v>5</v>
      </c>
      <c r="K727" s="25">
        <f t="shared" si="33"/>
        <v>61500</v>
      </c>
      <c r="L727" s="26">
        <v>45085</v>
      </c>
      <c r="M727" s="25" t="str">
        <f t="shared" si="34"/>
        <v>Thursday</v>
      </c>
      <c r="N727" s="25" t="str">
        <f t="shared" si="35"/>
        <v>Weekday</v>
      </c>
      <c r="Q727" s="25"/>
      <c r="R727" s="24"/>
      <c r="S727" s="27"/>
      <c r="T727"/>
      <c r="U727" s="6"/>
      <c r="W727" s="7"/>
      <c r="Z727" s="4"/>
    </row>
    <row r="728" spans="1:26" x14ac:dyDescent="0.3">
      <c r="A728" t="s">
        <v>1099</v>
      </c>
      <c r="B728" s="16" t="s">
        <v>274</v>
      </c>
      <c r="C728" s="17" t="s">
        <v>11</v>
      </c>
      <c r="D728" s="18" t="s">
        <v>326</v>
      </c>
      <c r="E728" s="19">
        <v>51</v>
      </c>
      <c r="F728" t="s">
        <v>375</v>
      </c>
      <c r="G728" s="18" t="s">
        <v>17</v>
      </c>
      <c r="H728" s="18" t="s">
        <v>18</v>
      </c>
      <c r="I728" s="18">
        <v>12300</v>
      </c>
      <c r="J728" s="18">
        <v>4</v>
      </c>
      <c r="K728" s="19">
        <f t="shared" si="33"/>
        <v>49200</v>
      </c>
      <c r="L728" s="20">
        <v>45268</v>
      </c>
      <c r="M728" s="19" t="str">
        <f t="shared" si="34"/>
        <v>Friday</v>
      </c>
      <c r="N728" s="19" t="str">
        <f t="shared" si="35"/>
        <v>Weekend</v>
      </c>
      <c r="Q728" s="19"/>
      <c r="R728" s="18"/>
      <c r="S728" s="21"/>
      <c r="T728"/>
      <c r="U728" s="6"/>
      <c r="W728" s="7"/>
      <c r="Z728" s="4"/>
    </row>
    <row r="729" spans="1:26" x14ac:dyDescent="0.3">
      <c r="A729" t="s">
        <v>1100</v>
      </c>
      <c r="B729" s="22" t="s">
        <v>299</v>
      </c>
      <c r="C729" s="23" t="s">
        <v>366</v>
      </c>
      <c r="D729" s="24" t="s">
        <v>329</v>
      </c>
      <c r="E729" s="25">
        <v>44</v>
      </c>
      <c r="F729" t="s">
        <v>381</v>
      </c>
      <c r="G729" s="24" t="s">
        <v>24</v>
      </c>
      <c r="H729" s="24" t="s">
        <v>14</v>
      </c>
      <c r="I729" s="24">
        <v>184500</v>
      </c>
      <c r="J729" s="24">
        <v>5</v>
      </c>
      <c r="K729" s="25">
        <f t="shared" si="33"/>
        <v>922500</v>
      </c>
      <c r="L729" s="26">
        <v>45237</v>
      </c>
      <c r="M729" s="25" t="str">
        <f t="shared" si="34"/>
        <v>Tuesday</v>
      </c>
      <c r="N729" s="25" t="str">
        <f t="shared" si="35"/>
        <v>Weekday</v>
      </c>
      <c r="Q729" s="25"/>
      <c r="R729" s="24"/>
      <c r="S729" s="27"/>
      <c r="T729"/>
      <c r="U729" s="6"/>
      <c r="W729" s="7"/>
      <c r="Z729" s="4"/>
    </row>
    <row r="730" spans="1:26" x14ac:dyDescent="0.3">
      <c r="A730" t="s">
        <v>1101</v>
      </c>
      <c r="B730" s="16" t="s">
        <v>37</v>
      </c>
      <c r="C730" s="17" t="s">
        <v>11</v>
      </c>
      <c r="D730" s="18" t="s">
        <v>323</v>
      </c>
      <c r="E730" s="19">
        <v>60</v>
      </c>
      <c r="F730" t="s">
        <v>375</v>
      </c>
      <c r="G730" s="18" t="s">
        <v>26</v>
      </c>
      <c r="H730" s="18" t="s">
        <v>27</v>
      </c>
      <c r="I730" s="18">
        <v>24600</v>
      </c>
      <c r="J730" s="18">
        <v>1</v>
      </c>
      <c r="K730" s="19">
        <f t="shared" si="33"/>
        <v>24600</v>
      </c>
      <c r="L730" s="20">
        <v>45262</v>
      </c>
      <c r="M730" s="19" t="str">
        <f t="shared" si="34"/>
        <v>Saturday</v>
      </c>
      <c r="N730" s="19" t="str">
        <f t="shared" si="35"/>
        <v>Weekend</v>
      </c>
      <c r="Q730" s="19"/>
      <c r="R730" s="18"/>
      <c r="S730" s="21"/>
      <c r="T730"/>
      <c r="U730" s="6"/>
      <c r="W730" s="7"/>
      <c r="Z730" s="4"/>
    </row>
    <row r="731" spans="1:26" x14ac:dyDescent="0.3">
      <c r="A731" t="s">
        <v>1102</v>
      </c>
      <c r="B731" s="22" t="s">
        <v>189</v>
      </c>
      <c r="C731" s="23" t="s">
        <v>20</v>
      </c>
      <c r="D731" s="24" t="s">
        <v>322</v>
      </c>
      <c r="E731" s="25">
        <v>48</v>
      </c>
      <c r="F731" t="s">
        <v>375</v>
      </c>
      <c r="G731" s="24" t="s">
        <v>31</v>
      </c>
      <c r="H731" s="24" t="s">
        <v>18</v>
      </c>
      <c r="I731" s="24">
        <v>6150</v>
      </c>
      <c r="J731" s="24">
        <v>3</v>
      </c>
      <c r="K731" s="25">
        <f t="shared" si="33"/>
        <v>18450</v>
      </c>
      <c r="L731" s="26">
        <v>45230</v>
      </c>
      <c r="M731" s="25" t="str">
        <f t="shared" si="34"/>
        <v>Tuesday</v>
      </c>
      <c r="N731" s="25" t="str">
        <f t="shared" si="35"/>
        <v>Weekday</v>
      </c>
      <c r="Q731" s="25"/>
      <c r="R731" s="24"/>
      <c r="S731" s="27"/>
      <c r="T731"/>
      <c r="U731" s="6"/>
      <c r="W731" s="7"/>
      <c r="Z731" s="4"/>
    </row>
    <row r="732" spans="1:26" x14ac:dyDescent="0.3">
      <c r="A732" t="s">
        <v>1103</v>
      </c>
      <c r="B732" s="16" t="s">
        <v>279</v>
      </c>
      <c r="C732" s="17" t="s">
        <v>20</v>
      </c>
      <c r="D732" s="18" t="s">
        <v>323</v>
      </c>
      <c r="E732" s="19">
        <v>29</v>
      </c>
      <c r="F732" t="s">
        <v>370</v>
      </c>
      <c r="G732" s="18" t="s">
        <v>13</v>
      </c>
      <c r="H732" s="18" t="s">
        <v>14</v>
      </c>
      <c r="I732" s="18">
        <v>36900</v>
      </c>
      <c r="J732" s="18">
        <v>5</v>
      </c>
      <c r="K732" s="19">
        <f t="shared" si="33"/>
        <v>184500</v>
      </c>
      <c r="L732" s="20">
        <v>45175</v>
      </c>
      <c r="M732" s="19" t="str">
        <f t="shared" si="34"/>
        <v>Wednesday</v>
      </c>
      <c r="N732" s="19" t="str">
        <f t="shared" si="35"/>
        <v>Weekday</v>
      </c>
      <c r="Q732" s="19"/>
      <c r="R732" s="18"/>
      <c r="S732" s="21"/>
      <c r="T732"/>
      <c r="U732" s="6"/>
      <c r="W732" s="7"/>
      <c r="Z732" s="4"/>
    </row>
    <row r="733" spans="1:26" x14ac:dyDescent="0.3">
      <c r="A733" t="s">
        <v>1104</v>
      </c>
      <c r="B733" s="22" t="s">
        <v>140</v>
      </c>
      <c r="C733" s="23" t="s">
        <v>20</v>
      </c>
      <c r="D733" s="24" t="s">
        <v>327</v>
      </c>
      <c r="E733" s="25">
        <v>44</v>
      </c>
      <c r="F733" t="s">
        <v>370</v>
      </c>
      <c r="G733" s="24" t="s">
        <v>31</v>
      </c>
      <c r="H733" s="24" t="s">
        <v>18</v>
      </c>
      <c r="I733" s="24">
        <v>6150</v>
      </c>
      <c r="J733" s="24">
        <v>3</v>
      </c>
      <c r="K733" s="25">
        <f t="shared" si="33"/>
        <v>18450</v>
      </c>
      <c r="L733" s="26">
        <v>44990</v>
      </c>
      <c r="M733" s="25" t="str">
        <f t="shared" si="34"/>
        <v>Sunday</v>
      </c>
      <c r="N733" s="25" t="str">
        <f t="shared" si="35"/>
        <v>Weekday</v>
      </c>
      <c r="Q733" s="25"/>
      <c r="R733" s="24"/>
      <c r="S733" s="27"/>
      <c r="T733"/>
      <c r="U733" s="6"/>
      <c r="W733" s="7"/>
      <c r="Z733" s="4"/>
    </row>
    <row r="734" spans="1:26" x14ac:dyDescent="0.3">
      <c r="A734" t="s">
        <v>1105</v>
      </c>
      <c r="B734" s="16" t="s">
        <v>300</v>
      </c>
      <c r="C734" s="17" t="s">
        <v>20</v>
      </c>
      <c r="D734" s="18" t="s">
        <v>324</v>
      </c>
      <c r="E734" s="19">
        <v>35</v>
      </c>
      <c r="F734" t="s">
        <v>375</v>
      </c>
      <c r="G734" s="18" t="s">
        <v>42</v>
      </c>
      <c r="H734" s="18" t="s">
        <v>14</v>
      </c>
      <c r="I734" s="18">
        <v>98400</v>
      </c>
      <c r="J734" s="18">
        <v>1</v>
      </c>
      <c r="K734" s="19">
        <f t="shared" si="33"/>
        <v>98400</v>
      </c>
      <c r="L734" s="20">
        <v>45053</v>
      </c>
      <c r="M734" s="19" t="str">
        <f t="shared" si="34"/>
        <v>Sunday</v>
      </c>
      <c r="N734" s="19" t="str">
        <f t="shared" si="35"/>
        <v>Weekday</v>
      </c>
      <c r="Q734" s="19"/>
      <c r="R734" s="18"/>
      <c r="S734" s="21"/>
      <c r="T734"/>
      <c r="U734" s="6"/>
      <c r="W734" s="7"/>
      <c r="Z734" s="4"/>
    </row>
    <row r="735" spans="1:26" x14ac:dyDescent="0.3">
      <c r="A735" t="s">
        <v>1106</v>
      </c>
      <c r="B735" s="22" t="s">
        <v>299</v>
      </c>
      <c r="C735" s="23" t="s">
        <v>366</v>
      </c>
      <c r="D735" s="24" t="s">
        <v>329</v>
      </c>
      <c r="E735" s="25">
        <v>44</v>
      </c>
      <c r="F735" t="s">
        <v>370</v>
      </c>
      <c r="G735" s="24" t="s">
        <v>32</v>
      </c>
      <c r="H735" s="24" t="s">
        <v>18</v>
      </c>
      <c r="I735" s="24">
        <v>3690</v>
      </c>
      <c r="J735" s="24">
        <v>3</v>
      </c>
      <c r="K735" s="25">
        <f t="shared" si="33"/>
        <v>11070</v>
      </c>
      <c r="L735" s="26">
        <v>45219</v>
      </c>
      <c r="M735" s="25" t="str">
        <f t="shared" si="34"/>
        <v>Friday</v>
      </c>
      <c r="N735" s="25" t="str">
        <f t="shared" si="35"/>
        <v>Weekend</v>
      </c>
      <c r="Q735" s="25"/>
      <c r="R735" s="24"/>
      <c r="S735" s="27"/>
      <c r="T735"/>
      <c r="U735" s="6"/>
      <c r="W735" s="7"/>
      <c r="Z735" s="4"/>
    </row>
    <row r="736" spans="1:26" x14ac:dyDescent="0.3">
      <c r="A736" t="s">
        <v>1107</v>
      </c>
      <c r="B736" s="16" t="s">
        <v>254</v>
      </c>
      <c r="C736" s="17" t="s">
        <v>20</v>
      </c>
      <c r="D736" s="18" t="s">
        <v>325</v>
      </c>
      <c r="E736" s="19">
        <v>55</v>
      </c>
      <c r="F736" t="s">
        <v>381</v>
      </c>
      <c r="G736" s="18" t="s">
        <v>26</v>
      </c>
      <c r="H736" s="18" t="s">
        <v>27</v>
      </c>
      <c r="I736" s="18">
        <v>24600</v>
      </c>
      <c r="J736" s="18">
        <v>4</v>
      </c>
      <c r="K736" s="19">
        <f t="shared" si="33"/>
        <v>98400</v>
      </c>
      <c r="L736" s="20">
        <v>45001</v>
      </c>
      <c r="M736" s="19" t="str">
        <f t="shared" si="34"/>
        <v>Thursday</v>
      </c>
      <c r="N736" s="19" t="str">
        <f t="shared" si="35"/>
        <v>Weekday</v>
      </c>
      <c r="Q736" s="19"/>
      <c r="R736" s="18"/>
      <c r="S736" s="21"/>
      <c r="T736"/>
      <c r="U736" s="6"/>
      <c r="W736" s="7"/>
      <c r="Z736" s="4"/>
    </row>
    <row r="737" spans="1:26" x14ac:dyDescent="0.3">
      <c r="A737" t="s">
        <v>1108</v>
      </c>
      <c r="B737" s="22" t="s">
        <v>232</v>
      </c>
      <c r="C737" s="23" t="s">
        <v>366</v>
      </c>
      <c r="D737" s="24" t="s">
        <v>323</v>
      </c>
      <c r="E737" s="25">
        <v>42</v>
      </c>
      <c r="F737" t="s">
        <v>373</v>
      </c>
      <c r="G737" s="24" t="s">
        <v>31</v>
      </c>
      <c r="H737" s="24" t="s">
        <v>18</v>
      </c>
      <c r="I737" s="24">
        <v>6150</v>
      </c>
      <c r="J737" s="24">
        <v>1</v>
      </c>
      <c r="K737" s="25">
        <f t="shared" si="33"/>
        <v>6150</v>
      </c>
      <c r="L737" s="26">
        <v>45120</v>
      </c>
      <c r="M737" s="25" t="str">
        <f t="shared" si="34"/>
        <v>Thursday</v>
      </c>
      <c r="N737" s="25" t="str">
        <f t="shared" si="35"/>
        <v>Weekday</v>
      </c>
      <c r="Q737" s="25"/>
      <c r="R737" s="24"/>
      <c r="S737" s="27"/>
      <c r="T737"/>
      <c r="U737" s="6"/>
      <c r="W737" s="7"/>
      <c r="Z737" s="4"/>
    </row>
    <row r="738" spans="1:26" x14ac:dyDescent="0.3">
      <c r="A738" t="s">
        <v>1109</v>
      </c>
      <c r="B738" s="16" t="s">
        <v>30</v>
      </c>
      <c r="C738" s="17" t="s">
        <v>11</v>
      </c>
      <c r="D738" s="18" t="s">
        <v>329</v>
      </c>
      <c r="E738" s="19">
        <v>18</v>
      </c>
      <c r="F738" t="s">
        <v>381</v>
      </c>
      <c r="G738" s="18" t="s">
        <v>24</v>
      </c>
      <c r="H738" s="18" t="s">
        <v>14</v>
      </c>
      <c r="I738" s="18">
        <v>184500</v>
      </c>
      <c r="J738" s="18">
        <v>1</v>
      </c>
      <c r="K738" s="19">
        <f t="shared" si="33"/>
        <v>184500</v>
      </c>
      <c r="L738" s="20">
        <v>44947</v>
      </c>
      <c r="M738" s="19" t="str">
        <f t="shared" si="34"/>
        <v>Saturday</v>
      </c>
      <c r="N738" s="19" t="str">
        <f t="shared" si="35"/>
        <v>Weekend</v>
      </c>
      <c r="Q738" s="19"/>
      <c r="R738" s="18"/>
      <c r="S738" s="21"/>
      <c r="T738"/>
      <c r="U738" s="6"/>
      <c r="W738" s="7"/>
      <c r="Z738" s="4"/>
    </row>
    <row r="739" spans="1:26" x14ac:dyDescent="0.3">
      <c r="A739" t="s">
        <v>1110</v>
      </c>
      <c r="B739" s="22" t="s">
        <v>107</v>
      </c>
      <c r="C739" s="23" t="s">
        <v>11</v>
      </c>
      <c r="D739" s="24" t="s">
        <v>322</v>
      </c>
      <c r="E739" s="25">
        <v>18</v>
      </c>
      <c r="F739" t="s">
        <v>375</v>
      </c>
      <c r="G739" s="24" t="s">
        <v>24</v>
      </c>
      <c r="H739" s="24" t="s">
        <v>14</v>
      </c>
      <c r="I739" s="24">
        <v>184500</v>
      </c>
      <c r="J739" s="24">
        <v>3</v>
      </c>
      <c r="K739" s="25">
        <f t="shared" si="33"/>
        <v>553500</v>
      </c>
      <c r="L739" s="26">
        <v>45157</v>
      </c>
      <c r="M739" s="25" t="str">
        <f t="shared" si="34"/>
        <v>Saturday</v>
      </c>
      <c r="N739" s="25" t="str">
        <f t="shared" si="35"/>
        <v>Weekend</v>
      </c>
      <c r="Q739" s="25"/>
      <c r="R739" s="24"/>
      <c r="S739" s="27"/>
      <c r="T739"/>
      <c r="U739" s="6"/>
      <c r="W739" s="7"/>
      <c r="Z739" s="4"/>
    </row>
    <row r="740" spans="1:26" x14ac:dyDescent="0.3">
      <c r="A740" t="s">
        <v>1111</v>
      </c>
      <c r="B740" s="16" t="s">
        <v>140</v>
      </c>
      <c r="C740" s="17" t="s">
        <v>20</v>
      </c>
      <c r="D740" s="18" t="s">
        <v>327</v>
      </c>
      <c r="E740" s="19">
        <v>44</v>
      </c>
      <c r="F740" t="s">
        <v>381</v>
      </c>
      <c r="G740" s="18" t="s">
        <v>13</v>
      </c>
      <c r="H740" s="18" t="s">
        <v>14</v>
      </c>
      <c r="I740" s="18">
        <v>36900</v>
      </c>
      <c r="J740" s="18">
        <v>2</v>
      </c>
      <c r="K740" s="19">
        <f t="shared" si="33"/>
        <v>73800</v>
      </c>
      <c r="L740" s="20">
        <v>45199</v>
      </c>
      <c r="M740" s="19" t="str">
        <f t="shared" si="34"/>
        <v>Saturday</v>
      </c>
      <c r="N740" s="19" t="str">
        <f t="shared" si="35"/>
        <v>Weekend</v>
      </c>
      <c r="Q740" s="19"/>
      <c r="R740" s="18"/>
      <c r="S740" s="21"/>
      <c r="T740"/>
      <c r="U740" s="6"/>
      <c r="W740" s="7"/>
      <c r="Z740" s="4"/>
    </row>
    <row r="741" spans="1:26" x14ac:dyDescent="0.3">
      <c r="A741" t="s">
        <v>1112</v>
      </c>
      <c r="B741" s="22" t="s">
        <v>286</v>
      </c>
      <c r="C741" s="23" t="s">
        <v>20</v>
      </c>
      <c r="D741" s="24" t="s">
        <v>325</v>
      </c>
      <c r="E741" s="25">
        <v>45</v>
      </c>
      <c r="F741" t="s">
        <v>375</v>
      </c>
      <c r="G741" s="24" t="s">
        <v>26</v>
      </c>
      <c r="H741" s="24" t="s">
        <v>27</v>
      </c>
      <c r="I741" s="24">
        <v>24600</v>
      </c>
      <c r="J741" s="24">
        <v>5</v>
      </c>
      <c r="K741" s="25">
        <f t="shared" si="33"/>
        <v>123000</v>
      </c>
      <c r="L741" s="26">
        <v>45230</v>
      </c>
      <c r="M741" s="25" t="str">
        <f t="shared" si="34"/>
        <v>Tuesday</v>
      </c>
      <c r="N741" s="25" t="str">
        <f t="shared" si="35"/>
        <v>Weekday</v>
      </c>
      <c r="Q741" s="25"/>
      <c r="R741" s="24"/>
      <c r="S741" s="27"/>
      <c r="T741"/>
      <c r="U741" s="6"/>
      <c r="W741" s="7"/>
      <c r="Z741" s="4"/>
    </row>
    <row r="742" spans="1:26" x14ac:dyDescent="0.3">
      <c r="A742" t="s">
        <v>1113</v>
      </c>
      <c r="B742" s="16" t="s">
        <v>105</v>
      </c>
      <c r="C742" s="17" t="s">
        <v>366</v>
      </c>
      <c r="D742" s="18" t="s">
        <v>325</v>
      </c>
      <c r="E742" s="19">
        <v>63</v>
      </c>
      <c r="F742" t="s">
        <v>381</v>
      </c>
      <c r="G742" s="18" t="s">
        <v>31</v>
      </c>
      <c r="H742" s="18" t="s">
        <v>18</v>
      </c>
      <c r="I742" s="18">
        <v>6150</v>
      </c>
      <c r="J742" s="18">
        <v>2</v>
      </c>
      <c r="K742" s="19">
        <f t="shared" si="33"/>
        <v>12300</v>
      </c>
      <c r="L742" s="20">
        <v>45006</v>
      </c>
      <c r="M742" s="19" t="str">
        <f t="shared" si="34"/>
        <v>Tuesday</v>
      </c>
      <c r="N742" s="19" t="str">
        <f t="shared" si="35"/>
        <v>Weekday</v>
      </c>
      <c r="Q742" s="19"/>
      <c r="R742" s="18"/>
      <c r="S742" s="21"/>
      <c r="T742"/>
      <c r="U742" s="6"/>
      <c r="W742" s="7"/>
      <c r="Z742" s="4"/>
    </row>
    <row r="743" spans="1:26" x14ac:dyDescent="0.3">
      <c r="A743" t="s">
        <v>1114</v>
      </c>
      <c r="B743" s="22" t="s">
        <v>258</v>
      </c>
      <c r="C743" s="23" t="s">
        <v>20</v>
      </c>
      <c r="D743" s="24" t="s">
        <v>322</v>
      </c>
      <c r="E743" s="25">
        <v>36</v>
      </c>
      <c r="F743" t="s">
        <v>381</v>
      </c>
      <c r="G743" s="24" t="s">
        <v>31</v>
      </c>
      <c r="H743" s="24" t="s">
        <v>18</v>
      </c>
      <c r="I743" s="24">
        <v>6150</v>
      </c>
      <c r="J743" s="24">
        <v>4</v>
      </c>
      <c r="K743" s="25">
        <f t="shared" si="33"/>
        <v>24600</v>
      </c>
      <c r="L743" s="26">
        <v>45116</v>
      </c>
      <c r="M743" s="25" t="str">
        <f t="shared" si="34"/>
        <v>Sunday</v>
      </c>
      <c r="N743" s="25" t="str">
        <f t="shared" si="35"/>
        <v>Weekday</v>
      </c>
      <c r="Q743" s="25"/>
      <c r="R743" s="24"/>
      <c r="S743" s="27"/>
      <c r="T743"/>
      <c r="U743" s="6"/>
      <c r="W743" s="7"/>
      <c r="Z743" s="4"/>
    </row>
    <row r="744" spans="1:26" x14ac:dyDescent="0.3">
      <c r="A744" t="s">
        <v>1115</v>
      </c>
      <c r="B744" s="16" t="s">
        <v>110</v>
      </c>
      <c r="C744" s="17" t="s">
        <v>11</v>
      </c>
      <c r="D744" s="18" t="s">
        <v>323</v>
      </c>
      <c r="E744" s="19">
        <v>25</v>
      </c>
      <c r="F744" t="s">
        <v>370</v>
      </c>
      <c r="G744" s="18" t="s">
        <v>31</v>
      </c>
      <c r="H744" s="18" t="s">
        <v>18</v>
      </c>
      <c r="I744" s="18">
        <v>6150</v>
      </c>
      <c r="J744" s="18">
        <v>1</v>
      </c>
      <c r="K744" s="19">
        <f t="shared" si="33"/>
        <v>6150</v>
      </c>
      <c r="L744" s="20">
        <v>45267</v>
      </c>
      <c r="M744" s="19" t="str">
        <f t="shared" si="34"/>
        <v>Thursday</v>
      </c>
      <c r="N744" s="19" t="str">
        <f t="shared" si="35"/>
        <v>Weekday</v>
      </c>
      <c r="Q744" s="19"/>
      <c r="R744" s="18"/>
      <c r="S744" s="21"/>
      <c r="T744"/>
      <c r="U744" s="6"/>
      <c r="W744" s="7"/>
      <c r="Z744" s="4"/>
    </row>
    <row r="745" spans="1:26" x14ac:dyDescent="0.3">
      <c r="A745" t="s">
        <v>1116</v>
      </c>
      <c r="B745" s="22" t="s">
        <v>56</v>
      </c>
      <c r="C745" s="23" t="s">
        <v>20</v>
      </c>
      <c r="D745" s="24" t="s">
        <v>329</v>
      </c>
      <c r="E745" s="25">
        <v>53</v>
      </c>
      <c r="F745" t="s">
        <v>375</v>
      </c>
      <c r="G745" s="24" t="s">
        <v>17</v>
      </c>
      <c r="H745" s="24" t="s">
        <v>18</v>
      </c>
      <c r="I745" s="24">
        <v>12300</v>
      </c>
      <c r="J745" s="24">
        <v>5</v>
      </c>
      <c r="K745" s="25">
        <f t="shared" si="33"/>
        <v>61500</v>
      </c>
      <c r="L745" s="26">
        <v>45079</v>
      </c>
      <c r="M745" s="25" t="str">
        <f t="shared" si="34"/>
        <v>Friday</v>
      </c>
      <c r="N745" s="25" t="str">
        <f t="shared" si="35"/>
        <v>Weekend</v>
      </c>
      <c r="Q745" s="25"/>
      <c r="R745" s="24"/>
      <c r="S745" s="27"/>
      <c r="T745"/>
      <c r="U745" s="6"/>
      <c r="W745" s="7"/>
      <c r="Z745" s="4"/>
    </row>
    <row r="746" spans="1:26" x14ac:dyDescent="0.3">
      <c r="A746" t="s">
        <v>1117</v>
      </c>
      <c r="B746" s="16" t="s">
        <v>34</v>
      </c>
      <c r="C746" s="17" t="s">
        <v>20</v>
      </c>
      <c r="D746" s="18" t="s">
        <v>323</v>
      </c>
      <c r="E746" s="19">
        <v>49</v>
      </c>
      <c r="F746" t="s">
        <v>375</v>
      </c>
      <c r="G746" s="18" t="s">
        <v>42</v>
      </c>
      <c r="H746" s="18" t="s">
        <v>14</v>
      </c>
      <c r="I746" s="18">
        <v>98400</v>
      </c>
      <c r="J746" s="18">
        <v>1</v>
      </c>
      <c r="K746" s="19">
        <f t="shared" si="33"/>
        <v>98400</v>
      </c>
      <c r="L746" s="20">
        <v>45076</v>
      </c>
      <c r="M746" s="19" t="str">
        <f t="shared" si="34"/>
        <v>Tuesday</v>
      </c>
      <c r="N746" s="19" t="str">
        <f t="shared" si="35"/>
        <v>Weekday</v>
      </c>
      <c r="Q746" s="19"/>
      <c r="R746" s="18"/>
      <c r="S746" s="21"/>
      <c r="T746"/>
      <c r="U746" s="6"/>
      <c r="W746" s="7"/>
      <c r="Z746" s="4"/>
    </row>
    <row r="747" spans="1:26" x14ac:dyDescent="0.3">
      <c r="A747" t="s">
        <v>1118</v>
      </c>
      <c r="B747" s="22" t="s">
        <v>54</v>
      </c>
      <c r="C747" s="23" t="s">
        <v>11</v>
      </c>
      <c r="D747" s="24" t="s">
        <v>322</v>
      </c>
      <c r="E747" s="25">
        <v>57</v>
      </c>
      <c r="F747" t="s">
        <v>373</v>
      </c>
      <c r="G747" s="24" t="s">
        <v>42</v>
      </c>
      <c r="H747" s="24" t="s">
        <v>14</v>
      </c>
      <c r="I747" s="24">
        <v>98400</v>
      </c>
      <c r="J747" s="24">
        <v>2</v>
      </c>
      <c r="K747" s="25">
        <f t="shared" si="33"/>
        <v>196800</v>
      </c>
      <c r="L747" s="26">
        <v>45078</v>
      </c>
      <c r="M747" s="25" t="str">
        <f t="shared" si="34"/>
        <v>Thursday</v>
      </c>
      <c r="N747" s="25" t="str">
        <f t="shared" si="35"/>
        <v>Weekday</v>
      </c>
      <c r="Q747" s="25"/>
      <c r="R747" s="24"/>
      <c r="S747" s="27"/>
      <c r="T747"/>
      <c r="U747" s="6"/>
      <c r="W747" s="7"/>
      <c r="Z747" s="4"/>
    </row>
    <row r="748" spans="1:26" x14ac:dyDescent="0.3">
      <c r="A748" t="s">
        <v>1119</v>
      </c>
      <c r="B748" s="16" t="s">
        <v>38</v>
      </c>
      <c r="C748" s="17" t="s">
        <v>11</v>
      </c>
      <c r="D748" s="18" t="s">
        <v>322</v>
      </c>
      <c r="E748" s="19">
        <v>66</v>
      </c>
      <c r="F748" t="s">
        <v>381</v>
      </c>
      <c r="G748" s="18" t="s">
        <v>24</v>
      </c>
      <c r="H748" s="18" t="s">
        <v>14</v>
      </c>
      <c r="I748" s="18">
        <v>184500</v>
      </c>
      <c r="J748" s="18">
        <v>3</v>
      </c>
      <c r="K748" s="19">
        <f t="shared" si="33"/>
        <v>553500</v>
      </c>
      <c r="L748" s="20">
        <v>45261</v>
      </c>
      <c r="M748" s="19" t="str">
        <f t="shared" si="34"/>
        <v>Friday</v>
      </c>
      <c r="N748" s="19" t="str">
        <f t="shared" si="35"/>
        <v>Weekend</v>
      </c>
      <c r="Q748" s="19"/>
      <c r="R748" s="18"/>
      <c r="S748" s="21"/>
      <c r="T748"/>
      <c r="U748" s="6"/>
      <c r="W748" s="7"/>
      <c r="Z748" s="4"/>
    </row>
    <row r="749" spans="1:26" x14ac:dyDescent="0.3">
      <c r="A749" t="s">
        <v>1120</v>
      </c>
      <c r="B749" s="22" t="s">
        <v>34</v>
      </c>
      <c r="C749" s="23" t="s">
        <v>20</v>
      </c>
      <c r="D749" s="24" t="s">
        <v>323</v>
      </c>
      <c r="E749" s="25">
        <v>49</v>
      </c>
      <c r="F749" t="s">
        <v>381</v>
      </c>
      <c r="G749" s="24" t="s">
        <v>26</v>
      </c>
      <c r="H749" s="24" t="s">
        <v>27</v>
      </c>
      <c r="I749" s="24">
        <v>24600</v>
      </c>
      <c r="J749" s="24">
        <v>3</v>
      </c>
      <c r="K749" s="25">
        <f t="shared" si="33"/>
        <v>73800</v>
      </c>
      <c r="L749" s="26">
        <v>45222</v>
      </c>
      <c r="M749" s="25" t="str">
        <f t="shared" si="34"/>
        <v>Monday</v>
      </c>
      <c r="N749" s="25" t="str">
        <f t="shared" si="35"/>
        <v>Weekday</v>
      </c>
      <c r="Q749" s="25"/>
      <c r="R749" s="24"/>
      <c r="S749" s="27"/>
      <c r="T749"/>
      <c r="U749" s="6"/>
      <c r="W749" s="7"/>
      <c r="Z749" s="4"/>
    </row>
    <row r="750" spans="1:26" x14ac:dyDescent="0.3">
      <c r="A750" t="s">
        <v>1121</v>
      </c>
      <c r="B750" s="16" t="s">
        <v>301</v>
      </c>
      <c r="C750" s="17" t="s">
        <v>11</v>
      </c>
      <c r="D750" s="18" t="s">
        <v>323</v>
      </c>
      <c r="E750" s="19">
        <v>40</v>
      </c>
      <c r="F750" t="s">
        <v>373</v>
      </c>
      <c r="G750" s="18" t="s">
        <v>31</v>
      </c>
      <c r="H750" s="18" t="s">
        <v>18</v>
      </c>
      <c r="I750" s="18">
        <v>6150</v>
      </c>
      <c r="J750" s="18">
        <v>4</v>
      </c>
      <c r="K750" s="19">
        <f t="shared" si="33"/>
        <v>24600</v>
      </c>
      <c r="L750" s="20">
        <v>45094</v>
      </c>
      <c r="M750" s="19" t="str">
        <f t="shared" si="34"/>
        <v>Saturday</v>
      </c>
      <c r="N750" s="19" t="str">
        <f t="shared" si="35"/>
        <v>Weekend</v>
      </c>
      <c r="Q750" s="19"/>
      <c r="R750" s="18"/>
      <c r="S750" s="21"/>
      <c r="T750"/>
      <c r="U750" s="6"/>
      <c r="W750" s="7"/>
      <c r="Z750" s="4"/>
    </row>
    <row r="751" spans="1:26" x14ac:dyDescent="0.3">
      <c r="A751" t="s">
        <v>1122</v>
      </c>
      <c r="B751" s="22" t="s">
        <v>293</v>
      </c>
      <c r="C751" s="23" t="s">
        <v>20</v>
      </c>
      <c r="D751" s="24" t="s">
        <v>323</v>
      </c>
      <c r="E751" s="25">
        <v>53</v>
      </c>
      <c r="F751" t="s">
        <v>375</v>
      </c>
      <c r="G751" s="24" t="s">
        <v>26</v>
      </c>
      <c r="H751" s="24" t="s">
        <v>27</v>
      </c>
      <c r="I751" s="24">
        <v>24600</v>
      </c>
      <c r="J751" s="24">
        <v>4</v>
      </c>
      <c r="K751" s="25">
        <f t="shared" si="33"/>
        <v>98400</v>
      </c>
      <c r="L751" s="26">
        <v>45235</v>
      </c>
      <c r="M751" s="25" t="str">
        <f t="shared" si="34"/>
        <v>Sunday</v>
      </c>
      <c r="N751" s="25" t="str">
        <f t="shared" si="35"/>
        <v>Weekday</v>
      </c>
      <c r="Q751" s="25"/>
      <c r="R751" s="24"/>
      <c r="S751" s="27"/>
      <c r="T751"/>
      <c r="U751" s="6"/>
      <c r="W751" s="7"/>
      <c r="Z751" s="4"/>
    </row>
    <row r="752" spans="1:26" x14ac:dyDescent="0.3">
      <c r="A752" t="s">
        <v>1123</v>
      </c>
      <c r="B752" s="16" t="s">
        <v>136</v>
      </c>
      <c r="C752" s="17" t="s">
        <v>366</v>
      </c>
      <c r="D752" s="18" t="s">
        <v>322</v>
      </c>
      <c r="E752" s="19">
        <v>46</v>
      </c>
      <c r="F752" t="s">
        <v>381</v>
      </c>
      <c r="G752" s="18" t="s">
        <v>24</v>
      </c>
      <c r="H752" s="18" t="s">
        <v>14</v>
      </c>
      <c r="I752" s="18">
        <v>184500</v>
      </c>
      <c r="J752" s="18">
        <v>2</v>
      </c>
      <c r="K752" s="19">
        <f t="shared" si="33"/>
        <v>369000</v>
      </c>
      <c r="L752" s="20">
        <v>45268</v>
      </c>
      <c r="M752" s="19" t="str">
        <f t="shared" si="34"/>
        <v>Friday</v>
      </c>
      <c r="N752" s="19" t="str">
        <f t="shared" si="35"/>
        <v>Weekend</v>
      </c>
      <c r="Q752" s="19"/>
      <c r="R752" s="18"/>
      <c r="S752" s="21"/>
      <c r="T752"/>
      <c r="U752" s="6"/>
      <c r="W752" s="7"/>
      <c r="Z752" s="4"/>
    </row>
    <row r="753" spans="1:26" x14ac:dyDescent="0.3">
      <c r="A753" t="s">
        <v>1124</v>
      </c>
      <c r="B753" s="22" t="s">
        <v>289</v>
      </c>
      <c r="C753" s="23" t="s">
        <v>20</v>
      </c>
      <c r="D753" s="24" t="s">
        <v>327</v>
      </c>
      <c r="E753" s="25">
        <v>20</v>
      </c>
      <c r="F753" t="s">
        <v>373</v>
      </c>
      <c r="G753" s="24" t="s">
        <v>31</v>
      </c>
      <c r="H753" s="24" t="s">
        <v>18</v>
      </c>
      <c r="I753" s="24">
        <v>6150</v>
      </c>
      <c r="J753" s="24">
        <v>3</v>
      </c>
      <c r="K753" s="25">
        <f t="shared" si="33"/>
        <v>18450</v>
      </c>
      <c r="L753" s="26">
        <v>45185</v>
      </c>
      <c r="M753" s="25" t="str">
        <f t="shared" si="34"/>
        <v>Saturday</v>
      </c>
      <c r="N753" s="25" t="str">
        <f t="shared" si="35"/>
        <v>Weekend</v>
      </c>
      <c r="Q753" s="25"/>
      <c r="R753" s="24"/>
      <c r="S753" s="27"/>
      <c r="T753"/>
      <c r="U753" s="6"/>
      <c r="W753" s="7"/>
      <c r="Z753" s="4"/>
    </row>
    <row r="754" spans="1:26" x14ac:dyDescent="0.3">
      <c r="A754" t="s">
        <v>1125</v>
      </c>
      <c r="B754" s="16" t="s">
        <v>182</v>
      </c>
      <c r="C754" s="17" t="s">
        <v>366</v>
      </c>
      <c r="D754" s="18" t="s">
        <v>322</v>
      </c>
      <c r="E754" s="19">
        <v>55</v>
      </c>
      <c r="F754" t="s">
        <v>373</v>
      </c>
      <c r="G754" s="18" t="s">
        <v>32</v>
      </c>
      <c r="H754" s="18" t="s">
        <v>18</v>
      </c>
      <c r="I754" s="18">
        <v>3690</v>
      </c>
      <c r="J754" s="18">
        <v>3</v>
      </c>
      <c r="K754" s="19">
        <f t="shared" si="33"/>
        <v>11070</v>
      </c>
      <c r="L754" s="20">
        <v>45178</v>
      </c>
      <c r="M754" s="19" t="str">
        <f t="shared" si="34"/>
        <v>Saturday</v>
      </c>
      <c r="N754" s="19" t="str">
        <f t="shared" si="35"/>
        <v>Weekend</v>
      </c>
      <c r="Q754" s="19"/>
      <c r="R754" s="18"/>
      <c r="S754" s="21"/>
      <c r="T754"/>
      <c r="U754" s="6"/>
      <c r="W754" s="7"/>
      <c r="Z754" s="4"/>
    </row>
    <row r="755" spans="1:26" x14ac:dyDescent="0.3">
      <c r="A755" t="s">
        <v>1126</v>
      </c>
      <c r="B755" s="22" t="s">
        <v>110</v>
      </c>
      <c r="C755" s="23" t="s">
        <v>11</v>
      </c>
      <c r="D755" s="24" t="s">
        <v>323</v>
      </c>
      <c r="E755" s="25">
        <v>25</v>
      </c>
      <c r="F755" t="s">
        <v>373</v>
      </c>
      <c r="G755" s="24" t="s">
        <v>42</v>
      </c>
      <c r="H755" s="24" t="s">
        <v>14</v>
      </c>
      <c r="I755" s="24">
        <v>98400</v>
      </c>
      <c r="J755" s="24">
        <v>1</v>
      </c>
      <c r="K755" s="25">
        <f t="shared" si="33"/>
        <v>98400</v>
      </c>
      <c r="L755" s="26">
        <v>44994</v>
      </c>
      <c r="M755" s="25" t="str">
        <f t="shared" si="34"/>
        <v>Thursday</v>
      </c>
      <c r="N755" s="25" t="str">
        <f t="shared" si="35"/>
        <v>Weekday</v>
      </c>
      <c r="Q755" s="25"/>
      <c r="R755" s="24"/>
      <c r="S755" s="27"/>
      <c r="T755"/>
      <c r="U755" s="6"/>
      <c r="W755" s="7"/>
      <c r="Z755" s="4"/>
    </row>
    <row r="756" spans="1:26" x14ac:dyDescent="0.3">
      <c r="A756" t="s">
        <v>1127</v>
      </c>
      <c r="B756" s="16" t="s">
        <v>302</v>
      </c>
      <c r="C756" s="17" t="s">
        <v>20</v>
      </c>
      <c r="D756" s="18" t="s">
        <v>326</v>
      </c>
      <c r="E756" s="19">
        <v>41</v>
      </c>
      <c r="F756" t="s">
        <v>381</v>
      </c>
      <c r="G756" s="18" t="s">
        <v>24</v>
      </c>
      <c r="H756" s="18" t="s">
        <v>14</v>
      </c>
      <c r="I756" s="18">
        <v>184500</v>
      </c>
      <c r="J756" s="18">
        <v>4</v>
      </c>
      <c r="K756" s="19">
        <f t="shared" si="33"/>
        <v>738000</v>
      </c>
      <c r="L756" s="20">
        <v>45139</v>
      </c>
      <c r="M756" s="19" t="str">
        <f t="shared" si="34"/>
        <v>Tuesday</v>
      </c>
      <c r="N756" s="19" t="str">
        <f t="shared" si="35"/>
        <v>Weekday</v>
      </c>
      <c r="Q756" s="19"/>
      <c r="R756" s="18"/>
      <c r="S756" s="21"/>
      <c r="T756"/>
      <c r="U756" s="6"/>
      <c r="W756" s="7"/>
      <c r="Z756" s="4"/>
    </row>
    <row r="757" spans="1:26" x14ac:dyDescent="0.3">
      <c r="A757" t="s">
        <v>1128</v>
      </c>
      <c r="B757" s="22" t="s">
        <v>296</v>
      </c>
      <c r="C757" s="23" t="s">
        <v>20</v>
      </c>
      <c r="D757" s="24" t="s">
        <v>322</v>
      </c>
      <c r="E757" s="25">
        <v>49</v>
      </c>
      <c r="F757" t="s">
        <v>375</v>
      </c>
      <c r="G757" s="24" t="s">
        <v>17</v>
      </c>
      <c r="H757" s="24" t="s">
        <v>18</v>
      </c>
      <c r="I757" s="24">
        <v>12300</v>
      </c>
      <c r="J757" s="24">
        <v>2</v>
      </c>
      <c r="K757" s="25">
        <f t="shared" si="33"/>
        <v>24600</v>
      </c>
      <c r="L757" s="26">
        <v>45054</v>
      </c>
      <c r="M757" s="25" t="str">
        <f t="shared" si="34"/>
        <v>Monday</v>
      </c>
      <c r="N757" s="25" t="str">
        <f t="shared" si="35"/>
        <v>Weekday</v>
      </c>
      <c r="Q757" s="25"/>
      <c r="R757" s="24"/>
      <c r="S757" s="27"/>
      <c r="T757"/>
      <c r="U757" s="6"/>
      <c r="W757" s="7"/>
      <c r="Z757" s="4"/>
    </row>
    <row r="758" spans="1:26" x14ac:dyDescent="0.3">
      <c r="A758" t="s">
        <v>1129</v>
      </c>
      <c r="B758" s="16" t="s">
        <v>72</v>
      </c>
      <c r="C758" s="17" t="s">
        <v>11</v>
      </c>
      <c r="D758" s="18" t="s">
        <v>328</v>
      </c>
      <c r="E758" s="19">
        <v>23</v>
      </c>
      <c r="F758" t="s">
        <v>375</v>
      </c>
      <c r="G758" s="18" t="s">
        <v>24</v>
      </c>
      <c r="H758" s="18" t="s">
        <v>14</v>
      </c>
      <c r="I758" s="18">
        <v>184500</v>
      </c>
      <c r="J758" s="18">
        <v>5</v>
      </c>
      <c r="K758" s="19">
        <f t="shared" si="33"/>
        <v>922500</v>
      </c>
      <c r="L758" s="20">
        <v>45281</v>
      </c>
      <c r="M758" s="19" t="str">
        <f t="shared" si="34"/>
        <v>Thursday</v>
      </c>
      <c r="N758" s="19" t="str">
        <f t="shared" si="35"/>
        <v>Weekday</v>
      </c>
      <c r="Q758" s="19"/>
      <c r="R758" s="18"/>
      <c r="S758" s="21"/>
      <c r="T758"/>
      <c r="U758" s="6"/>
      <c r="W758" s="7"/>
      <c r="Z758" s="4"/>
    </row>
    <row r="759" spans="1:26" x14ac:dyDescent="0.3">
      <c r="A759" t="s">
        <v>1130</v>
      </c>
      <c r="B759" s="22" t="s">
        <v>198</v>
      </c>
      <c r="C759" s="23" t="s">
        <v>366</v>
      </c>
      <c r="D759" s="24" t="s">
        <v>324</v>
      </c>
      <c r="E759" s="25">
        <v>66</v>
      </c>
      <c r="F759" t="s">
        <v>373</v>
      </c>
      <c r="G759" s="24" t="s">
        <v>13</v>
      </c>
      <c r="H759" s="24" t="s">
        <v>14</v>
      </c>
      <c r="I759" s="24">
        <v>36900</v>
      </c>
      <c r="J759" s="24">
        <v>1</v>
      </c>
      <c r="K759" s="25">
        <f t="shared" si="33"/>
        <v>36900</v>
      </c>
      <c r="L759" s="26">
        <v>45268</v>
      </c>
      <c r="M759" s="25" t="str">
        <f t="shared" si="34"/>
        <v>Friday</v>
      </c>
      <c r="N759" s="25" t="str">
        <f t="shared" si="35"/>
        <v>Weekend</v>
      </c>
      <c r="Q759" s="25"/>
      <c r="R759" s="24"/>
      <c r="S759" s="27"/>
      <c r="T759"/>
      <c r="U759" s="6"/>
      <c r="W759" s="7"/>
      <c r="Z759" s="4"/>
    </row>
    <row r="760" spans="1:26" x14ac:dyDescent="0.3">
      <c r="A760" t="s">
        <v>1131</v>
      </c>
      <c r="B760" s="16" t="s">
        <v>303</v>
      </c>
      <c r="C760" s="17" t="s">
        <v>20</v>
      </c>
      <c r="D760" s="18" t="s">
        <v>322</v>
      </c>
      <c r="E760" s="19">
        <v>60</v>
      </c>
      <c r="F760" t="s">
        <v>373</v>
      </c>
      <c r="G760" s="18" t="s">
        <v>42</v>
      </c>
      <c r="H760" s="18" t="s">
        <v>14</v>
      </c>
      <c r="I760" s="18">
        <v>98400</v>
      </c>
      <c r="J760" s="18">
        <v>4</v>
      </c>
      <c r="K760" s="19">
        <f t="shared" si="33"/>
        <v>393600</v>
      </c>
      <c r="L760" s="20">
        <v>45106</v>
      </c>
      <c r="M760" s="19" t="str">
        <f t="shared" si="34"/>
        <v>Thursday</v>
      </c>
      <c r="N760" s="19" t="str">
        <f t="shared" si="35"/>
        <v>Weekday</v>
      </c>
      <c r="Q760" s="19"/>
      <c r="R760" s="18"/>
      <c r="S760" s="21"/>
      <c r="T760"/>
      <c r="U760" s="6"/>
      <c r="W760" s="7"/>
      <c r="Z760" s="4"/>
    </row>
    <row r="761" spans="1:26" x14ac:dyDescent="0.3">
      <c r="A761" t="s">
        <v>1132</v>
      </c>
      <c r="B761" s="22" t="s">
        <v>178</v>
      </c>
      <c r="C761" s="23" t="s">
        <v>11</v>
      </c>
      <c r="D761" s="24" t="s">
        <v>328</v>
      </c>
      <c r="E761" s="25">
        <v>20</v>
      </c>
      <c r="F761" t="s">
        <v>375</v>
      </c>
      <c r="G761" s="24" t="s">
        <v>13</v>
      </c>
      <c r="H761" s="24" t="s">
        <v>14</v>
      </c>
      <c r="I761" s="24">
        <v>36900</v>
      </c>
      <c r="J761" s="24">
        <v>2</v>
      </c>
      <c r="K761" s="25">
        <f t="shared" si="33"/>
        <v>73800</v>
      </c>
      <c r="L761" s="26">
        <v>45193</v>
      </c>
      <c r="M761" s="25" t="str">
        <f t="shared" si="34"/>
        <v>Sunday</v>
      </c>
      <c r="N761" s="25" t="str">
        <f t="shared" si="35"/>
        <v>Weekday</v>
      </c>
      <c r="Q761" s="25"/>
      <c r="R761" s="24"/>
      <c r="S761" s="27"/>
      <c r="T761"/>
      <c r="U761" s="6"/>
      <c r="W761" s="7"/>
      <c r="Z761" s="4"/>
    </row>
    <row r="762" spans="1:26" x14ac:dyDescent="0.3">
      <c r="A762" t="s">
        <v>1133</v>
      </c>
      <c r="B762" s="16" t="s">
        <v>103</v>
      </c>
      <c r="C762" s="17" t="s">
        <v>366</v>
      </c>
      <c r="D762" s="18" t="s">
        <v>326</v>
      </c>
      <c r="E762" s="19">
        <v>51</v>
      </c>
      <c r="F762" t="s">
        <v>373</v>
      </c>
      <c r="G762" s="18" t="s">
        <v>42</v>
      </c>
      <c r="H762" s="18" t="s">
        <v>14</v>
      </c>
      <c r="I762" s="18">
        <v>98400</v>
      </c>
      <c r="J762" s="18">
        <v>3</v>
      </c>
      <c r="K762" s="19">
        <f t="shared" si="33"/>
        <v>295200</v>
      </c>
      <c r="L762" s="20">
        <v>45068</v>
      </c>
      <c r="M762" s="19" t="str">
        <f t="shared" si="34"/>
        <v>Monday</v>
      </c>
      <c r="N762" s="19" t="str">
        <f t="shared" si="35"/>
        <v>Weekday</v>
      </c>
      <c r="Q762" s="19"/>
      <c r="R762" s="18"/>
      <c r="S762" s="21"/>
      <c r="T762"/>
      <c r="U762" s="6"/>
      <c r="W762" s="7"/>
      <c r="Z762" s="4"/>
    </row>
    <row r="763" spans="1:26" x14ac:dyDescent="0.3">
      <c r="A763" t="s">
        <v>1134</v>
      </c>
      <c r="B763" s="22" t="s">
        <v>262</v>
      </c>
      <c r="C763" s="23" t="s">
        <v>20</v>
      </c>
      <c r="D763" s="24" t="s">
        <v>324</v>
      </c>
      <c r="E763" s="25">
        <v>35</v>
      </c>
      <c r="F763" t="s">
        <v>373</v>
      </c>
      <c r="G763" s="24" t="s">
        <v>32</v>
      </c>
      <c r="H763" s="24" t="s">
        <v>18</v>
      </c>
      <c r="I763" s="24">
        <v>3690</v>
      </c>
      <c r="J763" s="24">
        <v>3</v>
      </c>
      <c r="K763" s="25">
        <f t="shared" si="33"/>
        <v>11070</v>
      </c>
      <c r="L763" s="26">
        <v>45136</v>
      </c>
      <c r="M763" s="25" t="str">
        <f t="shared" si="34"/>
        <v>Saturday</v>
      </c>
      <c r="N763" s="25" t="str">
        <f t="shared" si="35"/>
        <v>Weekend</v>
      </c>
      <c r="Q763" s="25"/>
      <c r="R763" s="24"/>
      <c r="S763" s="27"/>
      <c r="T763"/>
      <c r="U763" s="6"/>
      <c r="W763" s="7"/>
      <c r="Z763" s="4"/>
    </row>
    <row r="764" spans="1:26" x14ac:dyDescent="0.3">
      <c r="A764" t="s">
        <v>1135</v>
      </c>
      <c r="B764" s="16" t="s">
        <v>301</v>
      </c>
      <c r="C764" s="17" t="s">
        <v>11</v>
      </c>
      <c r="D764" s="18" t="s">
        <v>323</v>
      </c>
      <c r="E764" s="19">
        <v>40</v>
      </c>
      <c r="F764" t="s">
        <v>375</v>
      </c>
      <c r="G764" s="18" t="s">
        <v>31</v>
      </c>
      <c r="H764" s="18" t="s">
        <v>18</v>
      </c>
      <c r="I764" s="18">
        <v>6150</v>
      </c>
      <c r="J764" s="18">
        <v>4</v>
      </c>
      <c r="K764" s="19">
        <f t="shared" si="33"/>
        <v>24600</v>
      </c>
      <c r="L764" s="20">
        <v>45218</v>
      </c>
      <c r="M764" s="19" t="str">
        <f t="shared" si="34"/>
        <v>Thursday</v>
      </c>
      <c r="N764" s="19" t="str">
        <f t="shared" si="35"/>
        <v>Weekday</v>
      </c>
      <c r="Q764" s="19"/>
      <c r="R764" s="18"/>
      <c r="S764" s="21"/>
      <c r="T764"/>
      <c r="U764" s="6"/>
      <c r="W764" s="7"/>
      <c r="Z764" s="4"/>
    </row>
    <row r="765" spans="1:26" x14ac:dyDescent="0.3">
      <c r="A765" t="s">
        <v>1136</v>
      </c>
      <c r="B765" s="22" t="s">
        <v>137</v>
      </c>
      <c r="C765" s="23" t="s">
        <v>11</v>
      </c>
      <c r="D765" s="24" t="s">
        <v>329</v>
      </c>
      <c r="E765" s="25">
        <v>54</v>
      </c>
      <c r="F765" t="s">
        <v>381</v>
      </c>
      <c r="G765" s="24" t="s">
        <v>42</v>
      </c>
      <c r="H765" s="24" t="s">
        <v>14</v>
      </c>
      <c r="I765" s="24">
        <v>98400</v>
      </c>
      <c r="J765" s="24">
        <v>5</v>
      </c>
      <c r="K765" s="25">
        <f t="shared" si="33"/>
        <v>492000</v>
      </c>
      <c r="L765" s="26">
        <v>45171</v>
      </c>
      <c r="M765" s="25" t="str">
        <f t="shared" si="34"/>
        <v>Saturday</v>
      </c>
      <c r="N765" s="25" t="str">
        <f t="shared" si="35"/>
        <v>Weekend</v>
      </c>
      <c r="Q765" s="25"/>
      <c r="R765" s="24"/>
      <c r="S765" s="27"/>
      <c r="T765"/>
      <c r="U765" s="6"/>
      <c r="W765" s="7"/>
      <c r="Z765" s="4"/>
    </row>
    <row r="766" spans="1:26" x14ac:dyDescent="0.3">
      <c r="A766" t="s">
        <v>1137</v>
      </c>
      <c r="B766" s="16" t="s">
        <v>57</v>
      </c>
      <c r="C766" s="17" t="s">
        <v>366</v>
      </c>
      <c r="D766" s="18" t="s">
        <v>322</v>
      </c>
      <c r="E766" s="19">
        <v>58</v>
      </c>
      <c r="F766" t="s">
        <v>373</v>
      </c>
      <c r="G766" s="18" t="s">
        <v>32</v>
      </c>
      <c r="H766" s="18" t="s">
        <v>18</v>
      </c>
      <c r="I766" s="18">
        <v>3690</v>
      </c>
      <c r="J766" s="18">
        <v>4</v>
      </c>
      <c r="K766" s="19">
        <f t="shared" si="33"/>
        <v>14760</v>
      </c>
      <c r="L766" s="20">
        <v>45098</v>
      </c>
      <c r="M766" s="19" t="str">
        <f t="shared" si="34"/>
        <v>Wednesday</v>
      </c>
      <c r="N766" s="19" t="str">
        <f t="shared" si="35"/>
        <v>Weekday</v>
      </c>
      <c r="Q766" s="19"/>
      <c r="R766" s="18"/>
      <c r="S766" s="21"/>
      <c r="T766"/>
      <c r="U766" s="6"/>
      <c r="W766" s="7"/>
      <c r="Z766" s="4"/>
    </row>
    <row r="767" spans="1:26" x14ac:dyDescent="0.3">
      <c r="A767" t="s">
        <v>1138</v>
      </c>
      <c r="B767" s="22" t="s">
        <v>304</v>
      </c>
      <c r="C767" s="23" t="s">
        <v>11</v>
      </c>
      <c r="D767" s="24" t="s">
        <v>322</v>
      </c>
      <c r="E767" s="25">
        <v>26</v>
      </c>
      <c r="F767" t="s">
        <v>381</v>
      </c>
      <c r="G767" s="24" t="s">
        <v>31</v>
      </c>
      <c r="H767" s="24" t="s">
        <v>18</v>
      </c>
      <c r="I767" s="24">
        <v>6150</v>
      </c>
      <c r="J767" s="24">
        <v>2</v>
      </c>
      <c r="K767" s="25">
        <f t="shared" si="33"/>
        <v>12300</v>
      </c>
      <c r="L767" s="26">
        <v>45090</v>
      </c>
      <c r="M767" s="25" t="str">
        <f t="shared" si="34"/>
        <v>Tuesday</v>
      </c>
      <c r="N767" s="25" t="str">
        <f t="shared" si="35"/>
        <v>Weekday</v>
      </c>
      <c r="Q767" s="25"/>
      <c r="R767" s="24"/>
      <c r="S767" s="27"/>
      <c r="T767"/>
      <c r="U767" s="6"/>
      <c r="W767" s="7"/>
      <c r="Z767" s="4"/>
    </row>
    <row r="768" spans="1:26" x14ac:dyDescent="0.3">
      <c r="A768" t="s">
        <v>1139</v>
      </c>
      <c r="B768" s="16" t="s">
        <v>283</v>
      </c>
      <c r="C768" s="17" t="s">
        <v>366</v>
      </c>
      <c r="D768" s="18" t="s">
        <v>325</v>
      </c>
      <c r="E768" s="19">
        <v>43</v>
      </c>
      <c r="F768" t="s">
        <v>373</v>
      </c>
      <c r="G768" s="18" t="s">
        <v>26</v>
      </c>
      <c r="H768" s="18" t="s">
        <v>27</v>
      </c>
      <c r="I768" s="18">
        <v>24600</v>
      </c>
      <c r="J768" s="18">
        <v>1</v>
      </c>
      <c r="K768" s="19">
        <f t="shared" si="33"/>
        <v>24600</v>
      </c>
      <c r="L768" s="20">
        <v>45288</v>
      </c>
      <c r="M768" s="19" t="str">
        <f t="shared" si="34"/>
        <v>Thursday</v>
      </c>
      <c r="N768" s="19" t="str">
        <f t="shared" si="35"/>
        <v>Weekday</v>
      </c>
      <c r="Q768" s="19"/>
      <c r="R768" s="18"/>
      <c r="S768" s="21"/>
      <c r="T768"/>
      <c r="U768" s="6"/>
      <c r="W768" s="7"/>
      <c r="Z768" s="4"/>
    </row>
    <row r="769" spans="1:26" x14ac:dyDescent="0.3">
      <c r="A769" t="s">
        <v>1140</v>
      </c>
      <c r="B769" s="22" t="s">
        <v>219</v>
      </c>
      <c r="C769" s="23" t="s">
        <v>11</v>
      </c>
      <c r="D769" s="24" t="s">
        <v>328</v>
      </c>
      <c r="E769" s="25">
        <v>69</v>
      </c>
      <c r="F769" t="s">
        <v>373</v>
      </c>
      <c r="G769" s="24" t="s">
        <v>24</v>
      </c>
      <c r="H769" s="24" t="s">
        <v>14</v>
      </c>
      <c r="I769" s="24">
        <v>184500</v>
      </c>
      <c r="J769" s="24">
        <v>3</v>
      </c>
      <c r="K769" s="25">
        <f t="shared" si="33"/>
        <v>553500</v>
      </c>
      <c r="L769" s="26">
        <v>45113</v>
      </c>
      <c r="M769" s="25" t="str">
        <f t="shared" si="34"/>
        <v>Thursday</v>
      </c>
      <c r="N769" s="25" t="str">
        <f t="shared" si="35"/>
        <v>Weekday</v>
      </c>
      <c r="Q769" s="25"/>
      <c r="R769" s="24"/>
      <c r="S769" s="27"/>
      <c r="T769"/>
      <c r="U769" s="6"/>
      <c r="W769" s="7"/>
      <c r="Z769" s="4"/>
    </row>
    <row r="770" spans="1:26" x14ac:dyDescent="0.3">
      <c r="A770" t="s">
        <v>1141</v>
      </c>
      <c r="B770" s="16" t="s">
        <v>305</v>
      </c>
      <c r="C770" s="17" t="s">
        <v>11</v>
      </c>
      <c r="D770" s="18" t="s">
        <v>322</v>
      </c>
      <c r="E770" s="19">
        <v>61</v>
      </c>
      <c r="F770" t="s">
        <v>373</v>
      </c>
      <c r="G770" s="18" t="s">
        <v>24</v>
      </c>
      <c r="H770" s="18" t="s">
        <v>14</v>
      </c>
      <c r="I770" s="18">
        <v>184500</v>
      </c>
      <c r="J770" s="18">
        <v>4</v>
      </c>
      <c r="K770" s="19">
        <f t="shared" ref="K770:K833" si="36">I770*J770</f>
        <v>738000</v>
      </c>
      <c r="L770" s="20">
        <v>45090</v>
      </c>
      <c r="M770" s="19" t="str">
        <f t="shared" ref="M770:M833" si="37">TEXT(L770, "dddd")</f>
        <v>Tuesday</v>
      </c>
      <c r="N770" s="19" t="str">
        <f t="shared" ref="N770:N833" si="38">IF(OR(WEEKDAY(L770, 2)=5, WEEKDAY(L770, 2)=6), "Weekend", "Weekday")</f>
        <v>Weekday</v>
      </c>
      <c r="Q770" s="19"/>
      <c r="R770" s="18"/>
      <c r="S770" s="21"/>
      <c r="T770"/>
      <c r="U770" s="6"/>
      <c r="W770" s="7"/>
      <c r="Z770" s="4"/>
    </row>
    <row r="771" spans="1:26" x14ac:dyDescent="0.3">
      <c r="A771" t="s">
        <v>1142</v>
      </c>
      <c r="B771" s="22" t="s">
        <v>65</v>
      </c>
      <c r="C771" s="23" t="s">
        <v>11</v>
      </c>
      <c r="D771" s="24" t="s">
        <v>326</v>
      </c>
      <c r="E771" s="25">
        <v>61</v>
      </c>
      <c r="F771" t="s">
        <v>370</v>
      </c>
      <c r="G771" s="24" t="s">
        <v>17</v>
      </c>
      <c r="H771" s="24" t="s">
        <v>18</v>
      </c>
      <c r="I771" s="24">
        <v>12300</v>
      </c>
      <c r="J771" s="24">
        <v>1</v>
      </c>
      <c r="K771" s="25">
        <f t="shared" si="36"/>
        <v>12300</v>
      </c>
      <c r="L771" s="26">
        <v>45005</v>
      </c>
      <c r="M771" s="25" t="str">
        <f t="shared" si="37"/>
        <v>Monday</v>
      </c>
      <c r="N771" s="25" t="str">
        <f t="shared" si="38"/>
        <v>Weekday</v>
      </c>
      <c r="Q771" s="25"/>
      <c r="R771" s="24"/>
      <c r="S771" s="27"/>
      <c r="T771"/>
      <c r="U771" s="6"/>
      <c r="W771" s="7"/>
      <c r="Z771" s="4"/>
    </row>
    <row r="772" spans="1:26" x14ac:dyDescent="0.3">
      <c r="A772" t="s">
        <v>1143</v>
      </c>
      <c r="B772" s="16" t="s">
        <v>214</v>
      </c>
      <c r="C772" s="17" t="s">
        <v>11</v>
      </c>
      <c r="D772" s="18" t="s">
        <v>325</v>
      </c>
      <c r="E772" s="19">
        <v>67</v>
      </c>
      <c r="F772" t="s">
        <v>381</v>
      </c>
      <c r="G772" s="18" t="s">
        <v>32</v>
      </c>
      <c r="H772" s="18" t="s">
        <v>18</v>
      </c>
      <c r="I772" s="18">
        <v>3690</v>
      </c>
      <c r="J772" s="18">
        <v>4</v>
      </c>
      <c r="K772" s="19">
        <f t="shared" si="36"/>
        <v>14760</v>
      </c>
      <c r="L772" s="20">
        <v>44977</v>
      </c>
      <c r="M772" s="19" t="str">
        <f t="shared" si="37"/>
        <v>Monday</v>
      </c>
      <c r="N772" s="19" t="str">
        <f t="shared" si="38"/>
        <v>Weekday</v>
      </c>
      <c r="Q772" s="19"/>
      <c r="R772" s="18"/>
      <c r="S772" s="21"/>
      <c r="T772"/>
      <c r="U772" s="6"/>
      <c r="W772" s="7"/>
      <c r="Z772" s="4"/>
    </row>
    <row r="773" spans="1:26" x14ac:dyDescent="0.3">
      <c r="A773" t="s">
        <v>1144</v>
      </c>
      <c r="B773" s="22" t="s">
        <v>67</v>
      </c>
      <c r="C773" s="23" t="s">
        <v>11</v>
      </c>
      <c r="D773" s="24" t="s">
        <v>327</v>
      </c>
      <c r="E773" s="25">
        <v>38</v>
      </c>
      <c r="F773" t="s">
        <v>381</v>
      </c>
      <c r="G773" s="24" t="s">
        <v>13</v>
      </c>
      <c r="H773" s="24" t="s">
        <v>14</v>
      </c>
      <c r="I773" s="24">
        <v>36900</v>
      </c>
      <c r="J773" s="24">
        <v>4</v>
      </c>
      <c r="K773" s="25">
        <f t="shared" si="36"/>
        <v>147600</v>
      </c>
      <c r="L773" s="26">
        <v>45165</v>
      </c>
      <c r="M773" s="25" t="str">
        <f t="shared" si="37"/>
        <v>Sunday</v>
      </c>
      <c r="N773" s="25" t="str">
        <f t="shared" si="38"/>
        <v>Weekday</v>
      </c>
      <c r="Q773" s="25"/>
      <c r="R773" s="24"/>
      <c r="S773" s="27"/>
      <c r="T773"/>
      <c r="U773" s="6"/>
      <c r="W773" s="7"/>
      <c r="Z773" s="4"/>
    </row>
    <row r="774" spans="1:26" x14ac:dyDescent="0.3">
      <c r="A774" t="s">
        <v>1145</v>
      </c>
      <c r="B774" s="16" t="s">
        <v>256</v>
      </c>
      <c r="C774" s="17" t="s">
        <v>11</v>
      </c>
      <c r="D774" s="18" t="s">
        <v>322</v>
      </c>
      <c r="E774" s="19">
        <v>69</v>
      </c>
      <c r="F774" t="s">
        <v>373</v>
      </c>
      <c r="G774" s="18" t="s">
        <v>31</v>
      </c>
      <c r="H774" s="18" t="s">
        <v>18</v>
      </c>
      <c r="I774" s="18">
        <v>6150</v>
      </c>
      <c r="J774" s="18">
        <v>5</v>
      </c>
      <c r="K774" s="19">
        <f t="shared" si="36"/>
        <v>30750</v>
      </c>
      <c r="L774" s="20">
        <v>44960</v>
      </c>
      <c r="M774" s="19" t="str">
        <f t="shared" si="37"/>
        <v>Friday</v>
      </c>
      <c r="N774" s="19" t="str">
        <f t="shared" si="38"/>
        <v>Weekend</v>
      </c>
      <c r="Q774" s="19"/>
      <c r="R774" s="18"/>
      <c r="S774" s="21"/>
      <c r="T774"/>
      <c r="U774" s="6"/>
      <c r="W774" s="7"/>
      <c r="Z774" s="4"/>
    </row>
    <row r="775" spans="1:26" x14ac:dyDescent="0.3">
      <c r="A775" t="s">
        <v>1146</v>
      </c>
      <c r="B775" s="22" t="s">
        <v>171</v>
      </c>
      <c r="C775" s="23" t="s">
        <v>11</v>
      </c>
      <c r="D775" s="24" t="s">
        <v>324</v>
      </c>
      <c r="E775" s="25">
        <v>51</v>
      </c>
      <c r="F775" t="s">
        <v>375</v>
      </c>
      <c r="G775" s="24" t="s">
        <v>42</v>
      </c>
      <c r="H775" s="24" t="s">
        <v>14</v>
      </c>
      <c r="I775" s="24">
        <v>98400</v>
      </c>
      <c r="J775" s="24">
        <v>5</v>
      </c>
      <c r="K775" s="25">
        <f t="shared" si="36"/>
        <v>492000</v>
      </c>
      <c r="L775" s="26">
        <v>45196</v>
      </c>
      <c r="M775" s="25" t="str">
        <f t="shared" si="37"/>
        <v>Wednesday</v>
      </c>
      <c r="N775" s="25" t="str">
        <f t="shared" si="38"/>
        <v>Weekday</v>
      </c>
      <c r="Q775" s="25"/>
      <c r="R775" s="24"/>
      <c r="S775" s="27"/>
      <c r="T775"/>
      <c r="U775" s="6"/>
      <c r="W775" s="7"/>
      <c r="Z775" s="4"/>
    </row>
    <row r="776" spans="1:26" x14ac:dyDescent="0.3">
      <c r="A776" t="s">
        <v>1147</v>
      </c>
      <c r="B776" s="16" t="s">
        <v>104</v>
      </c>
      <c r="C776" s="17" t="s">
        <v>366</v>
      </c>
      <c r="D776" s="18" t="s">
        <v>326</v>
      </c>
      <c r="E776" s="19">
        <v>30</v>
      </c>
      <c r="F776" t="s">
        <v>373</v>
      </c>
      <c r="G776" s="18" t="s">
        <v>17</v>
      </c>
      <c r="H776" s="18" t="s">
        <v>18</v>
      </c>
      <c r="I776" s="18">
        <v>12300</v>
      </c>
      <c r="J776" s="18">
        <v>2</v>
      </c>
      <c r="K776" s="19">
        <f t="shared" si="36"/>
        <v>24600</v>
      </c>
      <c r="L776" s="20">
        <v>45003</v>
      </c>
      <c r="M776" s="19" t="str">
        <f t="shared" si="37"/>
        <v>Saturday</v>
      </c>
      <c r="N776" s="19" t="str">
        <f t="shared" si="38"/>
        <v>Weekend</v>
      </c>
      <c r="Q776" s="19"/>
      <c r="R776" s="18"/>
      <c r="S776" s="21"/>
      <c r="T776"/>
      <c r="U776" s="6"/>
      <c r="W776" s="7"/>
      <c r="Z776" s="4"/>
    </row>
    <row r="777" spans="1:26" x14ac:dyDescent="0.3">
      <c r="A777" t="s">
        <v>1148</v>
      </c>
      <c r="B777" s="22" t="s">
        <v>83</v>
      </c>
      <c r="C777" s="23" t="s">
        <v>11</v>
      </c>
      <c r="D777" s="24" t="s">
        <v>323</v>
      </c>
      <c r="E777" s="25">
        <v>33</v>
      </c>
      <c r="F777" t="s">
        <v>370</v>
      </c>
      <c r="G777" s="24" t="s">
        <v>24</v>
      </c>
      <c r="H777" s="24" t="s">
        <v>14</v>
      </c>
      <c r="I777" s="24">
        <v>184500</v>
      </c>
      <c r="J777" s="24">
        <v>2</v>
      </c>
      <c r="K777" s="25">
        <f t="shared" si="36"/>
        <v>369000</v>
      </c>
      <c r="L777" s="26">
        <v>44943</v>
      </c>
      <c r="M777" s="25" t="str">
        <f t="shared" si="37"/>
        <v>Tuesday</v>
      </c>
      <c r="N777" s="25" t="str">
        <f t="shared" si="38"/>
        <v>Weekday</v>
      </c>
      <c r="Q777" s="25"/>
      <c r="R777" s="24"/>
      <c r="S777" s="27"/>
      <c r="T777"/>
      <c r="U777" s="6"/>
      <c r="W777" s="7"/>
      <c r="Z777" s="4"/>
    </row>
    <row r="778" spans="1:26" x14ac:dyDescent="0.3">
      <c r="A778" t="s">
        <v>1149</v>
      </c>
      <c r="B778" s="16" t="s">
        <v>287</v>
      </c>
      <c r="C778" s="17" t="s">
        <v>20</v>
      </c>
      <c r="D778" s="18" t="s">
        <v>322</v>
      </c>
      <c r="E778" s="19">
        <v>44</v>
      </c>
      <c r="F778" t="s">
        <v>373</v>
      </c>
      <c r="G778" s="18" t="s">
        <v>17</v>
      </c>
      <c r="H778" s="18" t="s">
        <v>18</v>
      </c>
      <c r="I778" s="18">
        <v>12300</v>
      </c>
      <c r="J778" s="18">
        <v>4</v>
      </c>
      <c r="K778" s="19">
        <f t="shared" si="36"/>
        <v>49200</v>
      </c>
      <c r="L778" s="20">
        <v>45057</v>
      </c>
      <c r="M778" s="19" t="str">
        <f t="shared" si="37"/>
        <v>Thursday</v>
      </c>
      <c r="N778" s="19" t="str">
        <f t="shared" si="38"/>
        <v>Weekday</v>
      </c>
      <c r="Q778" s="19"/>
      <c r="R778" s="18"/>
      <c r="S778" s="21"/>
      <c r="T778"/>
      <c r="U778" s="6"/>
      <c r="W778" s="7"/>
      <c r="Z778" s="4"/>
    </row>
    <row r="779" spans="1:26" x14ac:dyDescent="0.3">
      <c r="A779" t="s">
        <v>1150</v>
      </c>
      <c r="B779" s="22" t="s">
        <v>38</v>
      </c>
      <c r="C779" s="23" t="s">
        <v>11</v>
      </c>
      <c r="D779" s="24" t="s">
        <v>322</v>
      </c>
      <c r="E779" s="25">
        <v>66</v>
      </c>
      <c r="F779" t="s">
        <v>370</v>
      </c>
      <c r="G779" s="24" t="s">
        <v>31</v>
      </c>
      <c r="H779" s="24" t="s">
        <v>18</v>
      </c>
      <c r="I779" s="24">
        <v>6150</v>
      </c>
      <c r="J779" s="24">
        <v>2</v>
      </c>
      <c r="K779" s="25">
        <f t="shared" si="36"/>
        <v>12300</v>
      </c>
      <c r="L779" s="26">
        <v>44995</v>
      </c>
      <c r="M779" s="25" t="str">
        <f t="shared" si="37"/>
        <v>Friday</v>
      </c>
      <c r="N779" s="25" t="str">
        <f t="shared" si="38"/>
        <v>Weekend</v>
      </c>
      <c r="Q779" s="25"/>
      <c r="R779" s="24"/>
      <c r="S779" s="27"/>
      <c r="T779"/>
      <c r="U779" s="6"/>
      <c r="W779" s="7"/>
      <c r="Z779" s="4"/>
    </row>
    <row r="780" spans="1:26" x14ac:dyDescent="0.3">
      <c r="A780" t="s">
        <v>1151</v>
      </c>
      <c r="B780" s="16" t="s">
        <v>298</v>
      </c>
      <c r="C780" s="17" t="s">
        <v>20</v>
      </c>
      <c r="D780" s="18" t="s">
        <v>324</v>
      </c>
      <c r="E780" s="19">
        <v>65</v>
      </c>
      <c r="F780" t="s">
        <v>373</v>
      </c>
      <c r="G780" s="18" t="s">
        <v>31</v>
      </c>
      <c r="H780" s="18" t="s">
        <v>18</v>
      </c>
      <c r="I780" s="18">
        <v>6150</v>
      </c>
      <c r="J780" s="18">
        <v>1</v>
      </c>
      <c r="K780" s="19">
        <f t="shared" si="36"/>
        <v>6150</v>
      </c>
      <c r="L780" s="20">
        <v>45104</v>
      </c>
      <c r="M780" s="19" t="str">
        <f t="shared" si="37"/>
        <v>Tuesday</v>
      </c>
      <c r="N780" s="19" t="str">
        <f t="shared" si="38"/>
        <v>Weekday</v>
      </c>
      <c r="Q780" s="19"/>
      <c r="R780" s="18"/>
      <c r="S780" s="21"/>
      <c r="T780"/>
      <c r="U780" s="6"/>
      <c r="W780" s="7"/>
      <c r="Z780" s="4"/>
    </row>
    <row r="781" spans="1:26" x14ac:dyDescent="0.3">
      <c r="A781" t="s">
        <v>1152</v>
      </c>
      <c r="B781" s="22" t="s">
        <v>284</v>
      </c>
      <c r="C781" s="23" t="s">
        <v>11</v>
      </c>
      <c r="D781" s="24" t="s">
        <v>322</v>
      </c>
      <c r="E781" s="25">
        <v>46</v>
      </c>
      <c r="F781" t="s">
        <v>381</v>
      </c>
      <c r="G781" s="24" t="s">
        <v>32</v>
      </c>
      <c r="H781" s="24" t="s">
        <v>18</v>
      </c>
      <c r="I781" s="24">
        <v>3690</v>
      </c>
      <c r="J781" s="24">
        <v>4</v>
      </c>
      <c r="K781" s="25">
        <f t="shared" si="36"/>
        <v>14760</v>
      </c>
      <c r="L781" s="26">
        <v>45237</v>
      </c>
      <c r="M781" s="25" t="str">
        <f t="shared" si="37"/>
        <v>Tuesday</v>
      </c>
      <c r="N781" s="25" t="str">
        <f t="shared" si="38"/>
        <v>Weekday</v>
      </c>
      <c r="Q781" s="25"/>
      <c r="R781" s="24"/>
      <c r="S781" s="27"/>
      <c r="T781"/>
      <c r="U781" s="6"/>
      <c r="W781" s="7"/>
      <c r="Z781" s="4"/>
    </row>
    <row r="782" spans="1:26" x14ac:dyDescent="0.3">
      <c r="A782" t="s">
        <v>1153</v>
      </c>
      <c r="B782" s="16" t="s">
        <v>298</v>
      </c>
      <c r="C782" s="17" t="s">
        <v>20</v>
      </c>
      <c r="D782" s="18" t="s">
        <v>324</v>
      </c>
      <c r="E782" s="19">
        <v>65</v>
      </c>
      <c r="F782" t="s">
        <v>373</v>
      </c>
      <c r="G782" s="18" t="s">
        <v>24</v>
      </c>
      <c r="H782" s="18" t="s">
        <v>14</v>
      </c>
      <c r="I782" s="18">
        <v>184500</v>
      </c>
      <c r="J782" s="18">
        <v>5</v>
      </c>
      <c r="K782" s="19">
        <f t="shared" si="36"/>
        <v>922500</v>
      </c>
      <c r="L782" s="20">
        <v>45024</v>
      </c>
      <c r="M782" s="19" t="str">
        <f t="shared" si="37"/>
        <v>Saturday</v>
      </c>
      <c r="N782" s="19" t="str">
        <f t="shared" si="38"/>
        <v>Weekend</v>
      </c>
      <c r="Q782" s="19"/>
      <c r="R782" s="18"/>
      <c r="S782" s="21"/>
      <c r="T782"/>
      <c r="U782" s="6"/>
      <c r="W782" s="7"/>
      <c r="Z782" s="4"/>
    </row>
    <row r="783" spans="1:26" x14ac:dyDescent="0.3">
      <c r="A783" t="s">
        <v>1154</v>
      </c>
      <c r="B783" s="22" t="s">
        <v>73</v>
      </c>
      <c r="C783" s="23" t="s">
        <v>11</v>
      </c>
      <c r="D783" s="24" t="s">
        <v>322</v>
      </c>
      <c r="E783" s="25">
        <v>68</v>
      </c>
      <c r="F783" t="s">
        <v>381</v>
      </c>
      <c r="G783" s="24" t="s">
        <v>24</v>
      </c>
      <c r="H783" s="24" t="s">
        <v>14</v>
      </c>
      <c r="I783" s="24">
        <v>184500</v>
      </c>
      <c r="J783" s="24">
        <v>2</v>
      </c>
      <c r="K783" s="25">
        <f t="shared" si="36"/>
        <v>369000</v>
      </c>
      <c r="L783" s="26">
        <v>45226</v>
      </c>
      <c r="M783" s="25" t="str">
        <f t="shared" si="37"/>
        <v>Friday</v>
      </c>
      <c r="N783" s="25" t="str">
        <f t="shared" si="38"/>
        <v>Weekend</v>
      </c>
      <c r="Q783" s="25"/>
      <c r="R783" s="24"/>
      <c r="S783" s="27"/>
      <c r="T783"/>
      <c r="U783" s="6"/>
      <c r="W783" s="7"/>
      <c r="Z783" s="4"/>
    </row>
    <row r="784" spans="1:26" x14ac:dyDescent="0.3">
      <c r="A784" t="s">
        <v>1155</v>
      </c>
      <c r="B784" s="16" t="s">
        <v>118</v>
      </c>
      <c r="C784" s="17" t="s">
        <v>20</v>
      </c>
      <c r="D784" s="18" t="s">
        <v>323</v>
      </c>
      <c r="E784" s="19">
        <v>20</v>
      </c>
      <c r="F784" t="s">
        <v>375</v>
      </c>
      <c r="G784" s="18" t="s">
        <v>24</v>
      </c>
      <c r="H784" s="18" t="s">
        <v>14</v>
      </c>
      <c r="I784" s="18">
        <v>184500</v>
      </c>
      <c r="J784" s="18">
        <v>5</v>
      </c>
      <c r="K784" s="19">
        <f t="shared" si="36"/>
        <v>922500</v>
      </c>
      <c r="L784" s="20">
        <v>44958</v>
      </c>
      <c r="M784" s="19" t="str">
        <f t="shared" si="37"/>
        <v>Wednesday</v>
      </c>
      <c r="N784" s="19" t="str">
        <f t="shared" si="38"/>
        <v>Weekday</v>
      </c>
      <c r="Q784" s="19"/>
      <c r="R784" s="18"/>
      <c r="S784" s="21"/>
      <c r="T784"/>
      <c r="U784" s="6"/>
      <c r="W784" s="7"/>
      <c r="Z784" s="4"/>
    </row>
    <row r="785" spans="1:26" x14ac:dyDescent="0.3">
      <c r="A785" t="s">
        <v>1156</v>
      </c>
      <c r="B785" s="22" t="s">
        <v>167</v>
      </c>
      <c r="C785" s="23" t="s">
        <v>11</v>
      </c>
      <c r="D785" s="24" t="s">
        <v>322</v>
      </c>
      <c r="E785" s="25">
        <v>66</v>
      </c>
      <c r="F785" t="s">
        <v>375</v>
      </c>
      <c r="G785" s="24" t="s">
        <v>42</v>
      </c>
      <c r="H785" s="24" t="s">
        <v>14</v>
      </c>
      <c r="I785" s="24">
        <v>98400</v>
      </c>
      <c r="J785" s="24">
        <v>4</v>
      </c>
      <c r="K785" s="25">
        <f t="shared" si="36"/>
        <v>393600</v>
      </c>
      <c r="L785" s="26">
        <v>45073</v>
      </c>
      <c r="M785" s="25" t="str">
        <f t="shared" si="37"/>
        <v>Saturday</v>
      </c>
      <c r="N785" s="25" t="str">
        <f t="shared" si="38"/>
        <v>Weekend</v>
      </c>
      <c r="Q785" s="25"/>
      <c r="R785" s="24"/>
      <c r="S785" s="27"/>
      <c r="T785"/>
      <c r="U785" s="6"/>
      <c r="W785" s="7"/>
      <c r="Z785" s="4"/>
    </row>
    <row r="786" spans="1:26" x14ac:dyDescent="0.3">
      <c r="A786" t="s">
        <v>1157</v>
      </c>
      <c r="B786" s="16" t="s">
        <v>75</v>
      </c>
      <c r="C786" s="17" t="s">
        <v>11</v>
      </c>
      <c r="D786" s="18" t="s">
        <v>322</v>
      </c>
      <c r="E786" s="19">
        <v>51</v>
      </c>
      <c r="F786" t="s">
        <v>373</v>
      </c>
      <c r="G786" s="18" t="s">
        <v>31</v>
      </c>
      <c r="H786" s="18" t="s">
        <v>18</v>
      </c>
      <c r="I786" s="18">
        <v>6150</v>
      </c>
      <c r="J786" s="18">
        <v>4</v>
      </c>
      <c r="K786" s="19">
        <f t="shared" si="36"/>
        <v>24600</v>
      </c>
      <c r="L786" s="20">
        <v>45200</v>
      </c>
      <c r="M786" s="19" t="str">
        <f t="shared" si="37"/>
        <v>Sunday</v>
      </c>
      <c r="N786" s="19" t="str">
        <f t="shared" si="38"/>
        <v>Weekday</v>
      </c>
      <c r="Q786" s="19"/>
      <c r="R786" s="18"/>
      <c r="S786" s="21"/>
      <c r="T786"/>
      <c r="U786" s="6"/>
      <c r="W786" s="7"/>
      <c r="Z786" s="4"/>
    </row>
    <row r="787" spans="1:26" x14ac:dyDescent="0.3">
      <c r="A787" t="s">
        <v>1158</v>
      </c>
      <c r="B787" s="22" t="s">
        <v>38</v>
      </c>
      <c r="C787" s="23" t="s">
        <v>11</v>
      </c>
      <c r="D787" s="24" t="s">
        <v>322</v>
      </c>
      <c r="E787" s="25">
        <v>66</v>
      </c>
      <c r="F787" t="s">
        <v>373</v>
      </c>
      <c r="G787" s="24" t="s">
        <v>42</v>
      </c>
      <c r="H787" s="24" t="s">
        <v>14</v>
      </c>
      <c r="I787" s="24">
        <v>98400</v>
      </c>
      <c r="J787" s="24">
        <v>3</v>
      </c>
      <c r="K787" s="25">
        <f t="shared" si="36"/>
        <v>295200</v>
      </c>
      <c r="L787" s="26">
        <v>45051</v>
      </c>
      <c r="M787" s="25" t="str">
        <f t="shared" si="37"/>
        <v>Friday</v>
      </c>
      <c r="N787" s="25" t="str">
        <f t="shared" si="38"/>
        <v>Weekend</v>
      </c>
      <c r="Q787" s="25"/>
      <c r="R787" s="24"/>
      <c r="S787" s="27"/>
      <c r="T787"/>
      <c r="U787" s="6"/>
      <c r="W787" s="7"/>
      <c r="Z787" s="4"/>
    </row>
    <row r="788" spans="1:26" x14ac:dyDescent="0.3">
      <c r="A788" t="s">
        <v>1159</v>
      </c>
      <c r="B788" s="16" t="s">
        <v>279</v>
      </c>
      <c r="C788" s="17" t="s">
        <v>20</v>
      </c>
      <c r="D788" s="18" t="s">
        <v>323</v>
      </c>
      <c r="E788" s="19">
        <v>29</v>
      </c>
      <c r="F788" t="s">
        <v>375</v>
      </c>
      <c r="G788" s="18" t="s">
        <v>31</v>
      </c>
      <c r="H788" s="18" t="s">
        <v>18</v>
      </c>
      <c r="I788" s="18">
        <v>6150</v>
      </c>
      <c r="J788" s="18">
        <v>4</v>
      </c>
      <c r="K788" s="19">
        <f t="shared" si="36"/>
        <v>24600</v>
      </c>
      <c r="L788" s="20">
        <v>45282</v>
      </c>
      <c r="M788" s="19" t="str">
        <f t="shared" si="37"/>
        <v>Friday</v>
      </c>
      <c r="N788" s="19" t="str">
        <f t="shared" si="38"/>
        <v>Weekend</v>
      </c>
      <c r="Q788" s="19"/>
      <c r="R788" s="18"/>
      <c r="S788" s="21"/>
      <c r="T788"/>
      <c r="U788" s="6"/>
      <c r="W788" s="7"/>
      <c r="Z788" s="4"/>
    </row>
    <row r="789" spans="1:26" x14ac:dyDescent="0.3">
      <c r="A789" t="s">
        <v>1160</v>
      </c>
      <c r="B789" s="22" t="s">
        <v>186</v>
      </c>
      <c r="C789" s="23" t="s">
        <v>20</v>
      </c>
      <c r="D789" s="24" t="s">
        <v>324</v>
      </c>
      <c r="E789" s="25">
        <v>51</v>
      </c>
      <c r="F789" t="s">
        <v>370</v>
      </c>
      <c r="G789" s="24" t="s">
        <v>17</v>
      </c>
      <c r="H789" s="24" t="s">
        <v>18</v>
      </c>
      <c r="I789" s="24">
        <v>12300</v>
      </c>
      <c r="J789" s="24">
        <v>2</v>
      </c>
      <c r="K789" s="25">
        <f t="shared" si="36"/>
        <v>24600</v>
      </c>
      <c r="L789" s="26">
        <v>45090</v>
      </c>
      <c r="M789" s="25" t="str">
        <f t="shared" si="37"/>
        <v>Tuesday</v>
      </c>
      <c r="N789" s="25" t="str">
        <f t="shared" si="38"/>
        <v>Weekday</v>
      </c>
      <c r="Q789" s="25"/>
      <c r="R789" s="24"/>
      <c r="S789" s="27"/>
      <c r="T789"/>
      <c r="U789" s="6"/>
      <c r="W789" s="7"/>
      <c r="Z789" s="4"/>
    </row>
    <row r="790" spans="1:26" x14ac:dyDescent="0.3">
      <c r="A790" t="s">
        <v>1161</v>
      </c>
      <c r="B790" s="16" t="s">
        <v>199</v>
      </c>
      <c r="C790" s="17" t="s">
        <v>20</v>
      </c>
      <c r="D790" s="18" t="s">
        <v>323</v>
      </c>
      <c r="E790" s="19">
        <v>45</v>
      </c>
      <c r="F790" t="s">
        <v>375</v>
      </c>
      <c r="G790" s="18" t="s">
        <v>26</v>
      </c>
      <c r="H790" s="18" t="s">
        <v>27</v>
      </c>
      <c r="I790" s="18">
        <v>24600</v>
      </c>
      <c r="J790" s="18">
        <v>4</v>
      </c>
      <c r="K790" s="19">
        <f t="shared" si="36"/>
        <v>98400</v>
      </c>
      <c r="L790" s="20">
        <v>44937</v>
      </c>
      <c r="M790" s="19" t="str">
        <f t="shared" si="37"/>
        <v>Wednesday</v>
      </c>
      <c r="N790" s="19" t="str">
        <f t="shared" si="38"/>
        <v>Weekday</v>
      </c>
      <c r="Q790" s="19"/>
      <c r="R790" s="18"/>
      <c r="S790" s="21"/>
      <c r="T790"/>
      <c r="U790" s="6"/>
      <c r="W790" s="7"/>
      <c r="Z790" s="4"/>
    </row>
    <row r="791" spans="1:26" x14ac:dyDescent="0.3">
      <c r="A791" t="s">
        <v>1162</v>
      </c>
      <c r="B791" s="22" t="s">
        <v>208</v>
      </c>
      <c r="C791" s="23" t="s">
        <v>366</v>
      </c>
      <c r="D791" s="24" t="s">
        <v>326</v>
      </c>
      <c r="E791" s="25">
        <v>45</v>
      </c>
      <c r="F791" t="s">
        <v>375</v>
      </c>
      <c r="G791" s="24" t="s">
        <v>13</v>
      </c>
      <c r="H791" s="24" t="s">
        <v>14</v>
      </c>
      <c r="I791" s="24">
        <v>36900</v>
      </c>
      <c r="J791" s="24">
        <v>1</v>
      </c>
      <c r="K791" s="25">
        <f t="shared" si="36"/>
        <v>36900</v>
      </c>
      <c r="L791" s="26">
        <v>44964</v>
      </c>
      <c r="M791" s="25" t="str">
        <f t="shared" si="37"/>
        <v>Tuesday</v>
      </c>
      <c r="N791" s="25" t="str">
        <f t="shared" si="38"/>
        <v>Weekday</v>
      </c>
      <c r="Q791" s="25"/>
      <c r="R791" s="24"/>
      <c r="S791" s="27"/>
      <c r="T791"/>
      <c r="U791" s="6"/>
      <c r="W791" s="7"/>
      <c r="Z791" s="4"/>
    </row>
    <row r="792" spans="1:26" x14ac:dyDescent="0.3">
      <c r="A792" t="s">
        <v>1163</v>
      </c>
      <c r="B792" s="16" t="s">
        <v>264</v>
      </c>
      <c r="C792" s="17" t="s">
        <v>11</v>
      </c>
      <c r="D792" s="18" t="s">
        <v>322</v>
      </c>
      <c r="E792" s="19">
        <v>40</v>
      </c>
      <c r="F792" t="s">
        <v>370</v>
      </c>
      <c r="G792" s="18" t="s">
        <v>17</v>
      </c>
      <c r="H792" s="18" t="s">
        <v>18</v>
      </c>
      <c r="I792" s="18">
        <v>12300</v>
      </c>
      <c r="J792" s="18">
        <v>2</v>
      </c>
      <c r="K792" s="19">
        <f t="shared" si="36"/>
        <v>24600</v>
      </c>
      <c r="L792" s="20">
        <v>45121</v>
      </c>
      <c r="M792" s="19" t="str">
        <f t="shared" si="37"/>
        <v>Friday</v>
      </c>
      <c r="N792" s="19" t="str">
        <f t="shared" si="38"/>
        <v>Weekend</v>
      </c>
      <c r="Q792" s="19"/>
      <c r="R792" s="18"/>
      <c r="S792" s="21"/>
      <c r="T792"/>
      <c r="U792" s="6"/>
      <c r="W792" s="7"/>
      <c r="Z792" s="4"/>
    </row>
    <row r="793" spans="1:26" x14ac:dyDescent="0.3">
      <c r="A793" t="s">
        <v>1164</v>
      </c>
      <c r="B793" s="22" t="s">
        <v>128</v>
      </c>
      <c r="C793" s="23" t="s">
        <v>11</v>
      </c>
      <c r="D793" s="24" t="s">
        <v>323</v>
      </c>
      <c r="E793" s="25">
        <v>50</v>
      </c>
      <c r="F793" t="s">
        <v>375</v>
      </c>
      <c r="G793" s="24" t="s">
        <v>32</v>
      </c>
      <c r="H793" s="24" t="s">
        <v>18</v>
      </c>
      <c r="I793" s="24">
        <v>3690</v>
      </c>
      <c r="J793" s="24">
        <v>5</v>
      </c>
      <c r="K793" s="25">
        <f t="shared" si="36"/>
        <v>18450</v>
      </c>
      <c r="L793" s="26">
        <v>45023</v>
      </c>
      <c r="M793" s="25" t="str">
        <f t="shared" si="37"/>
        <v>Friday</v>
      </c>
      <c r="N793" s="25" t="str">
        <f t="shared" si="38"/>
        <v>Weekend</v>
      </c>
      <c r="Q793" s="25"/>
      <c r="R793" s="24"/>
      <c r="S793" s="27"/>
      <c r="T793"/>
      <c r="U793" s="6"/>
      <c r="W793" s="7"/>
      <c r="Z793" s="4"/>
    </row>
    <row r="794" spans="1:26" x14ac:dyDescent="0.3">
      <c r="A794" t="s">
        <v>1165</v>
      </c>
      <c r="B794" s="16" t="s">
        <v>248</v>
      </c>
      <c r="C794" s="17" t="s">
        <v>366</v>
      </c>
      <c r="D794" s="18" t="s">
        <v>322</v>
      </c>
      <c r="E794" s="19">
        <v>54</v>
      </c>
      <c r="F794" t="s">
        <v>375</v>
      </c>
      <c r="G794" s="18" t="s">
        <v>17</v>
      </c>
      <c r="H794" s="18" t="s">
        <v>18</v>
      </c>
      <c r="I794" s="18">
        <v>12300</v>
      </c>
      <c r="J794" s="18">
        <v>1</v>
      </c>
      <c r="K794" s="19">
        <f t="shared" si="36"/>
        <v>12300</v>
      </c>
      <c r="L794" s="20">
        <v>45278</v>
      </c>
      <c r="M794" s="19" t="str">
        <f t="shared" si="37"/>
        <v>Monday</v>
      </c>
      <c r="N794" s="19" t="str">
        <f t="shared" si="38"/>
        <v>Weekday</v>
      </c>
      <c r="Q794" s="19"/>
      <c r="R794" s="18"/>
      <c r="S794" s="21"/>
      <c r="T794"/>
      <c r="U794" s="6"/>
      <c r="W794" s="7"/>
      <c r="Z794" s="4"/>
    </row>
    <row r="795" spans="1:26" x14ac:dyDescent="0.3">
      <c r="A795" t="s">
        <v>1166</v>
      </c>
      <c r="B795" s="22" t="s">
        <v>151</v>
      </c>
      <c r="C795" s="23" t="s">
        <v>11</v>
      </c>
      <c r="D795" s="24" t="s">
        <v>329</v>
      </c>
      <c r="E795" s="25">
        <v>59</v>
      </c>
      <c r="F795" t="s">
        <v>370</v>
      </c>
      <c r="G795" s="24" t="s">
        <v>32</v>
      </c>
      <c r="H795" s="24" t="s">
        <v>18</v>
      </c>
      <c r="I795" s="24">
        <v>3690</v>
      </c>
      <c r="J795" s="24">
        <v>2</v>
      </c>
      <c r="K795" s="25">
        <f t="shared" si="36"/>
        <v>7380</v>
      </c>
      <c r="L795" s="26">
        <v>45247</v>
      </c>
      <c r="M795" s="25" t="str">
        <f t="shared" si="37"/>
        <v>Friday</v>
      </c>
      <c r="N795" s="25" t="str">
        <f t="shared" si="38"/>
        <v>Weekend</v>
      </c>
      <c r="Q795" s="25"/>
      <c r="R795" s="24"/>
      <c r="S795" s="27"/>
      <c r="T795"/>
      <c r="U795" s="6"/>
      <c r="W795" s="7"/>
      <c r="Z795" s="4"/>
    </row>
    <row r="796" spans="1:26" x14ac:dyDescent="0.3">
      <c r="A796" t="s">
        <v>1167</v>
      </c>
      <c r="B796" s="16" t="s">
        <v>90</v>
      </c>
      <c r="C796" s="17" t="s">
        <v>20</v>
      </c>
      <c r="D796" s="18" t="s">
        <v>323</v>
      </c>
      <c r="E796" s="19">
        <v>50</v>
      </c>
      <c r="F796" t="s">
        <v>370</v>
      </c>
      <c r="G796" s="18" t="s">
        <v>13</v>
      </c>
      <c r="H796" s="18" t="s">
        <v>14</v>
      </c>
      <c r="I796" s="18">
        <v>36900</v>
      </c>
      <c r="J796" s="18">
        <v>1</v>
      </c>
      <c r="K796" s="19">
        <f t="shared" si="36"/>
        <v>36900</v>
      </c>
      <c r="L796" s="20">
        <v>45286</v>
      </c>
      <c r="M796" s="19" t="str">
        <f t="shared" si="37"/>
        <v>Tuesday</v>
      </c>
      <c r="N796" s="19" t="str">
        <f t="shared" si="38"/>
        <v>Weekday</v>
      </c>
      <c r="Q796" s="19"/>
      <c r="R796" s="18"/>
      <c r="S796" s="21"/>
      <c r="T796"/>
      <c r="U796" s="6"/>
      <c r="W796" s="7"/>
      <c r="Z796" s="4"/>
    </row>
    <row r="797" spans="1:26" x14ac:dyDescent="0.3">
      <c r="A797" t="s">
        <v>1168</v>
      </c>
      <c r="B797" s="22" t="s">
        <v>293</v>
      </c>
      <c r="C797" s="23" t="s">
        <v>20</v>
      </c>
      <c r="D797" s="24" t="s">
        <v>323</v>
      </c>
      <c r="E797" s="25">
        <v>53</v>
      </c>
      <c r="F797" t="s">
        <v>381</v>
      </c>
      <c r="G797" s="24" t="s">
        <v>17</v>
      </c>
      <c r="H797" s="24" t="s">
        <v>18</v>
      </c>
      <c r="I797" s="24">
        <v>12300</v>
      </c>
      <c r="J797" s="24">
        <v>3</v>
      </c>
      <c r="K797" s="25">
        <f t="shared" si="36"/>
        <v>36900</v>
      </c>
      <c r="L797" s="26">
        <v>45264</v>
      </c>
      <c r="M797" s="25" t="str">
        <f t="shared" si="37"/>
        <v>Monday</v>
      </c>
      <c r="N797" s="25" t="str">
        <f t="shared" si="38"/>
        <v>Weekday</v>
      </c>
      <c r="Q797" s="25"/>
      <c r="R797" s="24"/>
      <c r="S797" s="27"/>
      <c r="T797"/>
      <c r="U797" s="6"/>
      <c r="W797" s="7"/>
      <c r="Z797" s="4"/>
    </row>
    <row r="798" spans="1:26" x14ac:dyDescent="0.3">
      <c r="A798" t="s">
        <v>1169</v>
      </c>
      <c r="B798" s="16" t="s">
        <v>55</v>
      </c>
      <c r="C798" s="17" t="s">
        <v>11</v>
      </c>
      <c r="D798" s="18" t="s">
        <v>324</v>
      </c>
      <c r="E798" s="19">
        <v>55</v>
      </c>
      <c r="F798" t="s">
        <v>373</v>
      </c>
      <c r="G798" s="18" t="s">
        <v>24</v>
      </c>
      <c r="H798" s="18" t="s">
        <v>14</v>
      </c>
      <c r="I798" s="18">
        <v>184500</v>
      </c>
      <c r="J798" s="18">
        <v>2</v>
      </c>
      <c r="K798" s="19">
        <f t="shared" si="36"/>
        <v>369000</v>
      </c>
      <c r="L798" s="20">
        <v>45085</v>
      </c>
      <c r="M798" s="19" t="str">
        <f t="shared" si="37"/>
        <v>Thursday</v>
      </c>
      <c r="N798" s="19" t="str">
        <f t="shared" si="38"/>
        <v>Weekday</v>
      </c>
      <c r="Q798" s="19"/>
      <c r="R798" s="18"/>
      <c r="S798" s="21"/>
      <c r="T798"/>
      <c r="U798" s="6"/>
      <c r="W798" s="7"/>
      <c r="Z798" s="4"/>
    </row>
    <row r="799" spans="1:26" x14ac:dyDescent="0.3">
      <c r="A799" t="s">
        <v>1170</v>
      </c>
      <c r="B799" s="22" t="s">
        <v>270</v>
      </c>
      <c r="C799" s="23" t="s">
        <v>366</v>
      </c>
      <c r="D799" s="24" t="s">
        <v>322</v>
      </c>
      <c r="E799" s="25">
        <v>43</v>
      </c>
      <c r="F799" t="s">
        <v>381</v>
      </c>
      <c r="G799" s="24" t="s">
        <v>31</v>
      </c>
      <c r="H799" s="24" t="s">
        <v>18</v>
      </c>
      <c r="I799" s="24">
        <v>6150</v>
      </c>
      <c r="J799" s="24">
        <v>4</v>
      </c>
      <c r="K799" s="25">
        <f t="shared" si="36"/>
        <v>24600</v>
      </c>
      <c r="L799" s="26">
        <v>45152</v>
      </c>
      <c r="M799" s="25" t="str">
        <f t="shared" si="37"/>
        <v>Monday</v>
      </c>
      <c r="N799" s="25" t="str">
        <f t="shared" si="38"/>
        <v>Weekday</v>
      </c>
      <c r="Q799" s="25"/>
      <c r="R799" s="24"/>
      <c r="S799" s="27"/>
      <c r="T799"/>
      <c r="U799" s="6"/>
      <c r="W799" s="7"/>
      <c r="Z799" s="4"/>
    </row>
    <row r="800" spans="1:26" x14ac:dyDescent="0.3">
      <c r="A800" t="s">
        <v>1171</v>
      </c>
      <c r="B800" s="16" t="s">
        <v>96</v>
      </c>
      <c r="C800" s="17" t="s">
        <v>11</v>
      </c>
      <c r="D800" s="18" t="s">
        <v>322</v>
      </c>
      <c r="E800" s="19">
        <v>45</v>
      </c>
      <c r="F800" t="s">
        <v>370</v>
      </c>
      <c r="G800" s="18" t="s">
        <v>13</v>
      </c>
      <c r="H800" s="18" t="s">
        <v>14</v>
      </c>
      <c r="I800" s="18">
        <v>36900</v>
      </c>
      <c r="J800" s="18">
        <v>4</v>
      </c>
      <c r="K800" s="19">
        <f t="shared" si="36"/>
        <v>147600</v>
      </c>
      <c r="L800" s="20">
        <v>45243</v>
      </c>
      <c r="M800" s="19" t="str">
        <f t="shared" si="37"/>
        <v>Monday</v>
      </c>
      <c r="N800" s="19" t="str">
        <f t="shared" si="38"/>
        <v>Weekday</v>
      </c>
      <c r="Q800" s="19"/>
      <c r="R800" s="18"/>
      <c r="S800" s="21"/>
      <c r="T800"/>
      <c r="U800" s="6"/>
      <c r="W800" s="7"/>
      <c r="Z800" s="4"/>
    </row>
    <row r="801" spans="1:26" x14ac:dyDescent="0.3">
      <c r="A801" t="s">
        <v>1172</v>
      </c>
      <c r="B801" s="22" t="s">
        <v>43</v>
      </c>
      <c r="C801" s="23" t="s">
        <v>11</v>
      </c>
      <c r="D801" s="24" t="s">
        <v>323</v>
      </c>
      <c r="E801" s="25">
        <v>32</v>
      </c>
      <c r="F801" t="s">
        <v>375</v>
      </c>
      <c r="G801" s="24" t="s">
        <v>13</v>
      </c>
      <c r="H801" s="24" t="s">
        <v>14</v>
      </c>
      <c r="I801" s="24">
        <v>36900</v>
      </c>
      <c r="J801" s="24">
        <v>2</v>
      </c>
      <c r="K801" s="25">
        <f t="shared" si="36"/>
        <v>73800</v>
      </c>
      <c r="L801" s="26">
        <v>45216</v>
      </c>
      <c r="M801" s="25" t="str">
        <f t="shared" si="37"/>
        <v>Tuesday</v>
      </c>
      <c r="N801" s="25" t="str">
        <f t="shared" si="38"/>
        <v>Weekday</v>
      </c>
      <c r="Q801" s="25"/>
      <c r="R801" s="24"/>
      <c r="S801" s="27"/>
      <c r="T801"/>
      <c r="U801" s="6"/>
      <c r="W801" s="7"/>
      <c r="Z801" s="4"/>
    </row>
    <row r="802" spans="1:26" x14ac:dyDescent="0.3">
      <c r="A802" t="s">
        <v>1173</v>
      </c>
      <c r="B802" s="16" t="s">
        <v>306</v>
      </c>
      <c r="C802" s="17" t="s">
        <v>366</v>
      </c>
      <c r="D802" s="18" t="s">
        <v>323</v>
      </c>
      <c r="E802" s="19">
        <v>35</v>
      </c>
      <c r="F802" t="s">
        <v>370</v>
      </c>
      <c r="G802" s="18" t="s">
        <v>17</v>
      </c>
      <c r="H802" s="18" t="s">
        <v>18</v>
      </c>
      <c r="I802" s="18">
        <v>12300</v>
      </c>
      <c r="J802" s="18">
        <v>4</v>
      </c>
      <c r="K802" s="19">
        <f t="shared" si="36"/>
        <v>49200</v>
      </c>
      <c r="L802" s="20">
        <v>45130</v>
      </c>
      <c r="M802" s="19" t="str">
        <f t="shared" si="37"/>
        <v>Sunday</v>
      </c>
      <c r="N802" s="19" t="str">
        <f t="shared" si="38"/>
        <v>Weekday</v>
      </c>
      <c r="Q802" s="19"/>
      <c r="R802" s="18"/>
      <c r="S802" s="21"/>
      <c r="T802"/>
      <c r="U802" s="6"/>
      <c r="W802" s="7"/>
      <c r="Z802" s="4"/>
    </row>
    <row r="803" spans="1:26" x14ac:dyDescent="0.3">
      <c r="A803" t="s">
        <v>1174</v>
      </c>
      <c r="B803" s="22" t="s">
        <v>83</v>
      </c>
      <c r="C803" s="23" t="s">
        <v>11</v>
      </c>
      <c r="D803" s="24" t="s">
        <v>323</v>
      </c>
      <c r="E803" s="25">
        <v>33</v>
      </c>
      <c r="F803" t="s">
        <v>375</v>
      </c>
      <c r="G803" s="24" t="s">
        <v>42</v>
      </c>
      <c r="H803" s="24" t="s">
        <v>14</v>
      </c>
      <c r="I803" s="24">
        <v>98400</v>
      </c>
      <c r="J803" s="24">
        <v>5</v>
      </c>
      <c r="K803" s="25">
        <f t="shared" si="36"/>
        <v>492000</v>
      </c>
      <c r="L803" s="26">
        <v>45092</v>
      </c>
      <c r="M803" s="25" t="str">
        <f t="shared" si="37"/>
        <v>Thursday</v>
      </c>
      <c r="N803" s="25" t="str">
        <f t="shared" si="38"/>
        <v>Weekday</v>
      </c>
      <c r="Q803" s="25"/>
      <c r="R803" s="24"/>
      <c r="S803" s="27"/>
      <c r="T803"/>
      <c r="U803" s="6"/>
      <c r="W803" s="7"/>
      <c r="Z803" s="4"/>
    </row>
    <row r="804" spans="1:26" x14ac:dyDescent="0.3">
      <c r="A804" t="s">
        <v>1175</v>
      </c>
      <c r="B804" s="16" t="s">
        <v>85</v>
      </c>
      <c r="C804" s="17" t="s">
        <v>11</v>
      </c>
      <c r="D804" s="18" t="s">
        <v>326</v>
      </c>
      <c r="E804" s="19">
        <v>36</v>
      </c>
      <c r="F804" t="s">
        <v>381</v>
      </c>
      <c r="G804" s="18" t="s">
        <v>32</v>
      </c>
      <c r="H804" s="18" t="s">
        <v>18</v>
      </c>
      <c r="I804" s="18">
        <v>3690</v>
      </c>
      <c r="J804" s="18">
        <v>5</v>
      </c>
      <c r="K804" s="19">
        <f t="shared" si="36"/>
        <v>18450</v>
      </c>
      <c r="L804" s="20">
        <v>45125</v>
      </c>
      <c r="M804" s="19" t="str">
        <f t="shared" si="37"/>
        <v>Tuesday</v>
      </c>
      <c r="N804" s="19" t="str">
        <f t="shared" si="38"/>
        <v>Weekday</v>
      </c>
      <c r="Q804" s="19"/>
      <c r="R804" s="18"/>
      <c r="S804" s="21"/>
      <c r="T804"/>
      <c r="U804" s="6"/>
      <c r="W804" s="7"/>
      <c r="Z804" s="4"/>
    </row>
    <row r="805" spans="1:26" x14ac:dyDescent="0.3">
      <c r="A805" t="s">
        <v>1176</v>
      </c>
      <c r="B805" s="22" t="s">
        <v>235</v>
      </c>
      <c r="C805" s="23" t="s">
        <v>20</v>
      </c>
      <c r="D805" s="24" t="s">
        <v>326</v>
      </c>
      <c r="E805" s="25">
        <v>38</v>
      </c>
      <c r="F805" t="s">
        <v>381</v>
      </c>
      <c r="G805" s="24" t="s">
        <v>31</v>
      </c>
      <c r="H805" s="24" t="s">
        <v>18</v>
      </c>
      <c r="I805" s="24">
        <v>6150</v>
      </c>
      <c r="J805" s="24">
        <v>5</v>
      </c>
      <c r="K805" s="25">
        <f t="shared" si="36"/>
        <v>30750</v>
      </c>
      <c r="L805" s="26">
        <v>45058</v>
      </c>
      <c r="M805" s="25" t="str">
        <f t="shared" si="37"/>
        <v>Friday</v>
      </c>
      <c r="N805" s="25" t="str">
        <f t="shared" si="38"/>
        <v>Weekend</v>
      </c>
      <c r="Q805" s="25"/>
      <c r="R805" s="24"/>
      <c r="S805" s="27"/>
      <c r="T805"/>
      <c r="U805" s="6"/>
      <c r="W805" s="7"/>
      <c r="Z805" s="4"/>
    </row>
    <row r="806" spans="1:26" x14ac:dyDescent="0.3">
      <c r="A806" t="s">
        <v>1177</v>
      </c>
      <c r="B806" s="16" t="s">
        <v>251</v>
      </c>
      <c r="C806" s="17" t="s">
        <v>366</v>
      </c>
      <c r="D806" s="18" t="s">
        <v>323</v>
      </c>
      <c r="E806" s="19">
        <v>64</v>
      </c>
      <c r="F806" t="s">
        <v>381</v>
      </c>
      <c r="G806" s="18" t="s">
        <v>24</v>
      </c>
      <c r="H806" s="18" t="s">
        <v>14</v>
      </c>
      <c r="I806" s="18">
        <v>184500</v>
      </c>
      <c r="J806" s="18">
        <v>4</v>
      </c>
      <c r="K806" s="19">
        <f t="shared" si="36"/>
        <v>738000</v>
      </c>
      <c r="L806" s="20">
        <v>44976</v>
      </c>
      <c r="M806" s="19" t="str">
        <f t="shared" si="37"/>
        <v>Sunday</v>
      </c>
      <c r="N806" s="19" t="str">
        <f t="shared" si="38"/>
        <v>Weekday</v>
      </c>
      <c r="Q806" s="19"/>
      <c r="R806" s="18"/>
      <c r="S806" s="21"/>
      <c r="T806"/>
      <c r="U806" s="6"/>
      <c r="W806" s="7"/>
      <c r="Z806" s="4"/>
    </row>
    <row r="807" spans="1:26" x14ac:dyDescent="0.3">
      <c r="A807" t="s">
        <v>1178</v>
      </c>
      <c r="B807" s="22" t="s">
        <v>198</v>
      </c>
      <c r="C807" s="23" t="s">
        <v>366</v>
      </c>
      <c r="D807" s="24" t="s">
        <v>324</v>
      </c>
      <c r="E807" s="25">
        <v>66</v>
      </c>
      <c r="F807" t="s">
        <v>375</v>
      </c>
      <c r="G807" s="24" t="s">
        <v>24</v>
      </c>
      <c r="H807" s="24" t="s">
        <v>14</v>
      </c>
      <c r="I807" s="24">
        <v>184500</v>
      </c>
      <c r="J807" s="24">
        <v>4</v>
      </c>
      <c r="K807" s="25">
        <f t="shared" si="36"/>
        <v>738000</v>
      </c>
      <c r="L807" s="26">
        <v>45216</v>
      </c>
      <c r="M807" s="25" t="str">
        <f t="shared" si="37"/>
        <v>Tuesday</v>
      </c>
      <c r="N807" s="25" t="str">
        <f t="shared" si="38"/>
        <v>Weekday</v>
      </c>
      <c r="Q807" s="25"/>
      <c r="R807" s="24"/>
      <c r="S807" s="27"/>
      <c r="T807"/>
      <c r="U807" s="6"/>
      <c r="W807" s="7"/>
      <c r="Z807" s="4"/>
    </row>
    <row r="808" spans="1:26" x14ac:dyDescent="0.3">
      <c r="A808" t="s">
        <v>1179</v>
      </c>
      <c r="B808" s="16" t="s">
        <v>178</v>
      </c>
      <c r="C808" s="17" t="s">
        <v>11</v>
      </c>
      <c r="D808" s="18" t="s">
        <v>328</v>
      </c>
      <c r="E808" s="19">
        <v>20</v>
      </c>
      <c r="F808" t="s">
        <v>373</v>
      </c>
      <c r="G808" s="18" t="s">
        <v>32</v>
      </c>
      <c r="H808" s="18" t="s">
        <v>18</v>
      </c>
      <c r="I808" s="18">
        <v>3690</v>
      </c>
      <c r="J808" s="18">
        <v>3</v>
      </c>
      <c r="K808" s="19">
        <f t="shared" si="36"/>
        <v>11070</v>
      </c>
      <c r="L808" s="20">
        <v>45199</v>
      </c>
      <c r="M808" s="19" t="str">
        <f t="shared" si="37"/>
        <v>Saturday</v>
      </c>
      <c r="N808" s="19" t="str">
        <f t="shared" si="38"/>
        <v>Weekend</v>
      </c>
      <c r="Q808" s="19"/>
      <c r="R808" s="18"/>
      <c r="S808" s="21"/>
      <c r="T808"/>
      <c r="U808" s="6"/>
      <c r="W808" s="7"/>
      <c r="Z808" s="4"/>
    </row>
    <row r="809" spans="1:26" x14ac:dyDescent="0.3">
      <c r="A809" t="s">
        <v>1180</v>
      </c>
      <c r="B809" s="22" t="s">
        <v>206</v>
      </c>
      <c r="C809" s="23" t="s">
        <v>11</v>
      </c>
      <c r="D809" s="24" t="s">
        <v>322</v>
      </c>
      <c r="E809" s="25">
        <v>69</v>
      </c>
      <c r="F809" t="s">
        <v>373</v>
      </c>
      <c r="G809" s="24" t="s">
        <v>31</v>
      </c>
      <c r="H809" s="24" t="s">
        <v>18</v>
      </c>
      <c r="I809" s="24">
        <v>6150</v>
      </c>
      <c r="J809" s="24">
        <v>4</v>
      </c>
      <c r="K809" s="25">
        <f t="shared" si="36"/>
        <v>24600</v>
      </c>
      <c r="L809" s="26">
        <v>45066</v>
      </c>
      <c r="M809" s="25" t="str">
        <f t="shared" si="37"/>
        <v>Saturday</v>
      </c>
      <c r="N809" s="25" t="str">
        <f t="shared" si="38"/>
        <v>Weekend</v>
      </c>
      <c r="Q809" s="25"/>
      <c r="R809" s="24"/>
      <c r="S809" s="27"/>
      <c r="T809"/>
      <c r="U809" s="6"/>
      <c r="W809" s="7"/>
      <c r="Z809" s="4"/>
    </row>
    <row r="810" spans="1:26" x14ac:dyDescent="0.3">
      <c r="A810" t="s">
        <v>1181</v>
      </c>
      <c r="B810" s="16" t="s">
        <v>249</v>
      </c>
      <c r="C810" s="17" t="s">
        <v>20</v>
      </c>
      <c r="D810" s="18" t="s">
        <v>322</v>
      </c>
      <c r="E810" s="19">
        <v>37</v>
      </c>
      <c r="F810" t="s">
        <v>373</v>
      </c>
      <c r="G810" s="18" t="s">
        <v>26</v>
      </c>
      <c r="H810" s="18" t="s">
        <v>27</v>
      </c>
      <c r="I810" s="18">
        <v>24600</v>
      </c>
      <c r="J810" s="18">
        <v>4</v>
      </c>
      <c r="K810" s="19">
        <f t="shared" si="36"/>
        <v>98400</v>
      </c>
      <c r="L810" s="20">
        <v>45043</v>
      </c>
      <c r="M810" s="19" t="str">
        <f t="shared" si="37"/>
        <v>Thursday</v>
      </c>
      <c r="N810" s="19" t="str">
        <f t="shared" si="38"/>
        <v>Weekday</v>
      </c>
      <c r="Q810" s="19"/>
      <c r="R810" s="18"/>
      <c r="S810" s="21"/>
      <c r="T810"/>
      <c r="U810" s="6"/>
      <c r="W810" s="7"/>
      <c r="Z810" s="4"/>
    </row>
    <row r="811" spans="1:26" x14ac:dyDescent="0.3">
      <c r="A811" t="s">
        <v>1182</v>
      </c>
      <c r="B811" s="22" t="s">
        <v>43</v>
      </c>
      <c r="C811" s="23" t="s">
        <v>11</v>
      </c>
      <c r="D811" s="24" t="s">
        <v>323</v>
      </c>
      <c r="E811" s="25">
        <v>32</v>
      </c>
      <c r="F811" t="s">
        <v>370</v>
      </c>
      <c r="G811" s="24" t="s">
        <v>13</v>
      </c>
      <c r="H811" s="24" t="s">
        <v>14</v>
      </c>
      <c r="I811" s="24">
        <v>36900</v>
      </c>
      <c r="J811" s="24">
        <v>2</v>
      </c>
      <c r="K811" s="25">
        <f t="shared" si="36"/>
        <v>73800</v>
      </c>
      <c r="L811" s="26">
        <v>45012</v>
      </c>
      <c r="M811" s="25" t="str">
        <f t="shared" si="37"/>
        <v>Monday</v>
      </c>
      <c r="N811" s="25" t="str">
        <f t="shared" si="38"/>
        <v>Weekday</v>
      </c>
      <c r="Q811" s="25"/>
      <c r="R811" s="24"/>
      <c r="S811" s="27"/>
      <c r="T811"/>
      <c r="U811" s="6"/>
      <c r="W811" s="7"/>
      <c r="Z811" s="4"/>
    </row>
    <row r="812" spans="1:26" x14ac:dyDescent="0.3">
      <c r="A812" t="s">
        <v>1183</v>
      </c>
      <c r="B812" s="16" t="s">
        <v>171</v>
      </c>
      <c r="C812" s="17" t="s">
        <v>11</v>
      </c>
      <c r="D812" s="18" t="s">
        <v>324</v>
      </c>
      <c r="E812" s="19">
        <v>51</v>
      </c>
      <c r="F812" t="s">
        <v>370</v>
      </c>
      <c r="G812" s="18" t="s">
        <v>13</v>
      </c>
      <c r="H812" s="18" t="s">
        <v>14</v>
      </c>
      <c r="I812" s="18">
        <v>36900</v>
      </c>
      <c r="J812" s="18">
        <v>5</v>
      </c>
      <c r="K812" s="19">
        <f t="shared" si="36"/>
        <v>184500</v>
      </c>
      <c r="L812" s="20">
        <v>45138</v>
      </c>
      <c r="M812" s="19" t="str">
        <f t="shared" si="37"/>
        <v>Monday</v>
      </c>
      <c r="N812" s="19" t="str">
        <f t="shared" si="38"/>
        <v>Weekday</v>
      </c>
      <c r="Q812" s="19"/>
      <c r="R812" s="18"/>
      <c r="S812" s="21"/>
      <c r="T812"/>
      <c r="U812" s="6"/>
      <c r="W812" s="7"/>
      <c r="Z812" s="4"/>
    </row>
    <row r="813" spans="1:26" x14ac:dyDescent="0.3">
      <c r="A813" t="s">
        <v>1184</v>
      </c>
      <c r="B813" s="22" t="s">
        <v>177</v>
      </c>
      <c r="C813" s="23" t="s">
        <v>11</v>
      </c>
      <c r="D813" s="24" t="s">
        <v>324</v>
      </c>
      <c r="E813" s="25">
        <v>58</v>
      </c>
      <c r="F813" t="s">
        <v>375</v>
      </c>
      <c r="G813" s="24" t="s">
        <v>31</v>
      </c>
      <c r="H813" s="24" t="s">
        <v>18</v>
      </c>
      <c r="I813" s="24">
        <v>6150</v>
      </c>
      <c r="J813" s="24">
        <v>4</v>
      </c>
      <c r="K813" s="25">
        <f t="shared" si="36"/>
        <v>24600</v>
      </c>
      <c r="L813" s="26">
        <v>44968</v>
      </c>
      <c r="M813" s="25" t="str">
        <f t="shared" si="37"/>
        <v>Saturday</v>
      </c>
      <c r="N813" s="25" t="str">
        <f t="shared" si="38"/>
        <v>Weekend</v>
      </c>
      <c r="Q813" s="25"/>
      <c r="R813" s="24"/>
      <c r="S813" s="27"/>
      <c r="T813"/>
      <c r="U813" s="6"/>
      <c r="W813" s="7"/>
      <c r="Z813" s="4"/>
    </row>
    <row r="814" spans="1:26" x14ac:dyDescent="0.3">
      <c r="A814" t="s">
        <v>1185</v>
      </c>
      <c r="B814" s="16" t="s">
        <v>223</v>
      </c>
      <c r="C814" s="17" t="s">
        <v>366</v>
      </c>
      <c r="D814" s="18" t="s">
        <v>326</v>
      </c>
      <c r="E814" s="19">
        <v>37</v>
      </c>
      <c r="F814" t="s">
        <v>370</v>
      </c>
      <c r="G814" s="18" t="s">
        <v>42</v>
      </c>
      <c r="H814" s="18" t="s">
        <v>14</v>
      </c>
      <c r="I814" s="18">
        <v>98400</v>
      </c>
      <c r="J814" s="18">
        <v>5</v>
      </c>
      <c r="K814" s="19">
        <f t="shared" si="36"/>
        <v>492000</v>
      </c>
      <c r="L814" s="20">
        <v>44930</v>
      </c>
      <c r="M814" s="19" t="str">
        <f t="shared" si="37"/>
        <v>Wednesday</v>
      </c>
      <c r="N814" s="19" t="str">
        <f t="shared" si="38"/>
        <v>Weekday</v>
      </c>
      <c r="Q814" s="19"/>
      <c r="R814" s="18"/>
      <c r="S814" s="21"/>
      <c r="T814"/>
      <c r="U814" s="6"/>
      <c r="W814" s="7"/>
      <c r="Z814" s="4"/>
    </row>
    <row r="815" spans="1:26" x14ac:dyDescent="0.3">
      <c r="A815" t="s">
        <v>1186</v>
      </c>
      <c r="B815" s="22" t="s">
        <v>260</v>
      </c>
      <c r="C815" s="23" t="s">
        <v>11</v>
      </c>
      <c r="D815" s="24" t="s">
        <v>322</v>
      </c>
      <c r="E815" s="25">
        <v>55</v>
      </c>
      <c r="F815" t="s">
        <v>375</v>
      </c>
      <c r="G815" s="24" t="s">
        <v>26</v>
      </c>
      <c r="H815" s="24" t="s">
        <v>27</v>
      </c>
      <c r="I815" s="24">
        <v>24600</v>
      </c>
      <c r="J815" s="24">
        <v>3</v>
      </c>
      <c r="K815" s="25">
        <f t="shared" si="36"/>
        <v>73800</v>
      </c>
      <c r="L815" s="26">
        <v>45168</v>
      </c>
      <c r="M815" s="25" t="str">
        <f t="shared" si="37"/>
        <v>Wednesday</v>
      </c>
      <c r="N815" s="25" t="str">
        <f t="shared" si="38"/>
        <v>Weekday</v>
      </c>
      <c r="Q815" s="25"/>
      <c r="R815" s="24"/>
      <c r="S815" s="27"/>
      <c r="T815"/>
      <c r="U815" s="6"/>
      <c r="W815" s="7"/>
      <c r="Z815" s="4"/>
    </row>
    <row r="816" spans="1:26" x14ac:dyDescent="0.3">
      <c r="A816" t="s">
        <v>1187</v>
      </c>
      <c r="B816" s="16" t="s">
        <v>58</v>
      </c>
      <c r="C816" s="17" t="s">
        <v>366</v>
      </c>
      <c r="D816" s="18" t="s">
        <v>322</v>
      </c>
      <c r="E816" s="19">
        <v>35</v>
      </c>
      <c r="F816" t="s">
        <v>381</v>
      </c>
      <c r="G816" s="18" t="s">
        <v>13</v>
      </c>
      <c r="H816" s="18" t="s">
        <v>14</v>
      </c>
      <c r="I816" s="18">
        <v>36900</v>
      </c>
      <c r="J816" s="18">
        <v>5</v>
      </c>
      <c r="K816" s="19">
        <f t="shared" si="36"/>
        <v>184500</v>
      </c>
      <c r="L816" s="20">
        <v>44991</v>
      </c>
      <c r="M816" s="19" t="str">
        <f t="shared" si="37"/>
        <v>Monday</v>
      </c>
      <c r="N816" s="19" t="str">
        <f t="shared" si="38"/>
        <v>Weekday</v>
      </c>
      <c r="Q816" s="19"/>
      <c r="R816" s="18"/>
      <c r="S816" s="21"/>
      <c r="T816"/>
      <c r="U816" s="6"/>
      <c r="W816" s="7"/>
      <c r="Z816" s="4"/>
    </row>
    <row r="817" spans="1:26" x14ac:dyDescent="0.3">
      <c r="A817" t="s">
        <v>1188</v>
      </c>
      <c r="B817" s="22" t="s">
        <v>175</v>
      </c>
      <c r="C817" s="23" t="s">
        <v>20</v>
      </c>
      <c r="D817" s="24" t="s">
        <v>322</v>
      </c>
      <c r="E817" s="25">
        <v>60</v>
      </c>
      <c r="F817" t="s">
        <v>375</v>
      </c>
      <c r="G817" s="24" t="s">
        <v>13</v>
      </c>
      <c r="H817" s="24" t="s">
        <v>14</v>
      </c>
      <c r="I817" s="24">
        <v>36900</v>
      </c>
      <c r="J817" s="24">
        <v>3</v>
      </c>
      <c r="K817" s="25">
        <f t="shared" si="36"/>
        <v>110700</v>
      </c>
      <c r="L817" s="26">
        <v>44983</v>
      </c>
      <c r="M817" s="25" t="str">
        <f t="shared" si="37"/>
        <v>Sunday</v>
      </c>
      <c r="N817" s="25" t="str">
        <f t="shared" si="38"/>
        <v>Weekday</v>
      </c>
      <c r="Q817" s="25"/>
      <c r="R817" s="24"/>
      <c r="S817" s="27"/>
      <c r="T817"/>
      <c r="U817" s="6"/>
      <c r="W817" s="7"/>
      <c r="Z817" s="4"/>
    </row>
    <row r="818" spans="1:26" x14ac:dyDescent="0.3">
      <c r="A818" t="s">
        <v>1189</v>
      </c>
      <c r="B818" s="16" t="s">
        <v>168</v>
      </c>
      <c r="C818" s="17" t="s">
        <v>11</v>
      </c>
      <c r="D818" s="18" t="s">
        <v>324</v>
      </c>
      <c r="E818" s="19">
        <v>43</v>
      </c>
      <c r="F818" t="s">
        <v>370</v>
      </c>
      <c r="G818" s="18" t="s">
        <v>42</v>
      </c>
      <c r="H818" s="18" t="s">
        <v>14</v>
      </c>
      <c r="I818" s="18">
        <v>98400</v>
      </c>
      <c r="J818" s="18">
        <v>4</v>
      </c>
      <c r="K818" s="19">
        <f t="shared" si="36"/>
        <v>393600</v>
      </c>
      <c r="L818" s="20">
        <v>44982</v>
      </c>
      <c r="M818" s="19" t="str">
        <f t="shared" si="37"/>
        <v>Saturday</v>
      </c>
      <c r="N818" s="19" t="str">
        <f t="shared" si="38"/>
        <v>Weekend</v>
      </c>
      <c r="Q818" s="19"/>
      <c r="R818" s="18"/>
      <c r="S818" s="21"/>
      <c r="T818"/>
      <c r="U818" s="6"/>
      <c r="W818" s="7"/>
      <c r="Z818" s="4"/>
    </row>
    <row r="819" spans="1:26" x14ac:dyDescent="0.3">
      <c r="A819" t="s">
        <v>1190</v>
      </c>
      <c r="B819" s="22" t="s">
        <v>210</v>
      </c>
      <c r="C819" s="23" t="s">
        <v>11</v>
      </c>
      <c r="D819" s="24" t="s">
        <v>322</v>
      </c>
      <c r="E819" s="25">
        <v>26</v>
      </c>
      <c r="F819" t="s">
        <v>381</v>
      </c>
      <c r="G819" s="24" t="s">
        <v>26</v>
      </c>
      <c r="H819" s="24" t="s">
        <v>27</v>
      </c>
      <c r="I819" s="24">
        <v>24600</v>
      </c>
      <c r="J819" s="24">
        <v>4</v>
      </c>
      <c r="K819" s="25">
        <f t="shared" si="36"/>
        <v>98400</v>
      </c>
      <c r="L819" s="26">
        <v>44929</v>
      </c>
      <c r="M819" s="25" t="str">
        <f t="shared" si="37"/>
        <v>Tuesday</v>
      </c>
      <c r="N819" s="25" t="str">
        <f t="shared" si="38"/>
        <v>Weekday</v>
      </c>
      <c r="Q819" s="25"/>
      <c r="R819" s="24"/>
      <c r="S819" s="27"/>
      <c r="T819"/>
      <c r="U819" s="6"/>
      <c r="W819" s="7"/>
      <c r="Z819" s="4"/>
    </row>
    <row r="820" spans="1:26" x14ac:dyDescent="0.3">
      <c r="A820" t="s">
        <v>1191</v>
      </c>
      <c r="B820" s="16" t="s">
        <v>253</v>
      </c>
      <c r="C820" s="17" t="s">
        <v>366</v>
      </c>
      <c r="D820" s="18" t="s">
        <v>323</v>
      </c>
      <c r="E820" s="19">
        <v>51</v>
      </c>
      <c r="F820" t="s">
        <v>381</v>
      </c>
      <c r="G820" s="18" t="s">
        <v>13</v>
      </c>
      <c r="H820" s="18" t="s">
        <v>14</v>
      </c>
      <c r="I820" s="18">
        <v>36900</v>
      </c>
      <c r="J820" s="18">
        <v>4</v>
      </c>
      <c r="K820" s="19">
        <f t="shared" si="36"/>
        <v>147600</v>
      </c>
      <c r="L820" s="20">
        <v>45288</v>
      </c>
      <c r="M820" s="19" t="str">
        <f t="shared" si="37"/>
        <v>Thursday</v>
      </c>
      <c r="N820" s="19" t="str">
        <f t="shared" si="38"/>
        <v>Weekday</v>
      </c>
      <c r="Q820" s="19"/>
      <c r="R820" s="18"/>
      <c r="S820" s="21"/>
      <c r="T820"/>
      <c r="U820" s="6"/>
      <c r="W820" s="7"/>
      <c r="Z820" s="4"/>
    </row>
    <row r="821" spans="1:26" x14ac:dyDescent="0.3">
      <c r="A821" t="s">
        <v>1192</v>
      </c>
      <c r="B821" s="22" t="s">
        <v>273</v>
      </c>
      <c r="C821" s="23" t="s">
        <v>366</v>
      </c>
      <c r="D821" s="24" t="s">
        <v>322</v>
      </c>
      <c r="E821" s="25">
        <v>65</v>
      </c>
      <c r="F821" t="s">
        <v>375</v>
      </c>
      <c r="G821" s="24" t="s">
        <v>31</v>
      </c>
      <c r="H821" s="24" t="s">
        <v>18</v>
      </c>
      <c r="I821" s="24">
        <v>6150</v>
      </c>
      <c r="J821" s="24">
        <v>3</v>
      </c>
      <c r="K821" s="25">
        <f t="shared" si="36"/>
        <v>18450</v>
      </c>
      <c r="L821" s="26">
        <v>45248</v>
      </c>
      <c r="M821" s="25" t="str">
        <f t="shared" si="37"/>
        <v>Saturday</v>
      </c>
      <c r="N821" s="25" t="str">
        <f t="shared" si="38"/>
        <v>Weekend</v>
      </c>
      <c r="Q821" s="25"/>
      <c r="R821" s="24"/>
      <c r="S821" s="27"/>
      <c r="T821"/>
      <c r="U821" s="6"/>
      <c r="W821" s="7"/>
      <c r="Z821" s="4"/>
    </row>
    <row r="822" spans="1:26" x14ac:dyDescent="0.3">
      <c r="A822" t="s">
        <v>1193</v>
      </c>
      <c r="B822" s="16" t="s">
        <v>307</v>
      </c>
      <c r="C822" s="17" t="s">
        <v>11</v>
      </c>
      <c r="D822" s="18" t="s">
        <v>322</v>
      </c>
      <c r="E822" s="19">
        <v>24</v>
      </c>
      <c r="F822" t="s">
        <v>373</v>
      </c>
      <c r="G822" s="18" t="s">
        <v>26</v>
      </c>
      <c r="H822" s="18" t="s">
        <v>27</v>
      </c>
      <c r="I822" s="18">
        <v>24600</v>
      </c>
      <c r="J822" s="18">
        <v>3</v>
      </c>
      <c r="K822" s="19">
        <f t="shared" si="36"/>
        <v>73800</v>
      </c>
      <c r="L822" s="20">
        <v>44996</v>
      </c>
      <c r="M822" s="19" t="str">
        <f t="shared" si="37"/>
        <v>Saturday</v>
      </c>
      <c r="N822" s="19" t="str">
        <f t="shared" si="38"/>
        <v>Weekend</v>
      </c>
      <c r="Q822" s="19"/>
      <c r="R822" s="18"/>
      <c r="S822" s="21"/>
      <c r="T822"/>
      <c r="U822" s="6"/>
      <c r="W822" s="7"/>
      <c r="Z822" s="4"/>
    </row>
    <row r="823" spans="1:26" x14ac:dyDescent="0.3">
      <c r="A823" t="s">
        <v>1194</v>
      </c>
      <c r="B823" s="22" t="s">
        <v>172</v>
      </c>
      <c r="C823" s="23" t="s">
        <v>20</v>
      </c>
      <c r="D823" s="24" t="s">
        <v>327</v>
      </c>
      <c r="E823" s="25">
        <v>57</v>
      </c>
      <c r="F823" t="s">
        <v>370</v>
      </c>
      <c r="G823" s="24" t="s">
        <v>17</v>
      </c>
      <c r="H823" s="24" t="s">
        <v>18</v>
      </c>
      <c r="I823" s="24">
        <v>12300</v>
      </c>
      <c r="J823" s="24">
        <v>4</v>
      </c>
      <c r="K823" s="25">
        <f t="shared" si="36"/>
        <v>49200</v>
      </c>
      <c r="L823" s="26">
        <v>45188</v>
      </c>
      <c r="M823" s="25" t="str">
        <f t="shared" si="37"/>
        <v>Tuesday</v>
      </c>
      <c r="N823" s="25" t="str">
        <f t="shared" si="38"/>
        <v>Weekday</v>
      </c>
      <c r="Q823" s="25"/>
      <c r="R823" s="24"/>
      <c r="S823" s="27"/>
      <c r="T823"/>
      <c r="U823" s="6"/>
      <c r="W823" s="7"/>
      <c r="Z823" s="4"/>
    </row>
    <row r="824" spans="1:26" x14ac:dyDescent="0.3">
      <c r="A824" t="s">
        <v>1195</v>
      </c>
      <c r="B824" s="16" t="s">
        <v>81</v>
      </c>
      <c r="C824" s="17" t="s">
        <v>366</v>
      </c>
      <c r="D824" s="18" t="s">
        <v>322</v>
      </c>
      <c r="E824" s="19">
        <v>52</v>
      </c>
      <c r="F824" t="s">
        <v>370</v>
      </c>
      <c r="G824" s="18" t="s">
        <v>26</v>
      </c>
      <c r="H824" s="18" t="s">
        <v>27</v>
      </c>
      <c r="I824" s="18">
        <v>24600</v>
      </c>
      <c r="J824" s="18">
        <v>5</v>
      </c>
      <c r="K824" s="19">
        <f t="shared" si="36"/>
        <v>123000</v>
      </c>
      <c r="L824" s="20">
        <v>45061</v>
      </c>
      <c r="M824" s="19" t="str">
        <f t="shared" si="37"/>
        <v>Monday</v>
      </c>
      <c r="N824" s="19" t="str">
        <f t="shared" si="38"/>
        <v>Weekday</v>
      </c>
      <c r="Q824" s="19"/>
      <c r="R824" s="18"/>
      <c r="S824" s="21"/>
      <c r="T824"/>
      <c r="U824" s="6"/>
      <c r="W824" s="7"/>
      <c r="Z824" s="4"/>
    </row>
    <row r="825" spans="1:26" x14ac:dyDescent="0.3">
      <c r="A825" t="s">
        <v>1196</v>
      </c>
      <c r="B825" s="22" t="s">
        <v>99</v>
      </c>
      <c r="C825" s="23" t="s">
        <v>11</v>
      </c>
      <c r="D825" s="24" t="s">
        <v>327</v>
      </c>
      <c r="E825" s="25">
        <v>59</v>
      </c>
      <c r="F825" t="s">
        <v>373</v>
      </c>
      <c r="G825" s="24" t="s">
        <v>13</v>
      </c>
      <c r="H825" s="24" t="s">
        <v>14</v>
      </c>
      <c r="I825" s="24">
        <v>36900</v>
      </c>
      <c r="J825" s="24">
        <v>4</v>
      </c>
      <c r="K825" s="25">
        <f t="shared" si="36"/>
        <v>147600</v>
      </c>
      <c r="L825" s="26">
        <v>45222</v>
      </c>
      <c r="M825" s="25" t="str">
        <f t="shared" si="37"/>
        <v>Monday</v>
      </c>
      <c r="N825" s="25" t="str">
        <f t="shared" si="38"/>
        <v>Weekday</v>
      </c>
      <c r="Q825" s="25"/>
      <c r="R825" s="24"/>
      <c r="S825" s="27"/>
      <c r="T825"/>
      <c r="U825" s="6"/>
      <c r="W825" s="7"/>
      <c r="Z825" s="4"/>
    </row>
    <row r="826" spans="1:26" x14ac:dyDescent="0.3">
      <c r="A826" t="s">
        <v>1197</v>
      </c>
      <c r="B826" s="16" t="s">
        <v>229</v>
      </c>
      <c r="C826" s="17" t="s">
        <v>11</v>
      </c>
      <c r="D826" s="18" t="s">
        <v>324</v>
      </c>
      <c r="E826" s="19">
        <v>66</v>
      </c>
      <c r="F826" t="s">
        <v>370</v>
      </c>
      <c r="G826" s="18" t="s">
        <v>26</v>
      </c>
      <c r="H826" s="18" t="s">
        <v>27</v>
      </c>
      <c r="I826" s="18">
        <v>24600</v>
      </c>
      <c r="J826" s="18">
        <v>5</v>
      </c>
      <c r="K826" s="19">
        <f t="shared" si="36"/>
        <v>123000</v>
      </c>
      <c r="L826" s="20">
        <v>44992</v>
      </c>
      <c r="M826" s="19" t="str">
        <f t="shared" si="37"/>
        <v>Tuesday</v>
      </c>
      <c r="N826" s="19" t="str">
        <f t="shared" si="38"/>
        <v>Weekday</v>
      </c>
      <c r="Q826" s="19"/>
      <c r="R826" s="18"/>
      <c r="S826" s="21"/>
      <c r="T826"/>
      <c r="U826" s="6"/>
      <c r="W826" s="7"/>
      <c r="Z826" s="4"/>
    </row>
    <row r="827" spans="1:26" x14ac:dyDescent="0.3">
      <c r="A827" t="s">
        <v>1198</v>
      </c>
      <c r="B827" s="22" t="s">
        <v>246</v>
      </c>
      <c r="C827" s="23" t="s">
        <v>11</v>
      </c>
      <c r="D827" s="24" t="s">
        <v>326</v>
      </c>
      <c r="E827" s="25">
        <v>23</v>
      </c>
      <c r="F827" t="s">
        <v>373</v>
      </c>
      <c r="G827" s="24" t="s">
        <v>31</v>
      </c>
      <c r="H827" s="24" t="s">
        <v>18</v>
      </c>
      <c r="I827" s="24">
        <v>6150</v>
      </c>
      <c r="J827" s="24">
        <v>1</v>
      </c>
      <c r="K827" s="25">
        <f t="shared" si="36"/>
        <v>6150</v>
      </c>
      <c r="L827" s="26">
        <v>44942</v>
      </c>
      <c r="M827" s="25" t="str">
        <f t="shared" si="37"/>
        <v>Monday</v>
      </c>
      <c r="N827" s="25" t="str">
        <f t="shared" si="38"/>
        <v>Weekday</v>
      </c>
      <c r="Q827" s="25"/>
      <c r="R827" s="24"/>
      <c r="S827" s="27"/>
      <c r="T827"/>
      <c r="U827" s="6"/>
      <c r="W827" s="7"/>
      <c r="Z827" s="4"/>
    </row>
    <row r="828" spans="1:26" x14ac:dyDescent="0.3">
      <c r="A828" t="s">
        <v>1199</v>
      </c>
      <c r="B828" s="16" t="s">
        <v>47</v>
      </c>
      <c r="C828" s="17" t="s">
        <v>20</v>
      </c>
      <c r="D828" s="18" t="s">
        <v>324</v>
      </c>
      <c r="E828" s="19">
        <v>52</v>
      </c>
      <c r="F828" t="s">
        <v>373</v>
      </c>
      <c r="G828" s="18" t="s">
        <v>26</v>
      </c>
      <c r="H828" s="18" t="s">
        <v>27</v>
      </c>
      <c r="I828" s="18">
        <v>24600</v>
      </c>
      <c r="J828" s="18">
        <v>3</v>
      </c>
      <c r="K828" s="19">
        <f t="shared" si="36"/>
        <v>73800</v>
      </c>
      <c r="L828" s="20">
        <v>45026</v>
      </c>
      <c r="M828" s="19" t="str">
        <f t="shared" si="37"/>
        <v>Monday</v>
      </c>
      <c r="N828" s="19" t="str">
        <f t="shared" si="38"/>
        <v>Weekday</v>
      </c>
      <c r="Q828" s="19"/>
      <c r="R828" s="18"/>
      <c r="S828" s="21"/>
      <c r="T828"/>
      <c r="U828" s="6"/>
      <c r="W828" s="7"/>
      <c r="Z828" s="4"/>
    </row>
    <row r="829" spans="1:26" x14ac:dyDescent="0.3">
      <c r="A829" t="s">
        <v>1200</v>
      </c>
      <c r="B829" s="22" t="s">
        <v>188</v>
      </c>
      <c r="C829" s="23" t="s">
        <v>20</v>
      </c>
      <c r="D829" s="24" t="s">
        <v>322</v>
      </c>
      <c r="E829" s="25">
        <v>40</v>
      </c>
      <c r="F829" t="s">
        <v>381</v>
      </c>
      <c r="G829" s="24" t="s">
        <v>17</v>
      </c>
      <c r="H829" s="24" t="s">
        <v>18</v>
      </c>
      <c r="I829" s="24">
        <v>12300</v>
      </c>
      <c r="J829" s="24">
        <v>3</v>
      </c>
      <c r="K829" s="25">
        <f t="shared" si="36"/>
        <v>36900</v>
      </c>
      <c r="L829" s="26">
        <v>45182</v>
      </c>
      <c r="M829" s="25" t="str">
        <f t="shared" si="37"/>
        <v>Wednesday</v>
      </c>
      <c r="N829" s="25" t="str">
        <f t="shared" si="38"/>
        <v>Weekday</v>
      </c>
      <c r="Q829" s="25"/>
      <c r="R829" s="24"/>
      <c r="S829" s="27"/>
      <c r="T829"/>
      <c r="U829" s="6"/>
      <c r="W829" s="7"/>
      <c r="Z829" s="4"/>
    </row>
    <row r="830" spans="1:26" x14ac:dyDescent="0.3">
      <c r="A830" t="s">
        <v>1201</v>
      </c>
      <c r="B830" s="16" t="s">
        <v>191</v>
      </c>
      <c r="C830" s="17" t="s">
        <v>11</v>
      </c>
      <c r="D830" s="18" t="s">
        <v>326</v>
      </c>
      <c r="E830" s="19">
        <v>69</v>
      </c>
      <c r="F830" t="s">
        <v>381</v>
      </c>
      <c r="G830" s="18" t="s">
        <v>24</v>
      </c>
      <c r="H830" s="18" t="s">
        <v>14</v>
      </c>
      <c r="I830" s="18">
        <v>184500</v>
      </c>
      <c r="J830" s="18">
        <v>3</v>
      </c>
      <c r="K830" s="19">
        <f t="shared" si="36"/>
        <v>553500</v>
      </c>
      <c r="L830" s="20">
        <v>45195</v>
      </c>
      <c r="M830" s="19" t="str">
        <f t="shared" si="37"/>
        <v>Tuesday</v>
      </c>
      <c r="N830" s="19" t="str">
        <f t="shared" si="38"/>
        <v>Weekday</v>
      </c>
      <c r="Q830" s="19"/>
      <c r="R830" s="18"/>
      <c r="S830" s="21"/>
      <c r="T830"/>
      <c r="U830" s="6"/>
      <c r="W830" s="7"/>
      <c r="Z830" s="4"/>
    </row>
    <row r="831" spans="1:26" x14ac:dyDescent="0.3">
      <c r="A831" t="s">
        <v>1202</v>
      </c>
      <c r="B831" s="22" t="s">
        <v>276</v>
      </c>
      <c r="C831" s="23" t="s">
        <v>20</v>
      </c>
      <c r="D831" s="24" t="s">
        <v>324</v>
      </c>
      <c r="E831" s="25">
        <v>56</v>
      </c>
      <c r="F831" t="s">
        <v>375</v>
      </c>
      <c r="G831" s="24" t="s">
        <v>32</v>
      </c>
      <c r="H831" s="24" t="s">
        <v>18</v>
      </c>
      <c r="I831" s="24">
        <v>3690</v>
      </c>
      <c r="J831" s="24">
        <v>4</v>
      </c>
      <c r="K831" s="25">
        <f t="shared" si="36"/>
        <v>14760</v>
      </c>
      <c r="L831" s="26">
        <v>45253</v>
      </c>
      <c r="M831" s="25" t="str">
        <f t="shared" si="37"/>
        <v>Thursday</v>
      </c>
      <c r="N831" s="25" t="str">
        <f t="shared" si="38"/>
        <v>Weekday</v>
      </c>
      <c r="Q831" s="25"/>
      <c r="R831" s="24"/>
      <c r="S831" s="27"/>
      <c r="T831"/>
      <c r="U831" s="6"/>
      <c r="W831" s="7"/>
      <c r="Z831" s="4"/>
    </row>
    <row r="832" spans="1:26" x14ac:dyDescent="0.3">
      <c r="A832" t="s">
        <v>1203</v>
      </c>
      <c r="B832" s="16" t="s">
        <v>157</v>
      </c>
      <c r="C832" s="17" t="s">
        <v>11</v>
      </c>
      <c r="D832" s="18" t="s">
        <v>322</v>
      </c>
      <c r="E832" s="19">
        <v>60</v>
      </c>
      <c r="F832" t="s">
        <v>381</v>
      </c>
      <c r="G832" s="18" t="s">
        <v>42</v>
      </c>
      <c r="H832" s="18" t="s">
        <v>14</v>
      </c>
      <c r="I832" s="18">
        <v>98400</v>
      </c>
      <c r="J832" s="18">
        <v>3</v>
      </c>
      <c r="K832" s="19">
        <f t="shared" si="36"/>
        <v>295200</v>
      </c>
      <c r="L832" s="20">
        <v>45150</v>
      </c>
      <c r="M832" s="19" t="str">
        <f t="shared" si="37"/>
        <v>Saturday</v>
      </c>
      <c r="N832" s="19" t="str">
        <f t="shared" si="38"/>
        <v>Weekend</v>
      </c>
      <c r="Q832" s="19"/>
      <c r="R832" s="18"/>
      <c r="S832" s="21"/>
      <c r="T832"/>
      <c r="U832" s="6"/>
      <c r="W832" s="7"/>
      <c r="Z832" s="4"/>
    </row>
    <row r="833" spans="1:26" x14ac:dyDescent="0.3">
      <c r="A833" t="s">
        <v>1204</v>
      </c>
      <c r="B833" s="22" t="s">
        <v>241</v>
      </c>
      <c r="C833" s="23" t="s">
        <v>11</v>
      </c>
      <c r="D833" s="24" t="s">
        <v>322</v>
      </c>
      <c r="E833" s="25">
        <v>56</v>
      </c>
      <c r="F833" t="s">
        <v>373</v>
      </c>
      <c r="G833" s="24" t="s">
        <v>42</v>
      </c>
      <c r="H833" s="24" t="s">
        <v>14</v>
      </c>
      <c r="I833" s="24">
        <v>98400</v>
      </c>
      <c r="J833" s="24">
        <v>5</v>
      </c>
      <c r="K833" s="25">
        <f t="shared" si="36"/>
        <v>492000</v>
      </c>
      <c r="L833" s="26">
        <v>45273</v>
      </c>
      <c r="M833" s="25" t="str">
        <f t="shared" si="37"/>
        <v>Wednesday</v>
      </c>
      <c r="N833" s="25" t="str">
        <f t="shared" si="38"/>
        <v>Weekday</v>
      </c>
      <c r="Q833" s="25"/>
      <c r="R833" s="24"/>
      <c r="S833" s="27"/>
      <c r="T833"/>
      <c r="U833" s="6"/>
      <c r="W833" s="7"/>
      <c r="Z833" s="4"/>
    </row>
    <row r="834" spans="1:26" x14ac:dyDescent="0.3">
      <c r="A834" t="s">
        <v>1205</v>
      </c>
      <c r="B834" s="16" t="s">
        <v>308</v>
      </c>
      <c r="C834" s="17" t="s">
        <v>366</v>
      </c>
      <c r="D834" s="18" t="s">
        <v>324</v>
      </c>
      <c r="E834" s="19">
        <v>44</v>
      </c>
      <c r="F834" t="s">
        <v>375</v>
      </c>
      <c r="G834" s="18" t="s">
        <v>26</v>
      </c>
      <c r="H834" s="18" t="s">
        <v>27</v>
      </c>
      <c r="I834" s="18">
        <v>24600</v>
      </c>
      <c r="J834" s="18">
        <v>1</v>
      </c>
      <c r="K834" s="19">
        <f t="shared" ref="K834:K897" si="39">I834*J834</f>
        <v>24600</v>
      </c>
      <c r="L834" s="20">
        <v>45115</v>
      </c>
      <c r="M834" s="19" t="str">
        <f t="shared" ref="M834:M897" si="40">TEXT(L834, "dddd")</f>
        <v>Saturday</v>
      </c>
      <c r="N834" s="19" t="str">
        <f t="shared" ref="N834:N897" si="41">IF(OR(WEEKDAY(L834, 2)=5, WEEKDAY(L834, 2)=6), "Weekend", "Weekday")</f>
        <v>Weekend</v>
      </c>
      <c r="Q834" s="19"/>
      <c r="R834" s="18"/>
      <c r="S834" s="21"/>
      <c r="T834"/>
      <c r="U834" s="6"/>
      <c r="W834" s="7"/>
      <c r="Z834" s="4"/>
    </row>
    <row r="835" spans="1:26" x14ac:dyDescent="0.3">
      <c r="A835" t="s">
        <v>1206</v>
      </c>
      <c r="B835" s="22" t="s">
        <v>101</v>
      </c>
      <c r="C835" s="23" t="s">
        <v>11</v>
      </c>
      <c r="D835" s="24" t="s">
        <v>322</v>
      </c>
      <c r="E835" s="25">
        <v>19</v>
      </c>
      <c r="F835" t="s">
        <v>370</v>
      </c>
      <c r="G835" s="24" t="s">
        <v>31</v>
      </c>
      <c r="H835" s="24" t="s">
        <v>18</v>
      </c>
      <c r="I835" s="24">
        <v>6150</v>
      </c>
      <c r="J835" s="24">
        <v>3</v>
      </c>
      <c r="K835" s="25">
        <f t="shared" si="39"/>
        <v>18450</v>
      </c>
      <c r="L835" s="26">
        <v>45132</v>
      </c>
      <c r="M835" s="25" t="str">
        <f t="shared" si="40"/>
        <v>Tuesday</v>
      </c>
      <c r="N835" s="25" t="str">
        <f t="shared" si="41"/>
        <v>Weekday</v>
      </c>
      <c r="Q835" s="25"/>
      <c r="R835" s="24"/>
      <c r="S835" s="27"/>
      <c r="T835"/>
      <c r="U835" s="6"/>
      <c r="W835" s="7"/>
      <c r="Z835" s="4"/>
    </row>
    <row r="836" spans="1:26" x14ac:dyDescent="0.3">
      <c r="A836" t="s">
        <v>1207</v>
      </c>
      <c r="B836" s="16" t="s">
        <v>301</v>
      </c>
      <c r="C836" s="17" t="s">
        <v>11</v>
      </c>
      <c r="D836" s="18" t="s">
        <v>323</v>
      </c>
      <c r="E836" s="19">
        <v>40</v>
      </c>
      <c r="F836" t="s">
        <v>373</v>
      </c>
      <c r="G836" s="18" t="s">
        <v>26</v>
      </c>
      <c r="H836" s="18" t="s">
        <v>27</v>
      </c>
      <c r="I836" s="18">
        <v>24600</v>
      </c>
      <c r="J836" s="18">
        <v>1</v>
      </c>
      <c r="K836" s="19">
        <f t="shared" si="39"/>
        <v>24600</v>
      </c>
      <c r="L836" s="20">
        <v>45115</v>
      </c>
      <c r="M836" s="19" t="str">
        <f t="shared" si="40"/>
        <v>Saturday</v>
      </c>
      <c r="N836" s="19" t="str">
        <f t="shared" si="41"/>
        <v>Weekend</v>
      </c>
      <c r="Q836" s="19"/>
      <c r="R836" s="18"/>
      <c r="S836" s="21"/>
      <c r="T836"/>
      <c r="U836" s="6"/>
      <c r="W836" s="7"/>
      <c r="Z836" s="4"/>
    </row>
    <row r="837" spans="1:26" x14ac:dyDescent="0.3">
      <c r="A837" t="s">
        <v>1208</v>
      </c>
      <c r="B837" s="22" t="s">
        <v>299</v>
      </c>
      <c r="C837" s="23" t="s">
        <v>366</v>
      </c>
      <c r="D837" s="24" t="s">
        <v>329</v>
      </c>
      <c r="E837" s="25">
        <v>44</v>
      </c>
      <c r="F837" t="s">
        <v>375</v>
      </c>
      <c r="G837" s="24" t="s">
        <v>17</v>
      </c>
      <c r="H837" s="24" t="s">
        <v>18</v>
      </c>
      <c r="I837" s="24">
        <v>12300</v>
      </c>
      <c r="J837" s="24">
        <v>1</v>
      </c>
      <c r="K837" s="25">
        <f t="shared" si="39"/>
        <v>12300</v>
      </c>
      <c r="L837" s="26">
        <v>45135</v>
      </c>
      <c r="M837" s="25" t="str">
        <f t="shared" si="40"/>
        <v>Friday</v>
      </c>
      <c r="N837" s="25" t="str">
        <f t="shared" si="41"/>
        <v>Weekend</v>
      </c>
      <c r="Q837" s="25"/>
      <c r="R837" s="24"/>
      <c r="S837" s="27"/>
      <c r="T837"/>
      <c r="U837" s="6"/>
      <c r="W837" s="7"/>
      <c r="Z837" s="4"/>
    </row>
    <row r="838" spans="1:26" x14ac:dyDescent="0.3">
      <c r="A838" t="s">
        <v>1209</v>
      </c>
      <c r="B838" s="16" t="s">
        <v>256</v>
      </c>
      <c r="C838" s="17" t="s">
        <v>11</v>
      </c>
      <c r="D838" s="18" t="s">
        <v>322</v>
      </c>
      <c r="E838" s="19">
        <v>69</v>
      </c>
      <c r="F838" t="s">
        <v>381</v>
      </c>
      <c r="G838" s="18" t="s">
        <v>24</v>
      </c>
      <c r="H838" s="18" t="s">
        <v>14</v>
      </c>
      <c r="I838" s="18">
        <v>184500</v>
      </c>
      <c r="J838" s="18">
        <v>1</v>
      </c>
      <c r="K838" s="19">
        <f t="shared" si="39"/>
        <v>184500</v>
      </c>
      <c r="L838" s="20">
        <v>45188</v>
      </c>
      <c r="M838" s="19" t="str">
        <f t="shared" si="40"/>
        <v>Tuesday</v>
      </c>
      <c r="N838" s="19" t="str">
        <f t="shared" si="41"/>
        <v>Weekday</v>
      </c>
      <c r="Q838" s="19"/>
      <c r="R838" s="18"/>
      <c r="S838" s="21"/>
      <c r="T838"/>
      <c r="U838" s="6"/>
      <c r="W838" s="7"/>
      <c r="Z838" s="4"/>
    </row>
    <row r="839" spans="1:26" x14ac:dyDescent="0.3">
      <c r="A839" t="s">
        <v>1210</v>
      </c>
      <c r="B839" s="22" t="s">
        <v>162</v>
      </c>
      <c r="C839" s="23" t="s">
        <v>11</v>
      </c>
      <c r="D839" s="24" t="s">
        <v>329</v>
      </c>
      <c r="E839" s="25">
        <v>27</v>
      </c>
      <c r="F839" t="s">
        <v>373</v>
      </c>
      <c r="G839" s="24" t="s">
        <v>26</v>
      </c>
      <c r="H839" s="24" t="s">
        <v>27</v>
      </c>
      <c r="I839" s="24">
        <v>24600</v>
      </c>
      <c r="J839" s="24">
        <v>2</v>
      </c>
      <c r="K839" s="25">
        <f t="shared" si="39"/>
        <v>49200</v>
      </c>
      <c r="L839" s="26">
        <v>44944</v>
      </c>
      <c r="M839" s="25" t="str">
        <f t="shared" si="40"/>
        <v>Wednesday</v>
      </c>
      <c r="N839" s="25" t="str">
        <f t="shared" si="41"/>
        <v>Weekday</v>
      </c>
      <c r="Q839" s="25"/>
      <c r="R839" s="24"/>
      <c r="S839" s="27"/>
      <c r="T839"/>
      <c r="U839" s="6"/>
      <c r="W839" s="7"/>
      <c r="Z839" s="4"/>
    </row>
    <row r="840" spans="1:26" x14ac:dyDescent="0.3">
      <c r="A840" t="s">
        <v>1211</v>
      </c>
      <c r="B840" s="16" t="s">
        <v>87</v>
      </c>
      <c r="C840" s="17" t="s">
        <v>20</v>
      </c>
      <c r="D840" s="18" t="s">
        <v>322</v>
      </c>
      <c r="E840" s="19">
        <v>41</v>
      </c>
      <c r="F840" t="s">
        <v>375</v>
      </c>
      <c r="G840" s="18" t="s">
        <v>26</v>
      </c>
      <c r="H840" s="18" t="s">
        <v>27</v>
      </c>
      <c r="I840" s="18">
        <v>24600</v>
      </c>
      <c r="J840" s="18">
        <v>5</v>
      </c>
      <c r="K840" s="19">
        <f t="shared" si="39"/>
        <v>123000</v>
      </c>
      <c r="L840" s="20">
        <v>44932</v>
      </c>
      <c r="M840" s="19" t="str">
        <f t="shared" si="40"/>
        <v>Friday</v>
      </c>
      <c r="N840" s="19" t="str">
        <f t="shared" si="41"/>
        <v>Weekend</v>
      </c>
      <c r="Q840" s="19"/>
      <c r="R840" s="18"/>
      <c r="S840" s="21"/>
      <c r="T840"/>
      <c r="U840" s="6"/>
      <c r="W840" s="7"/>
      <c r="Z840" s="4"/>
    </row>
    <row r="841" spans="1:26" x14ac:dyDescent="0.3">
      <c r="A841" t="s">
        <v>1212</v>
      </c>
      <c r="B841" s="22" t="s">
        <v>216</v>
      </c>
      <c r="C841" s="23" t="s">
        <v>11</v>
      </c>
      <c r="D841" s="24" t="s">
        <v>323</v>
      </c>
      <c r="E841" s="25">
        <v>67</v>
      </c>
      <c r="F841" t="s">
        <v>370</v>
      </c>
      <c r="G841" s="24" t="s">
        <v>32</v>
      </c>
      <c r="H841" s="24" t="s">
        <v>18</v>
      </c>
      <c r="I841" s="24">
        <v>3690</v>
      </c>
      <c r="J841" s="24">
        <v>4</v>
      </c>
      <c r="K841" s="25">
        <f t="shared" si="39"/>
        <v>14760</v>
      </c>
      <c r="L841" s="26">
        <v>45116</v>
      </c>
      <c r="M841" s="25" t="str">
        <f t="shared" si="40"/>
        <v>Sunday</v>
      </c>
      <c r="N841" s="25" t="str">
        <f t="shared" si="41"/>
        <v>Weekday</v>
      </c>
      <c r="Q841" s="25"/>
      <c r="R841" s="24"/>
      <c r="S841" s="27"/>
      <c r="T841"/>
      <c r="U841" s="6"/>
      <c r="W841" s="7"/>
      <c r="Z841" s="4"/>
    </row>
    <row r="842" spans="1:26" x14ac:dyDescent="0.3">
      <c r="A842" t="s">
        <v>1213</v>
      </c>
      <c r="B842" s="16" t="s">
        <v>115</v>
      </c>
      <c r="C842" s="17" t="s">
        <v>366</v>
      </c>
      <c r="D842" s="18" t="s">
        <v>323</v>
      </c>
      <c r="E842" s="19">
        <v>63</v>
      </c>
      <c r="F842" t="s">
        <v>373</v>
      </c>
      <c r="G842" s="18" t="s">
        <v>32</v>
      </c>
      <c r="H842" s="18" t="s">
        <v>18</v>
      </c>
      <c r="I842" s="18">
        <v>3690</v>
      </c>
      <c r="J842" s="18">
        <v>5</v>
      </c>
      <c r="K842" s="19">
        <f t="shared" si="39"/>
        <v>18450</v>
      </c>
      <c r="L842" s="20">
        <v>45108</v>
      </c>
      <c r="M842" s="19" t="str">
        <f t="shared" si="40"/>
        <v>Saturday</v>
      </c>
      <c r="N842" s="19" t="str">
        <f t="shared" si="41"/>
        <v>Weekend</v>
      </c>
      <c r="Q842" s="19"/>
      <c r="R842" s="18"/>
      <c r="S842" s="21"/>
      <c r="T842"/>
      <c r="U842" s="6"/>
      <c r="W842" s="7"/>
      <c r="Z842" s="4"/>
    </row>
    <row r="843" spans="1:26" x14ac:dyDescent="0.3">
      <c r="A843" t="s">
        <v>1214</v>
      </c>
      <c r="B843" s="22" t="s">
        <v>204</v>
      </c>
      <c r="C843" s="23" t="s">
        <v>366</v>
      </c>
      <c r="D843" s="24" t="s">
        <v>322</v>
      </c>
      <c r="E843" s="25">
        <v>66</v>
      </c>
      <c r="F843" t="s">
        <v>373</v>
      </c>
      <c r="G843" s="24" t="s">
        <v>26</v>
      </c>
      <c r="H843" s="24" t="s">
        <v>27</v>
      </c>
      <c r="I843" s="24">
        <v>24600</v>
      </c>
      <c r="J843" s="24">
        <v>4</v>
      </c>
      <c r="K843" s="25">
        <f t="shared" si="39"/>
        <v>98400</v>
      </c>
      <c r="L843" s="26">
        <v>45214</v>
      </c>
      <c r="M843" s="25" t="str">
        <f t="shared" si="40"/>
        <v>Sunday</v>
      </c>
      <c r="N843" s="25" t="str">
        <f t="shared" si="41"/>
        <v>Weekday</v>
      </c>
      <c r="Q843" s="25"/>
      <c r="R843" s="24"/>
      <c r="S843" s="27"/>
      <c r="T843"/>
      <c r="U843" s="6"/>
      <c r="W843" s="7"/>
      <c r="Z843" s="4"/>
    </row>
    <row r="844" spans="1:26" x14ac:dyDescent="0.3">
      <c r="A844" t="s">
        <v>1215</v>
      </c>
      <c r="B844" s="16" t="s">
        <v>304</v>
      </c>
      <c r="C844" s="17" t="s">
        <v>11</v>
      </c>
      <c r="D844" s="18" t="s">
        <v>322</v>
      </c>
      <c r="E844" s="19">
        <v>26</v>
      </c>
      <c r="F844" t="s">
        <v>375</v>
      </c>
      <c r="G844" s="18" t="s">
        <v>26</v>
      </c>
      <c r="H844" s="18" t="s">
        <v>27</v>
      </c>
      <c r="I844" s="18">
        <v>24600</v>
      </c>
      <c r="J844" s="18">
        <v>4</v>
      </c>
      <c r="K844" s="19">
        <f t="shared" si="39"/>
        <v>98400</v>
      </c>
      <c r="L844" s="20">
        <v>45527</v>
      </c>
      <c r="M844" s="19" t="str">
        <f t="shared" si="40"/>
        <v>Friday</v>
      </c>
      <c r="N844" s="19" t="str">
        <f t="shared" si="41"/>
        <v>Weekend</v>
      </c>
      <c r="Q844" s="19"/>
      <c r="R844" s="18"/>
      <c r="S844" s="21"/>
      <c r="T844"/>
      <c r="U844" s="6"/>
      <c r="W844" s="7"/>
      <c r="Z844" s="4"/>
    </row>
    <row r="845" spans="1:26" x14ac:dyDescent="0.3">
      <c r="A845" t="s">
        <v>1216</v>
      </c>
      <c r="B845" s="22" t="s">
        <v>297</v>
      </c>
      <c r="C845" s="23" t="s">
        <v>11</v>
      </c>
      <c r="D845" s="24" t="s">
        <v>323</v>
      </c>
      <c r="E845" s="25">
        <v>39</v>
      </c>
      <c r="F845" t="s">
        <v>375</v>
      </c>
      <c r="G845" s="24" t="s">
        <v>24</v>
      </c>
      <c r="H845" s="24" t="s">
        <v>14</v>
      </c>
      <c r="I845" s="24">
        <v>184500</v>
      </c>
      <c r="J845" s="24">
        <v>2</v>
      </c>
      <c r="K845" s="25">
        <f t="shared" si="39"/>
        <v>369000</v>
      </c>
      <c r="L845" s="26">
        <v>45246</v>
      </c>
      <c r="M845" s="25" t="str">
        <f t="shared" si="40"/>
        <v>Thursday</v>
      </c>
      <c r="N845" s="25" t="str">
        <f t="shared" si="41"/>
        <v>Weekday</v>
      </c>
      <c r="Q845" s="25"/>
      <c r="R845" s="24"/>
      <c r="S845" s="27"/>
      <c r="T845"/>
      <c r="U845" s="6"/>
      <c r="W845" s="7"/>
      <c r="Z845" s="4"/>
    </row>
    <row r="846" spans="1:26" x14ac:dyDescent="0.3">
      <c r="A846" t="s">
        <v>1217</v>
      </c>
      <c r="B846" s="16" t="s">
        <v>52</v>
      </c>
      <c r="C846" s="17" t="s">
        <v>366</v>
      </c>
      <c r="D846" s="18" t="s">
        <v>327</v>
      </c>
      <c r="E846" s="19">
        <v>31</v>
      </c>
      <c r="F846" t="s">
        <v>381</v>
      </c>
      <c r="G846" s="18" t="s">
        <v>13</v>
      </c>
      <c r="H846" s="18" t="s">
        <v>14</v>
      </c>
      <c r="I846" s="18">
        <v>36900</v>
      </c>
      <c r="J846" s="18">
        <v>2</v>
      </c>
      <c r="K846" s="19">
        <f t="shared" si="39"/>
        <v>73800</v>
      </c>
      <c r="L846" s="20">
        <v>45157</v>
      </c>
      <c r="M846" s="19" t="str">
        <f t="shared" si="40"/>
        <v>Saturday</v>
      </c>
      <c r="N846" s="19" t="str">
        <f t="shared" si="41"/>
        <v>Weekend</v>
      </c>
      <c r="Q846" s="19"/>
      <c r="R846" s="18"/>
      <c r="S846" s="21"/>
      <c r="T846"/>
      <c r="U846" s="6"/>
      <c r="W846" s="7"/>
      <c r="Z846" s="4"/>
    </row>
    <row r="847" spans="1:26" x14ac:dyDescent="0.3">
      <c r="A847" t="s">
        <v>1218</v>
      </c>
      <c r="B847" s="22" t="s">
        <v>83</v>
      </c>
      <c r="C847" s="23" t="s">
        <v>11</v>
      </c>
      <c r="D847" s="24" t="s">
        <v>323</v>
      </c>
      <c r="E847" s="25">
        <v>33</v>
      </c>
      <c r="F847" t="s">
        <v>381</v>
      </c>
      <c r="G847" s="24" t="s">
        <v>42</v>
      </c>
      <c r="H847" s="24" t="s">
        <v>14</v>
      </c>
      <c r="I847" s="24">
        <v>98400</v>
      </c>
      <c r="J847" s="24">
        <v>2</v>
      </c>
      <c r="K847" s="25">
        <f t="shared" si="39"/>
        <v>196800</v>
      </c>
      <c r="L847" s="26">
        <v>45268</v>
      </c>
      <c r="M847" s="25" t="str">
        <f t="shared" si="40"/>
        <v>Friday</v>
      </c>
      <c r="N847" s="25" t="str">
        <f t="shared" si="41"/>
        <v>Weekend</v>
      </c>
      <c r="Q847" s="25"/>
      <c r="R847" s="24"/>
      <c r="S847" s="27"/>
      <c r="T847"/>
      <c r="U847" s="6"/>
      <c r="W847" s="7"/>
      <c r="Z847" s="4"/>
    </row>
    <row r="848" spans="1:26" x14ac:dyDescent="0.3">
      <c r="A848" t="s">
        <v>1219</v>
      </c>
      <c r="B848" s="16" t="s">
        <v>69</v>
      </c>
      <c r="C848" s="17" t="s">
        <v>11</v>
      </c>
      <c r="D848" s="18" t="s">
        <v>322</v>
      </c>
      <c r="E848" s="19">
        <v>68</v>
      </c>
      <c r="F848" t="s">
        <v>373</v>
      </c>
      <c r="G848" s="18" t="s">
        <v>17</v>
      </c>
      <c r="H848" s="18" t="s">
        <v>18</v>
      </c>
      <c r="I848" s="18">
        <v>12300</v>
      </c>
      <c r="J848" s="18">
        <v>4</v>
      </c>
      <c r="K848" s="19">
        <f t="shared" si="39"/>
        <v>49200</v>
      </c>
      <c r="L848" s="20">
        <v>45269</v>
      </c>
      <c r="M848" s="19" t="str">
        <f t="shared" si="40"/>
        <v>Saturday</v>
      </c>
      <c r="N848" s="19" t="str">
        <f t="shared" si="41"/>
        <v>Weekend</v>
      </c>
      <c r="Q848" s="19"/>
      <c r="R848" s="18"/>
      <c r="S848" s="21"/>
      <c r="T848"/>
      <c r="U848" s="6"/>
      <c r="W848" s="7"/>
      <c r="Z848" s="4"/>
    </row>
    <row r="849" spans="1:26" x14ac:dyDescent="0.3">
      <c r="A849" t="s">
        <v>1220</v>
      </c>
      <c r="B849" s="22" t="s">
        <v>300</v>
      </c>
      <c r="C849" s="23" t="s">
        <v>20</v>
      </c>
      <c r="D849" s="24" t="s">
        <v>324</v>
      </c>
      <c r="E849" s="25">
        <v>35</v>
      </c>
      <c r="F849" t="s">
        <v>370</v>
      </c>
      <c r="G849" s="24" t="s">
        <v>13</v>
      </c>
      <c r="H849" s="24" t="s">
        <v>14</v>
      </c>
      <c r="I849" s="24">
        <v>36900</v>
      </c>
      <c r="J849" s="24">
        <v>1</v>
      </c>
      <c r="K849" s="25">
        <f t="shared" si="39"/>
        <v>36900</v>
      </c>
      <c r="L849" s="26">
        <v>45224</v>
      </c>
      <c r="M849" s="25" t="str">
        <f t="shared" si="40"/>
        <v>Wednesday</v>
      </c>
      <c r="N849" s="25" t="str">
        <f t="shared" si="41"/>
        <v>Weekday</v>
      </c>
      <c r="Q849" s="25"/>
      <c r="R849" s="24"/>
      <c r="S849" s="27"/>
      <c r="T849"/>
      <c r="U849" s="6"/>
      <c r="W849" s="7"/>
      <c r="Z849" s="4"/>
    </row>
    <row r="850" spans="1:26" x14ac:dyDescent="0.3">
      <c r="A850" t="s">
        <v>1221</v>
      </c>
      <c r="B850" s="16" t="s">
        <v>15</v>
      </c>
      <c r="C850" s="17" t="s">
        <v>20</v>
      </c>
      <c r="D850" s="18" t="s">
        <v>322</v>
      </c>
      <c r="E850" s="19">
        <v>22</v>
      </c>
      <c r="F850" t="s">
        <v>381</v>
      </c>
      <c r="G850" s="18" t="s">
        <v>24</v>
      </c>
      <c r="H850" s="18" t="s">
        <v>14</v>
      </c>
      <c r="I850" s="18">
        <v>184500</v>
      </c>
      <c r="J850" s="18">
        <v>2</v>
      </c>
      <c r="K850" s="19">
        <f t="shared" si="39"/>
        <v>369000</v>
      </c>
      <c r="L850" s="20">
        <v>45276</v>
      </c>
      <c r="M850" s="19" t="str">
        <f t="shared" si="40"/>
        <v>Saturday</v>
      </c>
      <c r="N850" s="19" t="str">
        <f t="shared" si="41"/>
        <v>Weekend</v>
      </c>
      <c r="Q850" s="19"/>
      <c r="R850" s="18"/>
      <c r="S850" s="21"/>
      <c r="T850"/>
      <c r="U850" s="6"/>
      <c r="W850" s="7"/>
      <c r="Z850" s="4"/>
    </row>
    <row r="851" spans="1:26" x14ac:dyDescent="0.3">
      <c r="A851" t="s">
        <v>1222</v>
      </c>
      <c r="B851" s="22" t="s">
        <v>244</v>
      </c>
      <c r="C851" s="23" t="s">
        <v>20</v>
      </c>
      <c r="D851" s="24" t="s">
        <v>322</v>
      </c>
      <c r="E851" s="25">
        <v>68</v>
      </c>
      <c r="F851" t="s">
        <v>370</v>
      </c>
      <c r="G851" s="24" t="s">
        <v>24</v>
      </c>
      <c r="H851" s="24" t="s">
        <v>14</v>
      </c>
      <c r="I851" s="24">
        <v>184500</v>
      </c>
      <c r="J851" s="24">
        <v>1</v>
      </c>
      <c r="K851" s="25">
        <f t="shared" si="39"/>
        <v>184500</v>
      </c>
      <c r="L851" s="26">
        <v>45144</v>
      </c>
      <c r="M851" s="25" t="str">
        <f t="shared" si="40"/>
        <v>Sunday</v>
      </c>
      <c r="N851" s="25" t="str">
        <f t="shared" si="41"/>
        <v>Weekday</v>
      </c>
      <c r="Q851" s="25"/>
      <c r="R851" s="24"/>
      <c r="S851" s="27"/>
      <c r="T851"/>
      <c r="U851" s="6"/>
      <c r="W851" s="7"/>
      <c r="Z851" s="4"/>
    </row>
    <row r="852" spans="1:26" x14ac:dyDescent="0.3">
      <c r="A852" t="s">
        <v>1223</v>
      </c>
      <c r="B852" s="16" t="s">
        <v>281</v>
      </c>
      <c r="C852" s="17" t="s">
        <v>366</v>
      </c>
      <c r="D852" s="18" t="s">
        <v>323</v>
      </c>
      <c r="E852" s="19">
        <v>38</v>
      </c>
      <c r="F852" t="s">
        <v>375</v>
      </c>
      <c r="G852" s="18" t="s">
        <v>24</v>
      </c>
      <c r="H852" s="18" t="s">
        <v>14</v>
      </c>
      <c r="I852" s="18">
        <v>184500</v>
      </c>
      <c r="J852" s="18">
        <v>4</v>
      </c>
      <c r="K852" s="19">
        <f t="shared" si="39"/>
        <v>738000</v>
      </c>
      <c r="L852" s="20">
        <v>45042</v>
      </c>
      <c r="M852" s="19" t="str">
        <f t="shared" si="40"/>
        <v>Wednesday</v>
      </c>
      <c r="N852" s="19" t="str">
        <f t="shared" si="41"/>
        <v>Weekday</v>
      </c>
      <c r="Q852" s="19"/>
      <c r="R852" s="18"/>
      <c r="S852" s="21"/>
      <c r="T852"/>
      <c r="U852" s="6"/>
      <c r="W852" s="7"/>
      <c r="Z852" s="4"/>
    </row>
    <row r="853" spans="1:26" x14ac:dyDescent="0.3">
      <c r="A853" t="s">
        <v>1224</v>
      </c>
      <c r="B853" s="22" t="s">
        <v>293</v>
      </c>
      <c r="C853" s="23" t="s">
        <v>20</v>
      </c>
      <c r="D853" s="24" t="s">
        <v>323</v>
      </c>
      <c r="E853" s="25">
        <v>53</v>
      </c>
      <c r="F853" t="s">
        <v>375</v>
      </c>
      <c r="G853" s="24" t="s">
        <v>42</v>
      </c>
      <c r="H853" s="24" t="s">
        <v>14</v>
      </c>
      <c r="I853" s="24">
        <v>98400</v>
      </c>
      <c r="J853" s="24">
        <v>4</v>
      </c>
      <c r="K853" s="25">
        <f t="shared" si="39"/>
        <v>393600</v>
      </c>
      <c r="L853" s="26">
        <v>45104</v>
      </c>
      <c r="M853" s="25" t="str">
        <f t="shared" si="40"/>
        <v>Tuesday</v>
      </c>
      <c r="N853" s="25" t="str">
        <f t="shared" si="41"/>
        <v>Weekday</v>
      </c>
      <c r="Q853" s="25"/>
      <c r="R853" s="24"/>
      <c r="S853" s="27"/>
      <c r="T853"/>
      <c r="U853" s="6"/>
      <c r="W853" s="7"/>
      <c r="Z853" s="4"/>
    </row>
    <row r="854" spans="1:26" x14ac:dyDescent="0.3">
      <c r="A854" t="s">
        <v>1225</v>
      </c>
      <c r="B854" s="16" t="s">
        <v>112</v>
      </c>
      <c r="C854" s="17" t="s">
        <v>366</v>
      </c>
      <c r="D854" s="18" t="s">
        <v>325</v>
      </c>
      <c r="E854" s="19">
        <v>38</v>
      </c>
      <c r="F854" t="s">
        <v>381</v>
      </c>
      <c r="G854" s="18" t="s">
        <v>31</v>
      </c>
      <c r="H854" s="18" t="s">
        <v>18</v>
      </c>
      <c r="I854" s="18">
        <v>6150</v>
      </c>
      <c r="J854" s="18">
        <v>4</v>
      </c>
      <c r="K854" s="19">
        <f t="shared" si="39"/>
        <v>24600</v>
      </c>
      <c r="L854" s="20">
        <v>44952</v>
      </c>
      <c r="M854" s="19" t="str">
        <f t="shared" si="40"/>
        <v>Thursday</v>
      </c>
      <c r="N854" s="19" t="str">
        <f t="shared" si="41"/>
        <v>Weekday</v>
      </c>
      <c r="Q854" s="19"/>
      <c r="R854" s="18"/>
      <c r="S854" s="21"/>
      <c r="T854"/>
      <c r="U854" s="6"/>
      <c r="W854" s="7"/>
      <c r="Z854" s="4"/>
    </row>
    <row r="855" spans="1:26" x14ac:dyDescent="0.3">
      <c r="A855" t="s">
        <v>1226</v>
      </c>
      <c r="B855" s="22" t="s">
        <v>161</v>
      </c>
      <c r="C855" s="23" t="s">
        <v>11</v>
      </c>
      <c r="D855" s="24" t="s">
        <v>322</v>
      </c>
      <c r="E855" s="25">
        <v>26</v>
      </c>
      <c r="F855" t="s">
        <v>373</v>
      </c>
      <c r="G855" s="24" t="s">
        <v>32</v>
      </c>
      <c r="H855" s="24" t="s">
        <v>18</v>
      </c>
      <c r="I855" s="24">
        <v>3690</v>
      </c>
      <c r="J855" s="24">
        <v>1</v>
      </c>
      <c r="K855" s="25">
        <f t="shared" si="39"/>
        <v>3690</v>
      </c>
      <c r="L855" s="26">
        <v>45225</v>
      </c>
      <c r="M855" s="25" t="str">
        <f t="shared" si="40"/>
        <v>Thursday</v>
      </c>
      <c r="N855" s="25" t="str">
        <f t="shared" si="41"/>
        <v>Weekday</v>
      </c>
      <c r="Q855" s="25"/>
      <c r="R855" s="24"/>
      <c r="S855" s="27"/>
      <c r="T855"/>
      <c r="U855" s="6"/>
      <c r="W855" s="7"/>
      <c r="Z855" s="4"/>
    </row>
    <row r="856" spans="1:26" x14ac:dyDescent="0.3">
      <c r="A856" t="s">
        <v>1227</v>
      </c>
      <c r="B856" s="16" t="s">
        <v>306</v>
      </c>
      <c r="C856" s="17" t="s">
        <v>366</v>
      </c>
      <c r="D856" s="18" t="s">
        <v>323</v>
      </c>
      <c r="E856" s="19">
        <v>35</v>
      </c>
      <c r="F856" t="s">
        <v>375</v>
      </c>
      <c r="G856" s="18" t="s">
        <v>31</v>
      </c>
      <c r="H856" s="18" t="s">
        <v>18</v>
      </c>
      <c r="I856" s="18">
        <v>6150</v>
      </c>
      <c r="J856" s="18">
        <v>3</v>
      </c>
      <c r="K856" s="19">
        <f t="shared" si="39"/>
        <v>18450</v>
      </c>
      <c r="L856" s="20">
        <v>44956</v>
      </c>
      <c r="M856" s="19" t="str">
        <f t="shared" si="40"/>
        <v>Monday</v>
      </c>
      <c r="N856" s="19" t="str">
        <f t="shared" si="41"/>
        <v>Weekday</v>
      </c>
      <c r="Q856" s="19"/>
      <c r="R856" s="18"/>
      <c r="S856" s="21"/>
      <c r="T856"/>
      <c r="U856" s="6"/>
      <c r="W856" s="7"/>
      <c r="Z856" s="4"/>
    </row>
    <row r="857" spans="1:26" x14ac:dyDescent="0.3">
      <c r="A857" t="s">
        <v>1228</v>
      </c>
      <c r="B857" s="22" t="s">
        <v>309</v>
      </c>
      <c r="C857" s="23" t="s">
        <v>366</v>
      </c>
      <c r="D857" s="24" t="s">
        <v>322</v>
      </c>
      <c r="E857" s="25">
        <v>38</v>
      </c>
      <c r="F857" t="s">
        <v>370</v>
      </c>
      <c r="G857" s="24" t="s">
        <v>31</v>
      </c>
      <c r="H857" s="24" t="s">
        <v>18</v>
      </c>
      <c r="I857" s="24">
        <v>6150</v>
      </c>
      <c r="J857" s="24">
        <v>4</v>
      </c>
      <c r="K857" s="25">
        <f t="shared" si="39"/>
        <v>24600</v>
      </c>
      <c r="L857" s="26">
        <v>45075</v>
      </c>
      <c r="M857" s="25" t="str">
        <f t="shared" si="40"/>
        <v>Monday</v>
      </c>
      <c r="N857" s="25" t="str">
        <f t="shared" si="41"/>
        <v>Weekday</v>
      </c>
      <c r="Q857" s="25"/>
      <c r="R857" s="24"/>
      <c r="S857" s="27"/>
      <c r="T857"/>
      <c r="U857" s="6"/>
      <c r="W857" s="7"/>
      <c r="Z857" s="4"/>
    </row>
    <row r="858" spans="1:26" x14ac:dyDescent="0.3">
      <c r="A858" t="s">
        <v>1229</v>
      </c>
      <c r="B858" s="16" t="s">
        <v>310</v>
      </c>
      <c r="C858" s="17" t="s">
        <v>20</v>
      </c>
      <c r="D858" s="18" t="s">
        <v>322</v>
      </c>
      <c r="E858" s="19">
        <v>45</v>
      </c>
      <c r="F858" t="s">
        <v>373</v>
      </c>
      <c r="G858" s="18" t="s">
        <v>13</v>
      </c>
      <c r="H858" s="18" t="s">
        <v>14</v>
      </c>
      <c r="I858" s="18">
        <v>36900</v>
      </c>
      <c r="J858" s="18">
        <v>2</v>
      </c>
      <c r="K858" s="19">
        <f t="shared" si="39"/>
        <v>73800</v>
      </c>
      <c r="L858" s="20">
        <v>45201</v>
      </c>
      <c r="M858" s="19" t="str">
        <f t="shared" si="40"/>
        <v>Monday</v>
      </c>
      <c r="N858" s="19" t="str">
        <f t="shared" si="41"/>
        <v>Weekday</v>
      </c>
      <c r="Q858" s="19"/>
      <c r="R858" s="18"/>
      <c r="S858" s="21"/>
      <c r="T858"/>
      <c r="U858" s="6"/>
      <c r="W858" s="7"/>
      <c r="Z858" s="4"/>
    </row>
    <row r="859" spans="1:26" x14ac:dyDescent="0.3">
      <c r="A859" t="s">
        <v>1230</v>
      </c>
      <c r="B859" s="22" t="s">
        <v>232</v>
      </c>
      <c r="C859" s="23" t="s">
        <v>366</v>
      </c>
      <c r="D859" s="24" t="s">
        <v>323</v>
      </c>
      <c r="E859" s="25">
        <v>42</v>
      </c>
      <c r="F859" t="s">
        <v>381</v>
      </c>
      <c r="G859" s="24" t="s">
        <v>13</v>
      </c>
      <c r="H859" s="24" t="s">
        <v>14</v>
      </c>
      <c r="I859" s="24">
        <v>36900</v>
      </c>
      <c r="J859" s="24">
        <v>4</v>
      </c>
      <c r="K859" s="25">
        <f t="shared" si="39"/>
        <v>147600</v>
      </c>
      <c r="L859" s="26">
        <v>45083</v>
      </c>
      <c r="M859" s="25" t="str">
        <f t="shared" si="40"/>
        <v>Tuesday</v>
      </c>
      <c r="N859" s="25" t="str">
        <f t="shared" si="41"/>
        <v>Weekday</v>
      </c>
      <c r="Q859" s="25"/>
      <c r="R859" s="24"/>
      <c r="S859" s="27"/>
      <c r="T859"/>
      <c r="U859" s="6"/>
      <c r="W859" s="7"/>
      <c r="Z859" s="4"/>
    </row>
    <row r="860" spans="1:26" x14ac:dyDescent="0.3">
      <c r="A860" t="s">
        <v>1231</v>
      </c>
      <c r="B860" s="16" t="s">
        <v>55</v>
      </c>
      <c r="C860" s="17" t="s">
        <v>11</v>
      </c>
      <c r="D860" s="18" t="s">
        <v>324</v>
      </c>
      <c r="E860" s="19">
        <v>55</v>
      </c>
      <c r="F860" t="s">
        <v>375</v>
      </c>
      <c r="G860" s="18" t="s">
        <v>26</v>
      </c>
      <c r="H860" s="18" t="s">
        <v>27</v>
      </c>
      <c r="I860" s="18">
        <v>24600</v>
      </c>
      <c r="J860" s="18">
        <v>2</v>
      </c>
      <c r="K860" s="19">
        <f t="shared" si="39"/>
        <v>49200</v>
      </c>
      <c r="L860" s="20">
        <v>44957</v>
      </c>
      <c r="M860" s="19" t="str">
        <f t="shared" si="40"/>
        <v>Tuesday</v>
      </c>
      <c r="N860" s="19" t="str">
        <f t="shared" si="41"/>
        <v>Weekday</v>
      </c>
      <c r="Q860" s="19"/>
      <c r="R860" s="18"/>
      <c r="S860" s="21"/>
      <c r="T860"/>
      <c r="U860" s="6"/>
      <c r="W860" s="7"/>
      <c r="Z860" s="4"/>
    </row>
    <row r="861" spans="1:26" x14ac:dyDescent="0.3">
      <c r="A861" t="s">
        <v>1232</v>
      </c>
      <c r="B861" s="22" t="s">
        <v>41</v>
      </c>
      <c r="C861" s="23" t="s">
        <v>11</v>
      </c>
      <c r="D861" s="24" t="s">
        <v>326</v>
      </c>
      <c r="E861" s="25">
        <v>30</v>
      </c>
      <c r="F861" t="s">
        <v>381</v>
      </c>
      <c r="G861" s="24" t="s">
        <v>13</v>
      </c>
      <c r="H861" s="24" t="s">
        <v>14</v>
      </c>
      <c r="I861" s="24">
        <v>36900</v>
      </c>
      <c r="J861" s="24">
        <v>1</v>
      </c>
      <c r="K861" s="25">
        <f t="shared" si="39"/>
        <v>36900</v>
      </c>
      <c r="L861" s="26">
        <v>45291</v>
      </c>
      <c r="M861" s="25" t="str">
        <f t="shared" si="40"/>
        <v>Sunday</v>
      </c>
      <c r="N861" s="25" t="str">
        <f t="shared" si="41"/>
        <v>Weekday</v>
      </c>
      <c r="Q861" s="25"/>
      <c r="R861" s="24"/>
      <c r="S861" s="27"/>
      <c r="T861"/>
      <c r="U861" s="6"/>
      <c r="W861" s="7"/>
      <c r="Z861" s="4"/>
    </row>
    <row r="862" spans="1:26" x14ac:dyDescent="0.3">
      <c r="A862" t="s">
        <v>1233</v>
      </c>
      <c r="B862" s="16" t="s">
        <v>178</v>
      </c>
      <c r="C862" s="17" t="s">
        <v>11</v>
      </c>
      <c r="D862" s="18" t="s">
        <v>328</v>
      </c>
      <c r="E862" s="19">
        <v>20</v>
      </c>
      <c r="F862" t="s">
        <v>373</v>
      </c>
      <c r="G862" s="18" t="s">
        <v>32</v>
      </c>
      <c r="H862" s="18" t="s">
        <v>18</v>
      </c>
      <c r="I862" s="18">
        <v>3690</v>
      </c>
      <c r="J862" s="18">
        <v>1</v>
      </c>
      <c r="K862" s="19">
        <f t="shared" si="39"/>
        <v>3690</v>
      </c>
      <c r="L862" s="20">
        <v>44931</v>
      </c>
      <c r="M862" s="19" t="str">
        <f t="shared" si="40"/>
        <v>Thursday</v>
      </c>
      <c r="N862" s="19" t="str">
        <f t="shared" si="41"/>
        <v>Weekday</v>
      </c>
      <c r="Q862" s="19"/>
      <c r="R862" s="18"/>
      <c r="S862" s="21"/>
      <c r="T862"/>
      <c r="U862" s="6"/>
      <c r="W862" s="7"/>
      <c r="Z862" s="4"/>
    </row>
    <row r="863" spans="1:26" x14ac:dyDescent="0.3">
      <c r="A863" t="s">
        <v>1234</v>
      </c>
      <c r="B863" s="22" t="s">
        <v>236</v>
      </c>
      <c r="C863" s="23" t="s">
        <v>20</v>
      </c>
      <c r="D863" s="24" t="s">
        <v>329</v>
      </c>
      <c r="E863" s="25">
        <v>18</v>
      </c>
      <c r="F863" t="s">
        <v>373</v>
      </c>
      <c r="G863" s="24" t="s">
        <v>24</v>
      </c>
      <c r="H863" s="24" t="s">
        <v>14</v>
      </c>
      <c r="I863" s="24">
        <v>184500</v>
      </c>
      <c r="J863" s="24">
        <v>2</v>
      </c>
      <c r="K863" s="25">
        <f t="shared" si="39"/>
        <v>369000</v>
      </c>
      <c r="L863" s="26">
        <v>45087</v>
      </c>
      <c r="M863" s="25" t="str">
        <f t="shared" si="40"/>
        <v>Saturday</v>
      </c>
      <c r="N863" s="25" t="str">
        <f t="shared" si="41"/>
        <v>Weekend</v>
      </c>
      <c r="Q863" s="25"/>
      <c r="R863" s="24"/>
      <c r="S863" s="27"/>
      <c r="T863"/>
      <c r="U863" s="6"/>
      <c r="W863" s="7"/>
      <c r="Z863" s="4"/>
    </row>
    <row r="864" spans="1:26" x14ac:dyDescent="0.3">
      <c r="A864" t="s">
        <v>1235</v>
      </c>
      <c r="B864" s="16" t="s">
        <v>141</v>
      </c>
      <c r="C864" s="17" t="s">
        <v>366</v>
      </c>
      <c r="D864" s="18" t="s">
        <v>323</v>
      </c>
      <c r="E864" s="19">
        <v>35</v>
      </c>
      <c r="F864" t="s">
        <v>373</v>
      </c>
      <c r="G864" s="18" t="s">
        <v>42</v>
      </c>
      <c r="H864" s="18" t="s">
        <v>14</v>
      </c>
      <c r="I864" s="18">
        <v>98400</v>
      </c>
      <c r="J864" s="18">
        <v>4</v>
      </c>
      <c r="K864" s="19">
        <f t="shared" si="39"/>
        <v>393600</v>
      </c>
      <c r="L864" s="20">
        <v>45072</v>
      </c>
      <c r="M864" s="19" t="str">
        <f t="shared" si="40"/>
        <v>Friday</v>
      </c>
      <c r="N864" s="19" t="str">
        <f t="shared" si="41"/>
        <v>Weekend</v>
      </c>
      <c r="Q864" s="19"/>
      <c r="R864" s="18"/>
      <c r="S864" s="21"/>
      <c r="T864"/>
      <c r="U864" s="6"/>
      <c r="W864" s="7"/>
      <c r="Z864" s="4"/>
    </row>
    <row r="865" spans="1:26" x14ac:dyDescent="0.3">
      <c r="A865" t="s">
        <v>1236</v>
      </c>
      <c r="B865" s="22" t="s">
        <v>109</v>
      </c>
      <c r="C865" s="23" t="s">
        <v>366</v>
      </c>
      <c r="D865" s="24" t="s">
        <v>324</v>
      </c>
      <c r="E865" s="25">
        <v>26</v>
      </c>
      <c r="F865" t="s">
        <v>370</v>
      </c>
      <c r="G865" s="24" t="s">
        <v>26</v>
      </c>
      <c r="H865" s="24" t="s">
        <v>27</v>
      </c>
      <c r="I865" s="24">
        <v>24600</v>
      </c>
      <c r="J865" s="24">
        <v>1</v>
      </c>
      <c r="K865" s="25">
        <f t="shared" si="39"/>
        <v>24600</v>
      </c>
      <c r="L865" s="26">
        <v>45205</v>
      </c>
      <c r="M865" s="25" t="str">
        <f t="shared" si="40"/>
        <v>Friday</v>
      </c>
      <c r="N865" s="25" t="str">
        <f t="shared" si="41"/>
        <v>Weekend</v>
      </c>
      <c r="Q865" s="25"/>
      <c r="R865" s="24"/>
      <c r="S865" s="27"/>
      <c r="T865"/>
      <c r="U865" s="6"/>
      <c r="W865" s="7"/>
      <c r="Z865" s="4"/>
    </row>
    <row r="866" spans="1:26" x14ac:dyDescent="0.3">
      <c r="A866" t="s">
        <v>1237</v>
      </c>
      <c r="B866" s="16" t="s">
        <v>235</v>
      </c>
      <c r="C866" s="17" t="s">
        <v>20</v>
      </c>
      <c r="D866" s="18" t="s">
        <v>326</v>
      </c>
      <c r="E866" s="19">
        <v>38</v>
      </c>
      <c r="F866" t="s">
        <v>373</v>
      </c>
      <c r="G866" s="18" t="s">
        <v>13</v>
      </c>
      <c r="H866" s="18" t="s">
        <v>14</v>
      </c>
      <c r="I866" s="18">
        <v>36900</v>
      </c>
      <c r="J866" s="18">
        <v>2</v>
      </c>
      <c r="K866" s="19">
        <f t="shared" si="39"/>
        <v>73800</v>
      </c>
      <c r="L866" s="20">
        <v>45032</v>
      </c>
      <c r="M866" s="19" t="str">
        <f t="shared" si="40"/>
        <v>Sunday</v>
      </c>
      <c r="N866" s="19" t="str">
        <f t="shared" si="41"/>
        <v>Weekday</v>
      </c>
      <c r="Q866" s="19"/>
      <c r="R866" s="18"/>
      <c r="S866" s="21"/>
      <c r="T866"/>
      <c r="U866" s="6"/>
      <c r="W866" s="7"/>
      <c r="Z866" s="4"/>
    </row>
    <row r="867" spans="1:26" x14ac:dyDescent="0.3">
      <c r="A867" t="s">
        <v>1238</v>
      </c>
      <c r="B867" s="22" t="s">
        <v>128</v>
      </c>
      <c r="C867" s="23" t="s">
        <v>11</v>
      </c>
      <c r="D867" s="24" t="s">
        <v>323</v>
      </c>
      <c r="E867" s="25">
        <v>50</v>
      </c>
      <c r="F867" t="s">
        <v>373</v>
      </c>
      <c r="G867" s="24" t="s">
        <v>31</v>
      </c>
      <c r="H867" s="24" t="s">
        <v>18</v>
      </c>
      <c r="I867" s="24">
        <v>6150</v>
      </c>
      <c r="J867" s="24">
        <v>4</v>
      </c>
      <c r="K867" s="25">
        <f t="shared" si="39"/>
        <v>24600</v>
      </c>
      <c r="L867" s="26">
        <v>44943</v>
      </c>
      <c r="M867" s="25" t="str">
        <f t="shared" si="40"/>
        <v>Tuesday</v>
      </c>
      <c r="N867" s="25" t="str">
        <f t="shared" si="41"/>
        <v>Weekday</v>
      </c>
      <c r="Q867" s="25"/>
      <c r="R867" s="24"/>
      <c r="S867" s="27"/>
      <c r="T867"/>
      <c r="U867" s="6"/>
      <c r="W867" s="7"/>
      <c r="Z867" s="4"/>
    </row>
    <row r="868" spans="1:26" x14ac:dyDescent="0.3">
      <c r="A868" t="s">
        <v>1239</v>
      </c>
      <c r="B868" s="16" t="s">
        <v>30</v>
      </c>
      <c r="C868" s="17" t="s">
        <v>11</v>
      </c>
      <c r="D868" s="18" t="s">
        <v>329</v>
      </c>
      <c r="E868" s="19">
        <v>18</v>
      </c>
      <c r="F868" t="s">
        <v>375</v>
      </c>
      <c r="G868" s="18" t="s">
        <v>24</v>
      </c>
      <c r="H868" s="18" t="s">
        <v>14</v>
      </c>
      <c r="I868" s="18">
        <v>184500</v>
      </c>
      <c r="J868" s="18">
        <v>3</v>
      </c>
      <c r="K868" s="19">
        <f t="shared" si="39"/>
        <v>553500</v>
      </c>
      <c r="L868" s="20">
        <v>45007</v>
      </c>
      <c r="M868" s="19" t="str">
        <f t="shared" si="40"/>
        <v>Wednesday</v>
      </c>
      <c r="N868" s="19" t="str">
        <f t="shared" si="41"/>
        <v>Weekday</v>
      </c>
      <c r="Q868" s="19"/>
      <c r="R868" s="18"/>
      <c r="S868" s="21"/>
      <c r="T868"/>
      <c r="U868" s="6"/>
      <c r="W868" s="7"/>
      <c r="Z868" s="4"/>
    </row>
    <row r="869" spans="1:26" x14ac:dyDescent="0.3">
      <c r="A869" t="s">
        <v>1240</v>
      </c>
      <c r="B869" s="22" t="s">
        <v>51</v>
      </c>
      <c r="C869" s="23" t="s">
        <v>20</v>
      </c>
      <c r="D869" s="24" t="s">
        <v>324</v>
      </c>
      <c r="E869" s="25">
        <v>25</v>
      </c>
      <c r="F869" t="s">
        <v>370</v>
      </c>
      <c r="G869" s="24" t="s">
        <v>26</v>
      </c>
      <c r="H869" s="24" t="s">
        <v>27</v>
      </c>
      <c r="I869" s="24">
        <v>24600</v>
      </c>
      <c r="J869" s="24">
        <v>1</v>
      </c>
      <c r="K869" s="25">
        <f t="shared" si="39"/>
        <v>24600</v>
      </c>
      <c r="L869" s="26">
        <v>45250</v>
      </c>
      <c r="M869" s="25" t="str">
        <f t="shared" si="40"/>
        <v>Monday</v>
      </c>
      <c r="N869" s="25" t="str">
        <f t="shared" si="41"/>
        <v>Weekday</v>
      </c>
      <c r="Q869" s="25"/>
      <c r="R869" s="24"/>
      <c r="S869" s="27"/>
      <c r="T869"/>
      <c r="U869" s="6"/>
      <c r="W869" s="7"/>
      <c r="Z869" s="4"/>
    </row>
    <row r="870" spans="1:26" x14ac:dyDescent="0.3">
      <c r="A870" t="s">
        <v>1241</v>
      </c>
      <c r="B870" s="16" t="s">
        <v>122</v>
      </c>
      <c r="C870" s="17" t="s">
        <v>11</v>
      </c>
      <c r="D870" s="18" t="s">
        <v>324</v>
      </c>
      <c r="E870" s="19">
        <v>58</v>
      </c>
      <c r="F870" t="s">
        <v>370</v>
      </c>
      <c r="G870" s="18" t="s">
        <v>24</v>
      </c>
      <c r="H870" s="18" t="s">
        <v>14</v>
      </c>
      <c r="I870" s="18">
        <v>184500</v>
      </c>
      <c r="J870" s="18">
        <v>5</v>
      </c>
      <c r="K870" s="19">
        <f t="shared" si="39"/>
        <v>922500</v>
      </c>
      <c r="L870" s="20">
        <v>45128</v>
      </c>
      <c r="M870" s="19" t="str">
        <f t="shared" si="40"/>
        <v>Friday</v>
      </c>
      <c r="N870" s="19" t="str">
        <f t="shared" si="41"/>
        <v>Weekend</v>
      </c>
      <c r="Q870" s="19"/>
      <c r="R870" s="18"/>
      <c r="S870" s="21"/>
      <c r="T870"/>
      <c r="U870" s="6"/>
      <c r="W870" s="7"/>
      <c r="Z870" s="4"/>
    </row>
    <row r="871" spans="1:26" x14ac:dyDescent="0.3">
      <c r="A871" t="s">
        <v>1242</v>
      </c>
      <c r="B871" s="22" t="s">
        <v>89</v>
      </c>
      <c r="C871" s="23" t="s">
        <v>366</v>
      </c>
      <c r="D871" s="24" t="s">
        <v>326</v>
      </c>
      <c r="E871" s="25">
        <v>21</v>
      </c>
      <c r="F871" t="s">
        <v>381</v>
      </c>
      <c r="G871" s="24" t="s">
        <v>17</v>
      </c>
      <c r="H871" s="24" t="s">
        <v>18</v>
      </c>
      <c r="I871" s="24">
        <v>12300</v>
      </c>
      <c r="J871" s="24">
        <v>4</v>
      </c>
      <c r="K871" s="25">
        <f t="shared" si="39"/>
        <v>49200</v>
      </c>
      <c r="L871" s="26">
        <v>45133</v>
      </c>
      <c r="M871" s="25" t="str">
        <f t="shared" si="40"/>
        <v>Wednesday</v>
      </c>
      <c r="N871" s="25" t="str">
        <f t="shared" si="41"/>
        <v>Weekday</v>
      </c>
      <c r="Q871" s="25"/>
      <c r="R871" s="24"/>
      <c r="S871" s="27"/>
      <c r="T871"/>
      <c r="U871" s="6"/>
      <c r="W871" s="7"/>
      <c r="Z871" s="4"/>
    </row>
    <row r="872" spans="1:26" x14ac:dyDescent="0.3">
      <c r="A872" t="s">
        <v>1243</v>
      </c>
      <c r="B872" s="16" t="s">
        <v>166</v>
      </c>
      <c r="C872" s="17" t="s">
        <v>366</v>
      </c>
      <c r="D872" s="18" t="s">
        <v>326</v>
      </c>
      <c r="E872" s="19">
        <v>57</v>
      </c>
      <c r="F872" t="s">
        <v>373</v>
      </c>
      <c r="G872" s="18" t="s">
        <v>24</v>
      </c>
      <c r="H872" s="18" t="s">
        <v>14</v>
      </c>
      <c r="I872" s="18">
        <v>184500</v>
      </c>
      <c r="J872" s="18">
        <v>5</v>
      </c>
      <c r="K872" s="19">
        <f t="shared" si="39"/>
        <v>922500</v>
      </c>
      <c r="L872" s="20">
        <v>45064</v>
      </c>
      <c r="M872" s="19" t="str">
        <f t="shared" si="40"/>
        <v>Thursday</v>
      </c>
      <c r="N872" s="19" t="str">
        <f t="shared" si="41"/>
        <v>Weekday</v>
      </c>
      <c r="Q872" s="19"/>
      <c r="R872" s="18"/>
      <c r="S872" s="21"/>
      <c r="T872"/>
      <c r="U872" s="6"/>
      <c r="W872" s="7"/>
      <c r="Z872" s="4"/>
    </row>
    <row r="873" spans="1:26" x14ac:dyDescent="0.3">
      <c r="A873" t="s">
        <v>1244</v>
      </c>
      <c r="B873" s="22" t="s">
        <v>148</v>
      </c>
      <c r="C873" s="23" t="s">
        <v>20</v>
      </c>
      <c r="D873" s="24" t="s">
        <v>323</v>
      </c>
      <c r="E873" s="25">
        <v>68</v>
      </c>
      <c r="F873" t="s">
        <v>375</v>
      </c>
      <c r="G873" s="24" t="s">
        <v>31</v>
      </c>
      <c r="H873" s="24" t="s">
        <v>18</v>
      </c>
      <c r="I873" s="24">
        <v>6150</v>
      </c>
      <c r="J873" s="24">
        <v>4</v>
      </c>
      <c r="K873" s="25">
        <f t="shared" si="39"/>
        <v>24600</v>
      </c>
      <c r="L873" s="26">
        <v>45396</v>
      </c>
      <c r="M873" s="25" t="str">
        <f t="shared" si="40"/>
        <v>Sunday</v>
      </c>
      <c r="N873" s="25" t="str">
        <f t="shared" si="41"/>
        <v>Weekday</v>
      </c>
      <c r="Q873" s="25"/>
      <c r="R873" s="24"/>
      <c r="S873" s="27"/>
      <c r="T873"/>
      <c r="U873" s="6"/>
      <c r="W873" s="7"/>
      <c r="Z873" s="4"/>
    </row>
    <row r="874" spans="1:26" x14ac:dyDescent="0.3">
      <c r="A874" t="s">
        <v>1245</v>
      </c>
      <c r="B874" s="16" t="s">
        <v>178</v>
      </c>
      <c r="C874" s="17" t="s">
        <v>11</v>
      </c>
      <c r="D874" s="18" t="s">
        <v>328</v>
      </c>
      <c r="E874" s="19">
        <v>20</v>
      </c>
      <c r="F874" t="s">
        <v>381</v>
      </c>
      <c r="G874" s="18" t="s">
        <v>13</v>
      </c>
      <c r="H874" s="18" t="s">
        <v>14</v>
      </c>
      <c r="I874" s="18">
        <v>36900</v>
      </c>
      <c r="J874" s="18">
        <v>2</v>
      </c>
      <c r="K874" s="19">
        <f t="shared" si="39"/>
        <v>73800</v>
      </c>
      <c r="L874" s="20">
        <v>45150</v>
      </c>
      <c r="M874" s="19" t="str">
        <f t="shared" si="40"/>
        <v>Saturday</v>
      </c>
      <c r="N874" s="19" t="str">
        <f t="shared" si="41"/>
        <v>Weekend</v>
      </c>
      <c r="Q874" s="19"/>
      <c r="R874" s="18"/>
      <c r="S874" s="21"/>
      <c r="T874"/>
      <c r="U874" s="6"/>
      <c r="W874" s="7"/>
      <c r="Z874" s="4"/>
    </row>
    <row r="875" spans="1:26" x14ac:dyDescent="0.3">
      <c r="A875" t="s">
        <v>1246</v>
      </c>
      <c r="B875" s="22" t="s">
        <v>141</v>
      </c>
      <c r="C875" s="23" t="s">
        <v>366</v>
      </c>
      <c r="D875" s="24" t="s">
        <v>323</v>
      </c>
      <c r="E875" s="25">
        <v>35</v>
      </c>
      <c r="F875" t="s">
        <v>373</v>
      </c>
      <c r="G875" s="24" t="s">
        <v>32</v>
      </c>
      <c r="H875" s="24" t="s">
        <v>18</v>
      </c>
      <c r="I875" s="24">
        <v>3690</v>
      </c>
      <c r="J875" s="24">
        <v>5</v>
      </c>
      <c r="K875" s="25">
        <f t="shared" si="39"/>
        <v>18450</v>
      </c>
      <c r="L875" s="26">
        <v>45154</v>
      </c>
      <c r="M875" s="25" t="str">
        <f t="shared" si="40"/>
        <v>Wednesday</v>
      </c>
      <c r="N875" s="25" t="str">
        <f t="shared" si="41"/>
        <v>Weekday</v>
      </c>
      <c r="Q875" s="25"/>
      <c r="R875" s="24"/>
      <c r="S875" s="27"/>
      <c r="T875"/>
      <c r="U875" s="6"/>
      <c r="W875" s="7"/>
      <c r="Z875" s="4"/>
    </row>
    <row r="876" spans="1:26" x14ac:dyDescent="0.3">
      <c r="A876" t="s">
        <v>1247</v>
      </c>
      <c r="B876" s="16" t="s">
        <v>10</v>
      </c>
      <c r="C876" s="17" t="s">
        <v>11</v>
      </c>
      <c r="D876" s="18" t="s">
        <v>322</v>
      </c>
      <c r="E876" s="19">
        <v>21</v>
      </c>
      <c r="F876" t="s">
        <v>370</v>
      </c>
      <c r="G876" s="18" t="s">
        <v>32</v>
      </c>
      <c r="H876" s="18" t="s">
        <v>18</v>
      </c>
      <c r="I876" s="18">
        <v>3690</v>
      </c>
      <c r="J876" s="18">
        <v>3</v>
      </c>
      <c r="K876" s="19">
        <f t="shared" si="39"/>
        <v>11070</v>
      </c>
      <c r="L876" s="20">
        <v>45149</v>
      </c>
      <c r="M876" s="19" t="str">
        <f t="shared" si="40"/>
        <v>Friday</v>
      </c>
      <c r="N876" s="19" t="str">
        <f t="shared" si="41"/>
        <v>Weekend</v>
      </c>
      <c r="Q876" s="19"/>
      <c r="R876" s="18"/>
      <c r="S876" s="21"/>
      <c r="T876"/>
      <c r="U876" s="6"/>
      <c r="W876" s="7"/>
      <c r="Z876" s="4"/>
    </row>
    <row r="877" spans="1:26" x14ac:dyDescent="0.3">
      <c r="A877" t="s">
        <v>1248</v>
      </c>
      <c r="B877" s="22" t="s">
        <v>282</v>
      </c>
      <c r="C877" s="23" t="s">
        <v>11</v>
      </c>
      <c r="D877" s="24" t="s">
        <v>325</v>
      </c>
      <c r="E877" s="25">
        <v>26</v>
      </c>
      <c r="F877" t="s">
        <v>373</v>
      </c>
      <c r="G877" s="24" t="s">
        <v>13</v>
      </c>
      <c r="H877" s="24" t="s">
        <v>14</v>
      </c>
      <c r="I877" s="24">
        <v>36900</v>
      </c>
      <c r="J877" s="24">
        <v>2</v>
      </c>
      <c r="K877" s="25">
        <f t="shared" si="39"/>
        <v>73800</v>
      </c>
      <c r="L877" s="26">
        <v>44928</v>
      </c>
      <c r="M877" s="25" t="str">
        <f t="shared" si="40"/>
        <v>Monday</v>
      </c>
      <c r="N877" s="25" t="str">
        <f t="shared" si="41"/>
        <v>Weekday</v>
      </c>
      <c r="Q877" s="25"/>
      <c r="R877" s="24"/>
      <c r="S877" s="27"/>
      <c r="T877"/>
      <c r="U877" s="6"/>
      <c r="W877" s="7"/>
      <c r="Z877" s="4"/>
    </row>
    <row r="878" spans="1:26" x14ac:dyDescent="0.3">
      <c r="A878" t="s">
        <v>1249</v>
      </c>
      <c r="B878" s="16" t="s">
        <v>296</v>
      </c>
      <c r="C878" s="17" t="s">
        <v>20</v>
      </c>
      <c r="D878" s="18" t="s">
        <v>322</v>
      </c>
      <c r="E878" s="19">
        <v>49</v>
      </c>
      <c r="F878" t="s">
        <v>373</v>
      </c>
      <c r="G878" s="18" t="s">
        <v>24</v>
      </c>
      <c r="H878" s="18" t="s">
        <v>14</v>
      </c>
      <c r="I878" s="18">
        <v>184500</v>
      </c>
      <c r="J878" s="18">
        <v>2</v>
      </c>
      <c r="K878" s="19">
        <f t="shared" si="39"/>
        <v>369000</v>
      </c>
      <c r="L878" s="20">
        <v>45135</v>
      </c>
      <c r="M878" s="19" t="str">
        <f t="shared" si="40"/>
        <v>Friday</v>
      </c>
      <c r="N878" s="19" t="str">
        <f t="shared" si="41"/>
        <v>Weekend</v>
      </c>
      <c r="Q878" s="19"/>
      <c r="R878" s="18"/>
      <c r="S878" s="21"/>
      <c r="T878"/>
      <c r="U878" s="6"/>
      <c r="W878" s="7"/>
      <c r="Z878" s="4"/>
    </row>
    <row r="879" spans="1:26" x14ac:dyDescent="0.3">
      <c r="A879" t="s">
        <v>1250</v>
      </c>
      <c r="B879" s="22" t="s">
        <v>92</v>
      </c>
      <c r="C879" s="23" t="s">
        <v>11</v>
      </c>
      <c r="D879" s="24" t="s">
        <v>323</v>
      </c>
      <c r="E879" s="25">
        <v>50</v>
      </c>
      <c r="F879" t="s">
        <v>375</v>
      </c>
      <c r="G879" s="24" t="s">
        <v>13</v>
      </c>
      <c r="H879" s="24" t="s">
        <v>14</v>
      </c>
      <c r="I879" s="24">
        <v>36900</v>
      </c>
      <c r="J879" s="24">
        <v>3</v>
      </c>
      <c r="K879" s="25">
        <f t="shared" si="39"/>
        <v>110700</v>
      </c>
      <c r="L879" s="26">
        <v>45043</v>
      </c>
      <c r="M879" s="25" t="str">
        <f t="shared" si="40"/>
        <v>Thursday</v>
      </c>
      <c r="N879" s="25" t="str">
        <f t="shared" si="41"/>
        <v>Weekday</v>
      </c>
      <c r="Q879" s="25"/>
      <c r="R879" s="24"/>
      <c r="S879" s="27"/>
      <c r="T879"/>
      <c r="U879" s="6"/>
      <c r="W879" s="7"/>
      <c r="Z879" s="4"/>
    </row>
    <row r="880" spans="1:26" x14ac:dyDescent="0.3">
      <c r="A880" t="s">
        <v>1251</v>
      </c>
      <c r="B880" s="16" t="s">
        <v>73</v>
      </c>
      <c r="C880" s="17" t="s">
        <v>11</v>
      </c>
      <c r="D880" s="18" t="s">
        <v>322</v>
      </c>
      <c r="E880" s="19">
        <v>68</v>
      </c>
      <c r="F880" t="s">
        <v>375</v>
      </c>
      <c r="G880" s="18" t="s">
        <v>31</v>
      </c>
      <c r="H880" s="18" t="s">
        <v>18</v>
      </c>
      <c r="I880" s="18">
        <v>6150</v>
      </c>
      <c r="J880" s="18">
        <v>2</v>
      </c>
      <c r="K880" s="19">
        <f t="shared" si="39"/>
        <v>12300</v>
      </c>
      <c r="L880" s="20">
        <v>45154</v>
      </c>
      <c r="M880" s="19" t="str">
        <f t="shared" si="40"/>
        <v>Wednesday</v>
      </c>
      <c r="N880" s="19" t="str">
        <f t="shared" si="41"/>
        <v>Weekday</v>
      </c>
      <c r="Q880" s="19"/>
      <c r="R880" s="18"/>
      <c r="S880" s="21"/>
      <c r="T880"/>
      <c r="U880" s="6"/>
      <c r="W880" s="7"/>
      <c r="Z880" s="4"/>
    </row>
    <row r="881" spans="1:26" x14ac:dyDescent="0.3">
      <c r="A881" t="s">
        <v>1252</v>
      </c>
      <c r="B881" s="22" t="s">
        <v>48</v>
      </c>
      <c r="C881" s="23" t="s">
        <v>11</v>
      </c>
      <c r="D881" s="24" t="s">
        <v>323</v>
      </c>
      <c r="E881" s="25">
        <v>58</v>
      </c>
      <c r="F881" t="s">
        <v>375</v>
      </c>
      <c r="G881" s="24" t="s">
        <v>26</v>
      </c>
      <c r="H881" s="24" t="s">
        <v>27</v>
      </c>
      <c r="I881" s="24">
        <v>24600</v>
      </c>
      <c r="J881" s="24">
        <v>5</v>
      </c>
      <c r="K881" s="25">
        <f t="shared" si="39"/>
        <v>123000</v>
      </c>
      <c r="L881" s="26">
        <v>45221</v>
      </c>
      <c r="M881" s="25" t="str">
        <f t="shared" si="40"/>
        <v>Sunday</v>
      </c>
      <c r="N881" s="25" t="str">
        <f t="shared" si="41"/>
        <v>Weekday</v>
      </c>
      <c r="Q881" s="25"/>
      <c r="R881" s="24"/>
      <c r="S881" s="27"/>
      <c r="T881"/>
      <c r="U881" s="6"/>
      <c r="W881" s="7"/>
      <c r="Z881" s="4"/>
    </row>
    <row r="882" spans="1:26" x14ac:dyDescent="0.3">
      <c r="A882" t="s">
        <v>1253</v>
      </c>
      <c r="B882" s="16" t="s">
        <v>304</v>
      </c>
      <c r="C882" s="17" t="s">
        <v>11</v>
      </c>
      <c r="D882" s="18" t="s">
        <v>322</v>
      </c>
      <c r="E882" s="19">
        <v>26</v>
      </c>
      <c r="F882" t="s">
        <v>381</v>
      </c>
      <c r="G882" s="18" t="s">
        <v>24</v>
      </c>
      <c r="H882" s="18" t="s">
        <v>14</v>
      </c>
      <c r="I882" s="18">
        <v>184500</v>
      </c>
      <c r="J882" s="18">
        <v>4</v>
      </c>
      <c r="K882" s="19">
        <f t="shared" si="39"/>
        <v>738000</v>
      </c>
      <c r="L882" s="20">
        <v>45162</v>
      </c>
      <c r="M882" s="19" t="str">
        <f t="shared" si="40"/>
        <v>Thursday</v>
      </c>
      <c r="N882" s="19" t="str">
        <f t="shared" si="41"/>
        <v>Weekday</v>
      </c>
      <c r="Q882" s="19"/>
      <c r="R882" s="18"/>
      <c r="S882" s="21"/>
      <c r="T882"/>
      <c r="U882" s="6"/>
      <c r="W882" s="7"/>
      <c r="Z882" s="4"/>
    </row>
    <row r="883" spans="1:26" x14ac:dyDescent="0.3">
      <c r="A883" t="s">
        <v>1254</v>
      </c>
      <c r="B883" s="22" t="s">
        <v>154</v>
      </c>
      <c r="C883" s="23" t="s">
        <v>11</v>
      </c>
      <c r="D883" s="24" t="s">
        <v>328</v>
      </c>
      <c r="E883" s="25">
        <v>53</v>
      </c>
      <c r="F883" t="s">
        <v>375</v>
      </c>
      <c r="G883" s="24" t="s">
        <v>32</v>
      </c>
      <c r="H883" s="24" t="s">
        <v>18</v>
      </c>
      <c r="I883" s="24">
        <v>3690</v>
      </c>
      <c r="J883" s="24">
        <v>2</v>
      </c>
      <c r="K883" s="25">
        <f t="shared" si="39"/>
        <v>7380</v>
      </c>
      <c r="L883" s="26">
        <v>45226</v>
      </c>
      <c r="M883" s="25" t="str">
        <f t="shared" si="40"/>
        <v>Friday</v>
      </c>
      <c r="N883" s="25" t="str">
        <f t="shared" si="41"/>
        <v>Weekend</v>
      </c>
      <c r="Q883" s="25"/>
      <c r="R883" s="24"/>
      <c r="S883" s="27"/>
      <c r="T883"/>
      <c r="U883" s="6"/>
      <c r="W883" s="7"/>
      <c r="Z883" s="4"/>
    </row>
    <row r="884" spans="1:26" x14ac:dyDescent="0.3">
      <c r="A884" t="s">
        <v>1255</v>
      </c>
      <c r="B884" s="16" t="s">
        <v>205</v>
      </c>
      <c r="C884" s="17" t="s">
        <v>20</v>
      </c>
      <c r="D884" s="18" t="s">
        <v>328</v>
      </c>
      <c r="E884" s="19">
        <v>61</v>
      </c>
      <c r="F884" t="s">
        <v>381</v>
      </c>
      <c r="G884" s="18" t="s">
        <v>31</v>
      </c>
      <c r="H884" s="18" t="s">
        <v>18</v>
      </c>
      <c r="I884" s="18">
        <v>6150</v>
      </c>
      <c r="J884" s="18">
        <v>3</v>
      </c>
      <c r="K884" s="19">
        <f t="shared" si="39"/>
        <v>18450</v>
      </c>
      <c r="L884" s="20">
        <v>45256</v>
      </c>
      <c r="M884" s="19" t="str">
        <f t="shared" si="40"/>
        <v>Sunday</v>
      </c>
      <c r="N884" s="19" t="str">
        <f t="shared" si="41"/>
        <v>Weekday</v>
      </c>
      <c r="Q884" s="19"/>
      <c r="R884" s="18"/>
      <c r="S884" s="21"/>
      <c r="T884"/>
      <c r="U884" s="6"/>
      <c r="W884" s="7"/>
      <c r="Z884" s="4"/>
    </row>
    <row r="885" spans="1:26" x14ac:dyDescent="0.3">
      <c r="A885" t="s">
        <v>1256</v>
      </c>
      <c r="B885" s="22" t="s">
        <v>45</v>
      </c>
      <c r="C885" s="23" t="s">
        <v>20</v>
      </c>
      <c r="D885" s="24" t="s">
        <v>323</v>
      </c>
      <c r="E885" s="25">
        <v>37</v>
      </c>
      <c r="F885" t="s">
        <v>373</v>
      </c>
      <c r="G885" s="24" t="s">
        <v>26</v>
      </c>
      <c r="H885" s="24" t="s">
        <v>27</v>
      </c>
      <c r="I885" s="24">
        <v>24600</v>
      </c>
      <c r="J885" s="24">
        <v>2</v>
      </c>
      <c r="K885" s="25">
        <f t="shared" si="39"/>
        <v>49200</v>
      </c>
      <c r="L885" s="26">
        <v>44974</v>
      </c>
      <c r="M885" s="25" t="str">
        <f t="shared" si="40"/>
        <v>Friday</v>
      </c>
      <c r="N885" s="25" t="str">
        <f t="shared" si="41"/>
        <v>Weekend</v>
      </c>
      <c r="Q885" s="25"/>
      <c r="R885" s="24"/>
      <c r="S885" s="27"/>
      <c r="T885"/>
      <c r="U885" s="6"/>
      <c r="W885" s="7"/>
      <c r="Z885" s="4"/>
    </row>
    <row r="886" spans="1:26" x14ac:dyDescent="0.3">
      <c r="A886" t="s">
        <v>1257</v>
      </c>
      <c r="B886" s="16" t="s">
        <v>214</v>
      </c>
      <c r="C886" s="17" t="s">
        <v>11</v>
      </c>
      <c r="D886" s="18" t="s">
        <v>325</v>
      </c>
      <c r="E886" s="19">
        <v>67</v>
      </c>
      <c r="F886" t="s">
        <v>381</v>
      </c>
      <c r="G886" s="18" t="s">
        <v>13</v>
      </c>
      <c r="H886" s="18" t="s">
        <v>14</v>
      </c>
      <c r="I886" s="18">
        <v>36900</v>
      </c>
      <c r="J886" s="18">
        <v>3</v>
      </c>
      <c r="K886" s="19">
        <f t="shared" si="39"/>
        <v>110700</v>
      </c>
      <c r="L886" s="20">
        <v>45239</v>
      </c>
      <c r="M886" s="19" t="str">
        <f t="shared" si="40"/>
        <v>Thursday</v>
      </c>
      <c r="N886" s="19" t="str">
        <f t="shared" si="41"/>
        <v>Weekday</v>
      </c>
      <c r="Q886" s="19"/>
      <c r="R886" s="18"/>
      <c r="S886" s="21"/>
      <c r="T886"/>
      <c r="U886" s="6"/>
      <c r="W886" s="7"/>
      <c r="Z886" s="4"/>
    </row>
    <row r="887" spans="1:26" x14ac:dyDescent="0.3">
      <c r="A887" t="s">
        <v>1258</v>
      </c>
      <c r="B887" s="22" t="s">
        <v>263</v>
      </c>
      <c r="C887" s="23" t="s">
        <v>366</v>
      </c>
      <c r="D887" s="24" t="s">
        <v>322</v>
      </c>
      <c r="E887" s="25">
        <v>26</v>
      </c>
      <c r="F887" t="s">
        <v>381</v>
      </c>
      <c r="G887" s="24" t="s">
        <v>32</v>
      </c>
      <c r="H887" s="24" t="s">
        <v>18</v>
      </c>
      <c r="I887" s="24">
        <v>3690</v>
      </c>
      <c r="J887" s="24">
        <v>1</v>
      </c>
      <c r="K887" s="25">
        <f t="shared" si="39"/>
        <v>3690</v>
      </c>
      <c r="L887" s="26">
        <v>45087</v>
      </c>
      <c r="M887" s="25" t="str">
        <f t="shared" si="40"/>
        <v>Saturday</v>
      </c>
      <c r="N887" s="25" t="str">
        <f t="shared" si="41"/>
        <v>Weekend</v>
      </c>
      <c r="Q887" s="25"/>
      <c r="R887" s="24"/>
      <c r="S887" s="27"/>
      <c r="T887"/>
      <c r="U887" s="6"/>
      <c r="W887" s="7"/>
      <c r="Z887" s="4"/>
    </row>
    <row r="888" spans="1:26" x14ac:dyDescent="0.3">
      <c r="A888" t="s">
        <v>1259</v>
      </c>
      <c r="B888" s="16" t="s">
        <v>277</v>
      </c>
      <c r="C888" s="17" t="s">
        <v>11</v>
      </c>
      <c r="D888" s="18" t="s">
        <v>325</v>
      </c>
      <c r="E888" s="19">
        <v>34</v>
      </c>
      <c r="F888" t="s">
        <v>375</v>
      </c>
      <c r="G888" s="18" t="s">
        <v>26</v>
      </c>
      <c r="H888" s="18" t="s">
        <v>27</v>
      </c>
      <c r="I888" s="18">
        <v>24600</v>
      </c>
      <c r="J888" s="18">
        <v>3</v>
      </c>
      <c r="K888" s="19">
        <f t="shared" si="39"/>
        <v>73800</v>
      </c>
      <c r="L888" s="20">
        <v>45029</v>
      </c>
      <c r="M888" s="19" t="str">
        <f t="shared" si="40"/>
        <v>Thursday</v>
      </c>
      <c r="N888" s="19" t="str">
        <f t="shared" si="41"/>
        <v>Weekday</v>
      </c>
      <c r="Q888" s="19"/>
      <c r="R888" s="18"/>
      <c r="S888" s="21"/>
      <c r="T888"/>
      <c r="U888" s="6"/>
      <c r="W888" s="7"/>
      <c r="Z888" s="4"/>
    </row>
    <row r="889" spans="1:26" x14ac:dyDescent="0.3">
      <c r="A889" t="s">
        <v>1260</v>
      </c>
      <c r="B889" s="22" t="s">
        <v>196</v>
      </c>
      <c r="C889" s="23" t="s">
        <v>11</v>
      </c>
      <c r="D889" s="24" t="s">
        <v>324</v>
      </c>
      <c r="E889" s="25">
        <v>53</v>
      </c>
      <c r="F889" t="s">
        <v>375</v>
      </c>
      <c r="G889" s="24" t="s">
        <v>32</v>
      </c>
      <c r="H889" s="24" t="s">
        <v>18</v>
      </c>
      <c r="I889" s="24">
        <v>3690</v>
      </c>
      <c r="J889" s="24">
        <v>3</v>
      </c>
      <c r="K889" s="25">
        <f t="shared" si="39"/>
        <v>11070</v>
      </c>
      <c r="L889" s="26">
        <v>45041</v>
      </c>
      <c r="M889" s="25" t="str">
        <f t="shared" si="40"/>
        <v>Tuesday</v>
      </c>
      <c r="N889" s="25" t="str">
        <f t="shared" si="41"/>
        <v>Weekday</v>
      </c>
      <c r="Q889" s="25"/>
      <c r="R889" s="24"/>
      <c r="S889" s="27"/>
      <c r="T889"/>
      <c r="U889" s="6"/>
      <c r="W889" s="7"/>
      <c r="Z889" s="4"/>
    </row>
    <row r="890" spans="1:26" x14ac:dyDescent="0.3">
      <c r="A890" t="s">
        <v>1261</v>
      </c>
      <c r="B890" s="16" t="s">
        <v>50</v>
      </c>
      <c r="C890" s="17" t="s">
        <v>20</v>
      </c>
      <c r="D890" s="18" t="s">
        <v>326</v>
      </c>
      <c r="E890" s="19">
        <v>59</v>
      </c>
      <c r="F890" t="s">
        <v>370</v>
      </c>
      <c r="G890" s="18" t="s">
        <v>42</v>
      </c>
      <c r="H890" s="18" t="s">
        <v>14</v>
      </c>
      <c r="I890" s="18">
        <v>98400</v>
      </c>
      <c r="J890" s="18">
        <v>4</v>
      </c>
      <c r="K890" s="19">
        <f t="shared" si="39"/>
        <v>393600</v>
      </c>
      <c r="L890" s="20">
        <v>44988</v>
      </c>
      <c r="M890" s="19" t="str">
        <f t="shared" si="40"/>
        <v>Friday</v>
      </c>
      <c r="N890" s="19" t="str">
        <f t="shared" si="41"/>
        <v>Weekend</v>
      </c>
      <c r="Q890" s="19"/>
      <c r="R890" s="18"/>
      <c r="S890" s="21"/>
      <c r="T890"/>
      <c r="U890" s="6"/>
      <c r="W890" s="7"/>
      <c r="Z890" s="4"/>
    </row>
    <row r="891" spans="1:26" x14ac:dyDescent="0.3">
      <c r="A891" t="s">
        <v>1262</v>
      </c>
      <c r="B891" s="22" t="s">
        <v>154</v>
      </c>
      <c r="C891" s="23" t="s">
        <v>11</v>
      </c>
      <c r="D891" s="24" t="s">
        <v>328</v>
      </c>
      <c r="E891" s="25">
        <v>53</v>
      </c>
      <c r="F891" t="s">
        <v>381</v>
      </c>
      <c r="G891" s="24" t="s">
        <v>13</v>
      </c>
      <c r="H891" s="24" t="s">
        <v>14</v>
      </c>
      <c r="I891" s="24">
        <v>36900</v>
      </c>
      <c r="J891" s="24">
        <v>3</v>
      </c>
      <c r="K891" s="25">
        <f t="shared" si="39"/>
        <v>110700</v>
      </c>
      <c r="L891" s="26">
        <v>44999</v>
      </c>
      <c r="M891" s="25" t="str">
        <f t="shared" si="40"/>
        <v>Tuesday</v>
      </c>
      <c r="N891" s="25" t="str">
        <f t="shared" si="41"/>
        <v>Weekday</v>
      </c>
      <c r="Q891" s="25"/>
      <c r="R891" s="24"/>
      <c r="S891" s="27"/>
      <c r="T891"/>
      <c r="U891" s="6"/>
      <c r="W891" s="7"/>
      <c r="Z891" s="4"/>
    </row>
    <row r="892" spans="1:26" x14ac:dyDescent="0.3">
      <c r="A892" t="s">
        <v>1263</v>
      </c>
      <c r="B892" s="16" t="s">
        <v>290</v>
      </c>
      <c r="C892" s="17" t="s">
        <v>366</v>
      </c>
      <c r="D892" s="18" t="s">
        <v>326</v>
      </c>
      <c r="E892" s="19">
        <v>66</v>
      </c>
      <c r="F892" t="s">
        <v>373</v>
      </c>
      <c r="G892" s="18" t="s">
        <v>13</v>
      </c>
      <c r="H892" s="18" t="s">
        <v>14</v>
      </c>
      <c r="I892" s="18">
        <v>36900</v>
      </c>
      <c r="J892" s="18">
        <v>1</v>
      </c>
      <c r="K892" s="19">
        <f t="shared" si="39"/>
        <v>36900</v>
      </c>
      <c r="L892" s="20">
        <v>45019</v>
      </c>
      <c r="M892" s="19" t="str">
        <f t="shared" si="40"/>
        <v>Monday</v>
      </c>
      <c r="N892" s="19" t="str">
        <f t="shared" si="41"/>
        <v>Weekday</v>
      </c>
      <c r="Q892" s="19"/>
      <c r="R892" s="18"/>
      <c r="S892" s="21"/>
      <c r="T892"/>
      <c r="U892" s="6"/>
      <c r="W892" s="7"/>
      <c r="Z892" s="4"/>
    </row>
    <row r="893" spans="1:26" x14ac:dyDescent="0.3">
      <c r="A893" t="s">
        <v>1264</v>
      </c>
      <c r="B893" s="22" t="s">
        <v>187</v>
      </c>
      <c r="C893" s="23" t="s">
        <v>11</v>
      </c>
      <c r="D893" s="24" t="s">
        <v>324</v>
      </c>
      <c r="E893" s="25">
        <v>68</v>
      </c>
      <c r="F893" t="s">
        <v>370</v>
      </c>
      <c r="G893" s="24" t="s">
        <v>31</v>
      </c>
      <c r="H893" s="24" t="s">
        <v>18</v>
      </c>
      <c r="I893" s="24">
        <v>6150</v>
      </c>
      <c r="J893" s="24">
        <v>1</v>
      </c>
      <c r="K893" s="25">
        <f t="shared" si="39"/>
        <v>6150</v>
      </c>
      <c r="L893" s="26">
        <v>45018</v>
      </c>
      <c r="M893" s="25" t="str">
        <f t="shared" si="40"/>
        <v>Sunday</v>
      </c>
      <c r="N893" s="25" t="str">
        <f t="shared" si="41"/>
        <v>Weekday</v>
      </c>
      <c r="Q893" s="25"/>
      <c r="R893" s="24"/>
      <c r="S893" s="27"/>
      <c r="T893"/>
      <c r="U893" s="6"/>
      <c r="W893" s="7"/>
      <c r="Z893" s="4"/>
    </row>
    <row r="894" spans="1:26" x14ac:dyDescent="0.3">
      <c r="A894" t="s">
        <v>1265</v>
      </c>
      <c r="B894" s="16" t="s">
        <v>158</v>
      </c>
      <c r="C894" s="17" t="s">
        <v>20</v>
      </c>
      <c r="D894" s="18" t="s">
        <v>322</v>
      </c>
      <c r="E894" s="19">
        <v>54</v>
      </c>
      <c r="F894" t="s">
        <v>370</v>
      </c>
      <c r="G894" s="18" t="s">
        <v>42</v>
      </c>
      <c r="H894" s="18" t="s">
        <v>14</v>
      </c>
      <c r="I894" s="18">
        <v>98400</v>
      </c>
      <c r="J894" s="18">
        <v>5</v>
      </c>
      <c r="K894" s="19">
        <f t="shared" si="39"/>
        <v>492000</v>
      </c>
      <c r="L894" s="20">
        <v>45115</v>
      </c>
      <c r="M894" s="19" t="str">
        <f t="shared" si="40"/>
        <v>Saturday</v>
      </c>
      <c r="N894" s="19" t="str">
        <f t="shared" si="41"/>
        <v>Weekend</v>
      </c>
      <c r="Q894" s="19"/>
      <c r="R894" s="18"/>
      <c r="S894" s="21"/>
      <c r="T894"/>
      <c r="U894" s="6"/>
      <c r="W894" s="7"/>
      <c r="Z894" s="4"/>
    </row>
    <row r="895" spans="1:26" x14ac:dyDescent="0.3">
      <c r="A895" t="s">
        <v>1266</v>
      </c>
      <c r="B895" s="22" t="s">
        <v>249</v>
      </c>
      <c r="C895" s="23" t="s">
        <v>20</v>
      </c>
      <c r="D895" s="24" t="s">
        <v>322</v>
      </c>
      <c r="E895" s="25">
        <v>37</v>
      </c>
      <c r="F895" t="s">
        <v>370</v>
      </c>
      <c r="G895" s="24" t="s">
        <v>17</v>
      </c>
      <c r="H895" s="24" t="s">
        <v>18</v>
      </c>
      <c r="I895" s="24">
        <v>12300</v>
      </c>
      <c r="J895" s="24">
        <v>5</v>
      </c>
      <c r="K895" s="25">
        <f t="shared" si="39"/>
        <v>61500</v>
      </c>
      <c r="L895" s="26">
        <v>45036</v>
      </c>
      <c r="M895" s="25" t="str">
        <f t="shared" si="40"/>
        <v>Thursday</v>
      </c>
      <c r="N895" s="25" t="str">
        <f t="shared" si="41"/>
        <v>Weekday</v>
      </c>
      <c r="Q895" s="25"/>
      <c r="R895" s="24"/>
      <c r="S895" s="27"/>
      <c r="T895"/>
      <c r="U895" s="6"/>
      <c r="W895" s="7"/>
      <c r="Z895" s="4"/>
    </row>
    <row r="896" spans="1:26" x14ac:dyDescent="0.3">
      <c r="A896" t="s">
        <v>1267</v>
      </c>
      <c r="B896" s="16" t="s">
        <v>110</v>
      </c>
      <c r="C896" s="17" t="s">
        <v>11</v>
      </c>
      <c r="D896" s="18" t="s">
        <v>323</v>
      </c>
      <c r="E896" s="19">
        <v>25</v>
      </c>
      <c r="F896" t="s">
        <v>375</v>
      </c>
      <c r="G896" s="18" t="s">
        <v>26</v>
      </c>
      <c r="H896" s="18" t="s">
        <v>27</v>
      </c>
      <c r="I896" s="18">
        <v>24600</v>
      </c>
      <c r="J896" s="18">
        <v>2</v>
      </c>
      <c r="K896" s="19">
        <f t="shared" si="39"/>
        <v>49200</v>
      </c>
      <c r="L896" s="20">
        <v>45218</v>
      </c>
      <c r="M896" s="19" t="str">
        <f t="shared" si="40"/>
        <v>Thursday</v>
      </c>
      <c r="N896" s="19" t="str">
        <f t="shared" si="41"/>
        <v>Weekday</v>
      </c>
      <c r="Q896" s="19"/>
      <c r="R896" s="18"/>
      <c r="S896" s="21"/>
      <c r="T896"/>
      <c r="U896" s="6"/>
      <c r="W896" s="7"/>
      <c r="Z896" s="4"/>
    </row>
    <row r="897" spans="1:26" x14ac:dyDescent="0.3">
      <c r="A897" t="s">
        <v>1268</v>
      </c>
      <c r="B897" s="22" t="s">
        <v>259</v>
      </c>
      <c r="C897" s="23" t="s">
        <v>366</v>
      </c>
      <c r="D897" s="24" t="s">
        <v>328</v>
      </c>
      <c r="E897" s="25">
        <v>58</v>
      </c>
      <c r="F897" t="s">
        <v>375</v>
      </c>
      <c r="G897" s="24" t="s">
        <v>13</v>
      </c>
      <c r="H897" s="24" t="s">
        <v>14</v>
      </c>
      <c r="I897" s="24">
        <v>36900</v>
      </c>
      <c r="J897" s="24">
        <v>4</v>
      </c>
      <c r="K897" s="25">
        <f t="shared" si="39"/>
        <v>147600</v>
      </c>
      <c r="L897" s="26">
        <v>45060</v>
      </c>
      <c r="M897" s="25" t="str">
        <f t="shared" si="40"/>
        <v>Sunday</v>
      </c>
      <c r="N897" s="25" t="str">
        <f t="shared" si="41"/>
        <v>Weekday</v>
      </c>
      <c r="Q897" s="25"/>
      <c r="R897" s="24"/>
      <c r="S897" s="27"/>
      <c r="T897"/>
      <c r="U897" s="6"/>
      <c r="W897" s="7"/>
      <c r="Z897" s="4"/>
    </row>
    <row r="898" spans="1:26" x14ac:dyDescent="0.3">
      <c r="A898" t="s">
        <v>1269</v>
      </c>
      <c r="B898" s="16" t="s">
        <v>48</v>
      </c>
      <c r="C898" s="17" t="s">
        <v>11</v>
      </c>
      <c r="D898" s="18" t="s">
        <v>323</v>
      </c>
      <c r="E898" s="19">
        <v>58</v>
      </c>
      <c r="F898" t="s">
        <v>375</v>
      </c>
      <c r="G898" s="18" t="s">
        <v>26</v>
      </c>
      <c r="H898" s="18" t="s">
        <v>27</v>
      </c>
      <c r="I898" s="18">
        <v>24600</v>
      </c>
      <c r="J898" s="18">
        <v>3</v>
      </c>
      <c r="K898" s="19">
        <f t="shared" ref="K898:K961" si="42">I898*J898</f>
        <v>73800</v>
      </c>
      <c r="L898" s="20">
        <v>45198</v>
      </c>
      <c r="M898" s="19" t="str">
        <f t="shared" ref="M898:M961" si="43">TEXT(L898, "dddd")</f>
        <v>Friday</v>
      </c>
      <c r="N898" s="19" t="str">
        <f t="shared" ref="N898:N961" si="44">IF(OR(WEEKDAY(L898, 2)=5, WEEKDAY(L898, 2)=6), "Weekend", "Weekday")</f>
        <v>Weekend</v>
      </c>
      <c r="Q898" s="19"/>
      <c r="R898" s="18"/>
      <c r="S898" s="21"/>
      <c r="T898"/>
      <c r="U898" s="6"/>
      <c r="W898" s="7"/>
      <c r="Z898" s="4"/>
    </row>
    <row r="899" spans="1:26" x14ac:dyDescent="0.3">
      <c r="A899" t="s">
        <v>1270</v>
      </c>
      <c r="B899" s="22" t="s">
        <v>160</v>
      </c>
      <c r="C899" s="23" t="s">
        <v>11</v>
      </c>
      <c r="D899" s="24" t="s">
        <v>323</v>
      </c>
      <c r="E899" s="25">
        <v>32</v>
      </c>
      <c r="F899" t="s">
        <v>373</v>
      </c>
      <c r="G899" s="24" t="s">
        <v>24</v>
      </c>
      <c r="H899" s="24" t="s">
        <v>14</v>
      </c>
      <c r="I899" s="24">
        <v>184500</v>
      </c>
      <c r="J899" s="24">
        <v>1</v>
      </c>
      <c r="K899" s="25">
        <f t="shared" si="42"/>
        <v>184500</v>
      </c>
      <c r="L899" s="26">
        <v>45286</v>
      </c>
      <c r="M899" s="25" t="str">
        <f t="shared" si="43"/>
        <v>Tuesday</v>
      </c>
      <c r="N899" s="25" t="str">
        <f t="shared" si="44"/>
        <v>Weekday</v>
      </c>
      <c r="Q899" s="25"/>
      <c r="R899" s="24"/>
      <c r="S899" s="27"/>
      <c r="T899"/>
      <c r="U899" s="6"/>
      <c r="W899" s="7"/>
      <c r="Z899" s="4"/>
    </row>
    <row r="900" spans="1:26" x14ac:dyDescent="0.3">
      <c r="A900" t="s">
        <v>1271</v>
      </c>
      <c r="B900" s="16" t="s">
        <v>71</v>
      </c>
      <c r="C900" s="17" t="s">
        <v>20</v>
      </c>
      <c r="D900" s="18" t="s">
        <v>323</v>
      </c>
      <c r="E900" s="19">
        <v>67</v>
      </c>
      <c r="F900" t="s">
        <v>381</v>
      </c>
      <c r="G900" s="18" t="s">
        <v>32</v>
      </c>
      <c r="H900" s="18" t="s">
        <v>18</v>
      </c>
      <c r="I900" s="18">
        <v>3690</v>
      </c>
      <c r="J900" s="18">
        <v>1</v>
      </c>
      <c r="K900" s="19">
        <f t="shared" si="42"/>
        <v>3690</v>
      </c>
      <c r="L900" s="20">
        <v>45085</v>
      </c>
      <c r="M900" s="19" t="str">
        <f t="shared" si="43"/>
        <v>Thursday</v>
      </c>
      <c r="N900" s="19" t="str">
        <f t="shared" si="44"/>
        <v>Weekday</v>
      </c>
      <c r="Q900" s="19"/>
      <c r="R900" s="18"/>
      <c r="S900" s="21"/>
      <c r="T900"/>
      <c r="U900" s="6"/>
      <c r="W900" s="7"/>
      <c r="Z900" s="4"/>
    </row>
    <row r="901" spans="1:26" x14ac:dyDescent="0.3">
      <c r="A901" t="s">
        <v>1272</v>
      </c>
      <c r="B901" s="22" t="s">
        <v>229</v>
      </c>
      <c r="C901" s="23" t="s">
        <v>11</v>
      </c>
      <c r="D901" s="24" t="s">
        <v>324</v>
      </c>
      <c r="E901" s="25">
        <v>66</v>
      </c>
      <c r="F901" t="s">
        <v>370</v>
      </c>
      <c r="G901" s="24" t="s">
        <v>31</v>
      </c>
      <c r="H901" s="24" t="s">
        <v>18</v>
      </c>
      <c r="I901" s="24">
        <v>6150</v>
      </c>
      <c r="J901" s="24">
        <v>4</v>
      </c>
      <c r="K901" s="25">
        <f t="shared" si="42"/>
        <v>24600</v>
      </c>
      <c r="L901" s="26">
        <v>45080</v>
      </c>
      <c r="M901" s="25" t="str">
        <f t="shared" si="43"/>
        <v>Saturday</v>
      </c>
      <c r="N901" s="25" t="str">
        <f t="shared" si="44"/>
        <v>Weekend</v>
      </c>
      <c r="Q901" s="25"/>
      <c r="R901" s="24"/>
      <c r="S901" s="27"/>
      <c r="T901"/>
      <c r="U901" s="6"/>
      <c r="W901" s="7"/>
      <c r="Z901" s="4"/>
    </row>
    <row r="902" spans="1:26" x14ac:dyDescent="0.3">
      <c r="A902" t="s">
        <v>1273</v>
      </c>
      <c r="B902" s="16" t="s">
        <v>309</v>
      </c>
      <c r="C902" s="17" t="s">
        <v>366</v>
      </c>
      <c r="D902" s="18" t="s">
        <v>322</v>
      </c>
      <c r="E902" s="19">
        <v>38</v>
      </c>
      <c r="F902" t="s">
        <v>375</v>
      </c>
      <c r="G902" s="18" t="s">
        <v>17</v>
      </c>
      <c r="H902" s="18" t="s">
        <v>18</v>
      </c>
      <c r="I902" s="18">
        <v>12300</v>
      </c>
      <c r="J902" s="18">
        <v>3</v>
      </c>
      <c r="K902" s="19">
        <f t="shared" si="42"/>
        <v>36900</v>
      </c>
      <c r="L902" s="20">
        <v>45260</v>
      </c>
      <c r="M902" s="19" t="str">
        <f t="shared" si="43"/>
        <v>Thursday</v>
      </c>
      <c r="N902" s="19" t="str">
        <f t="shared" si="44"/>
        <v>Weekday</v>
      </c>
      <c r="Q902" s="19"/>
      <c r="R902" s="18"/>
      <c r="S902" s="21"/>
      <c r="T902"/>
      <c r="U902" s="6"/>
      <c r="W902" s="7"/>
      <c r="Z902" s="4"/>
    </row>
    <row r="903" spans="1:26" x14ac:dyDescent="0.3">
      <c r="A903" t="s">
        <v>1274</v>
      </c>
      <c r="B903" s="22" t="s">
        <v>130</v>
      </c>
      <c r="C903" s="23" t="s">
        <v>11</v>
      </c>
      <c r="D903" s="24" t="s">
        <v>322</v>
      </c>
      <c r="E903" s="25">
        <v>63</v>
      </c>
      <c r="F903" t="s">
        <v>381</v>
      </c>
      <c r="G903" s="24" t="s">
        <v>32</v>
      </c>
      <c r="H903" s="24" t="s">
        <v>18</v>
      </c>
      <c r="I903" s="24">
        <v>3690</v>
      </c>
      <c r="J903" s="24">
        <v>3</v>
      </c>
      <c r="K903" s="25">
        <f t="shared" si="42"/>
        <v>11070</v>
      </c>
      <c r="L903" s="26">
        <v>44971</v>
      </c>
      <c r="M903" s="25" t="str">
        <f t="shared" si="43"/>
        <v>Tuesday</v>
      </c>
      <c r="N903" s="25" t="str">
        <f t="shared" si="44"/>
        <v>Weekday</v>
      </c>
      <c r="Q903" s="25"/>
      <c r="R903" s="24"/>
      <c r="S903" s="27"/>
      <c r="T903"/>
      <c r="U903" s="6"/>
      <c r="W903" s="7"/>
      <c r="Z903" s="4"/>
    </row>
    <row r="904" spans="1:26" x14ac:dyDescent="0.3">
      <c r="A904" t="s">
        <v>1275</v>
      </c>
      <c r="B904" s="16" t="s">
        <v>131</v>
      </c>
      <c r="C904" s="17" t="s">
        <v>20</v>
      </c>
      <c r="D904" s="18" t="s">
        <v>323</v>
      </c>
      <c r="E904" s="19">
        <v>62</v>
      </c>
      <c r="F904" t="s">
        <v>370</v>
      </c>
      <c r="G904" s="18" t="s">
        <v>31</v>
      </c>
      <c r="H904" s="18" t="s">
        <v>18</v>
      </c>
      <c r="I904" s="18">
        <v>6150</v>
      </c>
      <c r="J904" s="18">
        <v>2</v>
      </c>
      <c r="K904" s="19">
        <f t="shared" si="42"/>
        <v>12300</v>
      </c>
      <c r="L904" s="20">
        <v>45109</v>
      </c>
      <c r="M904" s="19" t="str">
        <f t="shared" si="43"/>
        <v>Sunday</v>
      </c>
      <c r="N904" s="19" t="str">
        <f t="shared" si="44"/>
        <v>Weekday</v>
      </c>
      <c r="Q904" s="19"/>
      <c r="R904" s="18"/>
      <c r="S904" s="21"/>
      <c r="T904"/>
      <c r="U904" s="6"/>
      <c r="W904" s="7"/>
      <c r="Z904" s="4"/>
    </row>
    <row r="905" spans="1:26" x14ac:dyDescent="0.3">
      <c r="A905" t="s">
        <v>1276</v>
      </c>
      <c r="B905" s="22" t="s">
        <v>201</v>
      </c>
      <c r="C905" s="23" t="s">
        <v>20</v>
      </c>
      <c r="D905" s="24" t="s">
        <v>322</v>
      </c>
      <c r="E905" s="25">
        <v>50</v>
      </c>
      <c r="F905" t="s">
        <v>381</v>
      </c>
      <c r="G905" s="24" t="s">
        <v>42</v>
      </c>
      <c r="H905" s="24" t="s">
        <v>14</v>
      </c>
      <c r="I905" s="24">
        <v>98400</v>
      </c>
      <c r="J905" s="24">
        <v>1</v>
      </c>
      <c r="K905" s="25">
        <f t="shared" si="42"/>
        <v>98400</v>
      </c>
      <c r="L905" s="26">
        <v>45090</v>
      </c>
      <c r="M905" s="25" t="str">
        <f t="shared" si="43"/>
        <v>Tuesday</v>
      </c>
      <c r="N905" s="25" t="str">
        <f t="shared" si="44"/>
        <v>Weekday</v>
      </c>
      <c r="Q905" s="25"/>
      <c r="R905" s="24"/>
      <c r="S905" s="27"/>
      <c r="T905"/>
      <c r="U905" s="6"/>
      <c r="W905" s="7"/>
      <c r="Z905" s="4"/>
    </row>
    <row r="906" spans="1:26" x14ac:dyDescent="0.3">
      <c r="A906" t="s">
        <v>1277</v>
      </c>
      <c r="B906" s="16" t="s">
        <v>246</v>
      </c>
      <c r="C906" s="17" t="s">
        <v>11</v>
      </c>
      <c r="D906" s="18" t="s">
        <v>326</v>
      </c>
      <c r="E906" s="19">
        <v>23</v>
      </c>
      <c r="F906" t="s">
        <v>370</v>
      </c>
      <c r="G906" s="18" t="s">
        <v>13</v>
      </c>
      <c r="H906" s="18" t="s">
        <v>14</v>
      </c>
      <c r="I906" s="18">
        <v>36900</v>
      </c>
      <c r="J906" s="18">
        <v>4</v>
      </c>
      <c r="K906" s="19">
        <f t="shared" si="42"/>
        <v>147600</v>
      </c>
      <c r="L906" s="20">
        <v>45013</v>
      </c>
      <c r="M906" s="19" t="str">
        <f t="shared" si="43"/>
        <v>Tuesday</v>
      </c>
      <c r="N906" s="19" t="str">
        <f t="shared" si="44"/>
        <v>Weekday</v>
      </c>
      <c r="Q906" s="19"/>
      <c r="R906" s="18"/>
      <c r="S906" s="21"/>
      <c r="T906"/>
      <c r="U906" s="6"/>
      <c r="W906" s="7"/>
      <c r="Z906" s="4"/>
    </row>
    <row r="907" spans="1:26" x14ac:dyDescent="0.3">
      <c r="A907" t="s">
        <v>1278</v>
      </c>
      <c r="B907" s="22" t="s">
        <v>229</v>
      </c>
      <c r="C907" s="23" t="s">
        <v>11</v>
      </c>
      <c r="D907" s="24" t="s">
        <v>324</v>
      </c>
      <c r="E907" s="25">
        <v>66</v>
      </c>
      <c r="F907" t="s">
        <v>381</v>
      </c>
      <c r="G907" s="24" t="s">
        <v>17</v>
      </c>
      <c r="H907" s="24" t="s">
        <v>18</v>
      </c>
      <c r="I907" s="24">
        <v>12300</v>
      </c>
      <c r="J907" s="24">
        <v>5</v>
      </c>
      <c r="K907" s="25">
        <f t="shared" si="42"/>
        <v>61500</v>
      </c>
      <c r="L907" s="26">
        <v>45284</v>
      </c>
      <c r="M907" s="25" t="str">
        <f t="shared" si="43"/>
        <v>Sunday</v>
      </c>
      <c r="N907" s="25" t="str">
        <f t="shared" si="44"/>
        <v>Weekday</v>
      </c>
      <c r="Q907" s="25"/>
      <c r="R907" s="24"/>
      <c r="S907" s="27"/>
      <c r="T907"/>
      <c r="U907" s="6"/>
      <c r="W907" s="7"/>
      <c r="Z907" s="4"/>
    </row>
    <row r="908" spans="1:26" x14ac:dyDescent="0.3">
      <c r="A908" t="s">
        <v>1279</v>
      </c>
      <c r="B908" s="16" t="s">
        <v>311</v>
      </c>
      <c r="C908" s="17" t="s">
        <v>11</v>
      </c>
      <c r="D908" s="18" t="s">
        <v>322</v>
      </c>
      <c r="E908" s="19">
        <v>21</v>
      </c>
      <c r="F908" t="s">
        <v>375</v>
      </c>
      <c r="G908" s="18" t="s">
        <v>32</v>
      </c>
      <c r="H908" s="18" t="s">
        <v>18</v>
      </c>
      <c r="I908" s="18">
        <v>3690</v>
      </c>
      <c r="J908" s="18">
        <v>4</v>
      </c>
      <c r="K908" s="19">
        <f t="shared" si="42"/>
        <v>14760</v>
      </c>
      <c r="L908" s="20">
        <v>45070</v>
      </c>
      <c r="M908" s="19" t="str">
        <f t="shared" si="43"/>
        <v>Wednesday</v>
      </c>
      <c r="N908" s="19" t="str">
        <f t="shared" si="44"/>
        <v>Weekday</v>
      </c>
      <c r="Q908" s="19"/>
      <c r="R908" s="18"/>
      <c r="S908" s="21"/>
      <c r="T908"/>
      <c r="U908" s="6"/>
      <c r="W908" s="7"/>
      <c r="Z908" s="4"/>
    </row>
    <row r="909" spans="1:26" x14ac:dyDescent="0.3">
      <c r="A909" t="s">
        <v>1280</v>
      </c>
      <c r="B909" s="22" t="s">
        <v>215</v>
      </c>
      <c r="C909" s="23" t="s">
        <v>20</v>
      </c>
      <c r="D909" s="24" t="s">
        <v>326</v>
      </c>
      <c r="E909" s="25">
        <v>49</v>
      </c>
      <c r="F909" t="s">
        <v>381</v>
      </c>
      <c r="G909" s="24" t="s">
        <v>13</v>
      </c>
      <c r="H909" s="24" t="s">
        <v>14</v>
      </c>
      <c r="I909" s="24">
        <v>36900</v>
      </c>
      <c r="J909" s="24">
        <v>3</v>
      </c>
      <c r="K909" s="25">
        <f t="shared" si="42"/>
        <v>110700</v>
      </c>
      <c r="L909" s="26">
        <v>45067</v>
      </c>
      <c r="M909" s="25" t="str">
        <f t="shared" si="43"/>
        <v>Sunday</v>
      </c>
      <c r="N909" s="25" t="str">
        <f t="shared" si="44"/>
        <v>Weekday</v>
      </c>
      <c r="Q909" s="25"/>
      <c r="R909" s="24"/>
      <c r="S909" s="27"/>
      <c r="T909"/>
      <c r="U909" s="6"/>
      <c r="W909" s="7"/>
      <c r="Z909" s="4"/>
    </row>
    <row r="910" spans="1:26" x14ac:dyDescent="0.3">
      <c r="A910" t="s">
        <v>1281</v>
      </c>
      <c r="B910" s="16" t="s">
        <v>222</v>
      </c>
      <c r="C910" s="17" t="s">
        <v>11</v>
      </c>
      <c r="D910" s="18" t="s">
        <v>323</v>
      </c>
      <c r="E910" s="19">
        <v>18</v>
      </c>
      <c r="F910" t="s">
        <v>381</v>
      </c>
      <c r="G910" s="18" t="s">
        <v>31</v>
      </c>
      <c r="H910" s="18" t="s">
        <v>18</v>
      </c>
      <c r="I910" s="18">
        <v>6150</v>
      </c>
      <c r="J910" s="18">
        <v>5</v>
      </c>
      <c r="K910" s="19">
        <f t="shared" si="42"/>
        <v>30750</v>
      </c>
      <c r="L910" s="20">
        <v>44931</v>
      </c>
      <c r="M910" s="19" t="str">
        <f t="shared" si="43"/>
        <v>Thursday</v>
      </c>
      <c r="N910" s="19" t="str">
        <f t="shared" si="44"/>
        <v>Weekday</v>
      </c>
      <c r="Q910" s="19"/>
      <c r="R910" s="18"/>
      <c r="S910" s="21"/>
      <c r="T910"/>
      <c r="U910" s="6"/>
      <c r="W910" s="7"/>
      <c r="Z910" s="4"/>
    </row>
    <row r="911" spans="1:26" x14ac:dyDescent="0.3">
      <c r="A911" t="s">
        <v>1282</v>
      </c>
      <c r="B911" s="22" t="s">
        <v>312</v>
      </c>
      <c r="C911" s="23" t="s">
        <v>20</v>
      </c>
      <c r="D911" s="24" t="s">
        <v>323</v>
      </c>
      <c r="E911" s="25">
        <v>29</v>
      </c>
      <c r="F911" t="s">
        <v>370</v>
      </c>
      <c r="G911" s="24" t="s">
        <v>32</v>
      </c>
      <c r="H911" s="24" t="s">
        <v>18</v>
      </c>
      <c r="I911" s="24">
        <v>3690</v>
      </c>
      <c r="J911" s="24">
        <v>4</v>
      </c>
      <c r="K911" s="25">
        <f t="shared" si="42"/>
        <v>14760</v>
      </c>
      <c r="L911" s="26">
        <v>45249</v>
      </c>
      <c r="M911" s="25" t="str">
        <f t="shared" si="43"/>
        <v>Sunday</v>
      </c>
      <c r="N911" s="25" t="str">
        <f t="shared" si="44"/>
        <v>Weekday</v>
      </c>
      <c r="Q911" s="25"/>
      <c r="R911" s="24"/>
      <c r="S911" s="27"/>
      <c r="T911"/>
      <c r="U911" s="6"/>
      <c r="W911" s="7"/>
      <c r="Z911" s="4"/>
    </row>
    <row r="912" spans="1:26" x14ac:dyDescent="0.3">
      <c r="A912" t="s">
        <v>1283</v>
      </c>
      <c r="B912" s="16" t="s">
        <v>313</v>
      </c>
      <c r="C912" s="17" t="s">
        <v>366</v>
      </c>
      <c r="D912" s="18" t="s">
        <v>325</v>
      </c>
      <c r="E912" s="19">
        <v>29</v>
      </c>
      <c r="F912" t="s">
        <v>381</v>
      </c>
      <c r="G912" s="18" t="s">
        <v>31</v>
      </c>
      <c r="H912" s="18" t="s">
        <v>18</v>
      </c>
      <c r="I912" s="18">
        <v>6150</v>
      </c>
      <c r="J912" s="18">
        <v>5</v>
      </c>
      <c r="K912" s="19">
        <f t="shared" si="42"/>
        <v>30750</v>
      </c>
      <c r="L912" s="20">
        <v>45140</v>
      </c>
      <c r="M912" s="19" t="str">
        <f t="shared" si="43"/>
        <v>Wednesday</v>
      </c>
      <c r="N912" s="19" t="str">
        <f t="shared" si="44"/>
        <v>Weekday</v>
      </c>
      <c r="Q912" s="19"/>
      <c r="R912" s="18"/>
      <c r="S912" s="21"/>
      <c r="T912"/>
      <c r="U912" s="6"/>
      <c r="W912" s="7"/>
      <c r="Z912" s="4"/>
    </row>
    <row r="913" spans="1:26" x14ac:dyDescent="0.3">
      <c r="A913" t="s">
        <v>1284</v>
      </c>
      <c r="B913" s="22" t="s">
        <v>263</v>
      </c>
      <c r="C913" s="23" t="s">
        <v>366</v>
      </c>
      <c r="D913" s="24" t="s">
        <v>322</v>
      </c>
      <c r="E913" s="25">
        <v>26</v>
      </c>
      <c r="F913" t="s">
        <v>373</v>
      </c>
      <c r="G913" s="24" t="s">
        <v>13</v>
      </c>
      <c r="H913" s="24" t="s">
        <v>14</v>
      </c>
      <c r="I913" s="24">
        <v>36900</v>
      </c>
      <c r="J913" s="24">
        <v>1</v>
      </c>
      <c r="K913" s="25">
        <f t="shared" si="42"/>
        <v>36900</v>
      </c>
      <c r="L913" s="26">
        <v>45093</v>
      </c>
      <c r="M913" s="25" t="str">
        <f t="shared" si="43"/>
        <v>Friday</v>
      </c>
      <c r="N913" s="25" t="str">
        <f t="shared" si="44"/>
        <v>Weekend</v>
      </c>
      <c r="Q913" s="25"/>
      <c r="R913" s="24"/>
      <c r="S913" s="27"/>
      <c r="T913"/>
      <c r="U913" s="6"/>
      <c r="W913" s="7"/>
      <c r="Z913" s="4"/>
    </row>
    <row r="914" spans="1:26" x14ac:dyDescent="0.3">
      <c r="A914" t="s">
        <v>1285</v>
      </c>
      <c r="B914" s="16" t="s">
        <v>236</v>
      </c>
      <c r="C914" s="17" t="s">
        <v>20</v>
      </c>
      <c r="D914" s="18" t="s">
        <v>329</v>
      </c>
      <c r="E914" s="19">
        <v>18</v>
      </c>
      <c r="F914" t="s">
        <v>370</v>
      </c>
      <c r="G914" s="18" t="s">
        <v>32</v>
      </c>
      <c r="H914" s="18" t="s">
        <v>18</v>
      </c>
      <c r="I914" s="18">
        <v>3690</v>
      </c>
      <c r="J914" s="18">
        <v>3</v>
      </c>
      <c r="K914" s="19">
        <f t="shared" si="42"/>
        <v>11070</v>
      </c>
      <c r="L914" s="20">
        <v>44963</v>
      </c>
      <c r="M914" s="19" t="str">
        <f t="shared" si="43"/>
        <v>Monday</v>
      </c>
      <c r="N914" s="19" t="str">
        <f t="shared" si="44"/>
        <v>Weekday</v>
      </c>
      <c r="Q914" s="19"/>
      <c r="R914" s="18"/>
      <c r="S914" s="21"/>
      <c r="T914"/>
      <c r="U914" s="6"/>
      <c r="W914" s="7"/>
      <c r="Z914" s="4"/>
    </row>
    <row r="915" spans="1:26" x14ac:dyDescent="0.3">
      <c r="A915" t="s">
        <v>1286</v>
      </c>
      <c r="B915" s="22" t="s">
        <v>140</v>
      </c>
      <c r="C915" s="23" t="s">
        <v>20</v>
      </c>
      <c r="D915" s="24" t="s">
        <v>327</v>
      </c>
      <c r="E915" s="25">
        <v>44</v>
      </c>
      <c r="F915" t="s">
        <v>381</v>
      </c>
      <c r="G915" s="24" t="s">
        <v>17</v>
      </c>
      <c r="H915" s="24" t="s">
        <v>18</v>
      </c>
      <c r="I915" s="24">
        <v>12300</v>
      </c>
      <c r="J915" s="24">
        <v>3</v>
      </c>
      <c r="K915" s="25">
        <f t="shared" si="42"/>
        <v>36900</v>
      </c>
      <c r="L915" s="26">
        <v>45197</v>
      </c>
      <c r="M915" s="25" t="str">
        <f t="shared" si="43"/>
        <v>Thursday</v>
      </c>
      <c r="N915" s="25" t="str">
        <f t="shared" si="44"/>
        <v>Weekday</v>
      </c>
      <c r="Q915" s="25"/>
      <c r="R915" s="24"/>
      <c r="S915" s="27"/>
      <c r="T915"/>
      <c r="U915" s="6"/>
      <c r="W915" s="7"/>
      <c r="Z915" s="4"/>
    </row>
    <row r="916" spans="1:26" x14ac:dyDescent="0.3">
      <c r="A916" t="s">
        <v>1287</v>
      </c>
      <c r="B916" s="16" t="s">
        <v>106</v>
      </c>
      <c r="C916" s="17" t="s">
        <v>11</v>
      </c>
      <c r="D916" s="18" t="s">
        <v>322</v>
      </c>
      <c r="E916" s="19">
        <v>69</v>
      </c>
      <c r="F916" t="s">
        <v>373</v>
      </c>
      <c r="G916" s="18" t="s">
        <v>42</v>
      </c>
      <c r="H916" s="18" t="s">
        <v>14</v>
      </c>
      <c r="I916" s="18">
        <v>98400</v>
      </c>
      <c r="J916" s="18">
        <v>4</v>
      </c>
      <c r="K916" s="19">
        <f t="shared" si="42"/>
        <v>393600</v>
      </c>
      <c r="L916" s="20">
        <v>45237</v>
      </c>
      <c r="M916" s="19" t="str">
        <f t="shared" si="43"/>
        <v>Tuesday</v>
      </c>
      <c r="N916" s="19" t="str">
        <f t="shared" si="44"/>
        <v>Weekday</v>
      </c>
      <c r="Q916" s="19"/>
      <c r="R916" s="18"/>
      <c r="S916" s="21"/>
      <c r="T916"/>
      <c r="U916" s="6"/>
      <c r="W916" s="7"/>
      <c r="Z916" s="4"/>
    </row>
    <row r="917" spans="1:26" x14ac:dyDescent="0.3">
      <c r="A917" t="s">
        <v>1288</v>
      </c>
      <c r="B917" s="22" t="s">
        <v>163</v>
      </c>
      <c r="C917" s="23" t="s">
        <v>11</v>
      </c>
      <c r="D917" s="24" t="s">
        <v>323</v>
      </c>
      <c r="E917" s="25">
        <v>65</v>
      </c>
      <c r="F917" t="s">
        <v>370</v>
      </c>
      <c r="G917" s="24" t="s">
        <v>31</v>
      </c>
      <c r="H917" s="24" t="s">
        <v>18</v>
      </c>
      <c r="I917" s="24">
        <v>6150</v>
      </c>
      <c r="J917" s="24">
        <v>5</v>
      </c>
      <c r="K917" s="25">
        <f t="shared" si="42"/>
        <v>30750</v>
      </c>
      <c r="L917" s="26">
        <v>45020</v>
      </c>
      <c r="M917" s="25" t="str">
        <f t="shared" si="43"/>
        <v>Tuesday</v>
      </c>
      <c r="N917" s="25" t="str">
        <f t="shared" si="44"/>
        <v>Weekday</v>
      </c>
      <c r="Q917" s="25"/>
      <c r="R917" s="24"/>
      <c r="S917" s="27"/>
      <c r="T917"/>
      <c r="U917" s="6"/>
      <c r="W917" s="7"/>
      <c r="Z917" s="4"/>
    </row>
    <row r="918" spans="1:26" x14ac:dyDescent="0.3">
      <c r="A918" t="s">
        <v>1289</v>
      </c>
      <c r="B918" s="16" t="s">
        <v>192</v>
      </c>
      <c r="C918" s="17" t="s">
        <v>20</v>
      </c>
      <c r="D918" s="18" t="s">
        <v>322</v>
      </c>
      <c r="E918" s="19">
        <v>59</v>
      </c>
      <c r="F918" t="s">
        <v>375</v>
      </c>
      <c r="G918" s="18" t="s">
        <v>42</v>
      </c>
      <c r="H918" s="18" t="s">
        <v>14</v>
      </c>
      <c r="I918" s="18">
        <v>98400</v>
      </c>
      <c r="J918" s="18">
        <v>5</v>
      </c>
      <c r="K918" s="19">
        <f t="shared" si="42"/>
        <v>492000</v>
      </c>
      <c r="L918" s="20">
        <v>45254</v>
      </c>
      <c r="M918" s="19" t="str">
        <f t="shared" si="43"/>
        <v>Friday</v>
      </c>
      <c r="N918" s="19" t="str">
        <f t="shared" si="44"/>
        <v>Weekend</v>
      </c>
      <c r="Q918" s="19"/>
      <c r="R918" s="18"/>
      <c r="S918" s="21"/>
      <c r="T918"/>
      <c r="U918" s="6"/>
      <c r="W918" s="7"/>
      <c r="Z918" s="4"/>
    </row>
    <row r="919" spans="1:26" x14ac:dyDescent="0.3">
      <c r="A919" t="s">
        <v>1290</v>
      </c>
      <c r="B919" s="22" t="s">
        <v>142</v>
      </c>
      <c r="C919" s="23" t="s">
        <v>366</v>
      </c>
      <c r="D919" s="24" t="s">
        <v>323</v>
      </c>
      <c r="E919" s="25">
        <v>66</v>
      </c>
      <c r="F919" t="s">
        <v>370</v>
      </c>
      <c r="G919" s="24" t="s">
        <v>17</v>
      </c>
      <c r="H919" s="24" t="s">
        <v>18</v>
      </c>
      <c r="I919" s="24">
        <v>12300</v>
      </c>
      <c r="J919" s="24">
        <v>2</v>
      </c>
      <c r="K919" s="25">
        <f t="shared" si="42"/>
        <v>24600</v>
      </c>
      <c r="L919" s="26">
        <v>45188</v>
      </c>
      <c r="M919" s="25" t="str">
        <f t="shared" si="43"/>
        <v>Tuesday</v>
      </c>
      <c r="N919" s="25" t="str">
        <f t="shared" si="44"/>
        <v>Weekday</v>
      </c>
      <c r="Q919" s="25"/>
      <c r="R919" s="24"/>
      <c r="S919" s="27"/>
      <c r="T919"/>
      <c r="U919" s="6"/>
      <c r="W919" s="7"/>
      <c r="Z919" s="4"/>
    </row>
    <row r="920" spans="1:26" x14ac:dyDescent="0.3">
      <c r="A920" t="s">
        <v>1291</v>
      </c>
      <c r="B920" s="16" t="s">
        <v>163</v>
      </c>
      <c r="C920" s="17" t="s">
        <v>11</v>
      </c>
      <c r="D920" s="18" t="s">
        <v>323</v>
      </c>
      <c r="E920" s="19">
        <v>65</v>
      </c>
      <c r="F920" t="s">
        <v>370</v>
      </c>
      <c r="G920" s="18" t="s">
        <v>13</v>
      </c>
      <c r="H920" s="18" t="s">
        <v>14</v>
      </c>
      <c r="I920" s="18">
        <v>36900</v>
      </c>
      <c r="J920" s="18">
        <v>3</v>
      </c>
      <c r="K920" s="19">
        <f t="shared" si="42"/>
        <v>110700</v>
      </c>
      <c r="L920" s="20">
        <v>44971</v>
      </c>
      <c r="M920" s="19" t="str">
        <f t="shared" si="43"/>
        <v>Tuesday</v>
      </c>
      <c r="N920" s="19" t="str">
        <f t="shared" si="44"/>
        <v>Weekday</v>
      </c>
      <c r="Q920" s="19"/>
      <c r="R920" s="18"/>
      <c r="S920" s="21"/>
      <c r="T920"/>
      <c r="U920" s="6"/>
      <c r="W920" s="7"/>
      <c r="Z920" s="4"/>
    </row>
    <row r="921" spans="1:26" x14ac:dyDescent="0.3">
      <c r="A921" t="s">
        <v>1292</v>
      </c>
      <c r="B921" s="22" t="s">
        <v>59</v>
      </c>
      <c r="C921" s="23" t="s">
        <v>11</v>
      </c>
      <c r="D921" s="24" t="s">
        <v>322</v>
      </c>
      <c r="E921" s="25">
        <v>41</v>
      </c>
      <c r="F921" t="s">
        <v>381</v>
      </c>
      <c r="G921" s="24" t="s">
        <v>31</v>
      </c>
      <c r="H921" s="24" t="s">
        <v>18</v>
      </c>
      <c r="I921" s="24">
        <v>6150</v>
      </c>
      <c r="J921" s="24">
        <v>3</v>
      </c>
      <c r="K921" s="25">
        <f t="shared" si="42"/>
        <v>18450</v>
      </c>
      <c r="L921" s="26">
        <v>44998</v>
      </c>
      <c r="M921" s="25" t="str">
        <f t="shared" si="43"/>
        <v>Monday</v>
      </c>
      <c r="N921" s="25" t="str">
        <f t="shared" si="44"/>
        <v>Weekday</v>
      </c>
      <c r="Q921" s="25"/>
      <c r="R921" s="24"/>
      <c r="S921" s="27"/>
      <c r="T921"/>
      <c r="U921" s="6"/>
      <c r="W921" s="7"/>
      <c r="Z921" s="4"/>
    </row>
    <row r="922" spans="1:26" x14ac:dyDescent="0.3">
      <c r="A922" t="s">
        <v>1293</v>
      </c>
      <c r="B922" s="16" t="s">
        <v>52</v>
      </c>
      <c r="C922" s="17" t="s">
        <v>366</v>
      </c>
      <c r="D922" s="18" t="s">
        <v>327</v>
      </c>
      <c r="E922" s="19">
        <v>31</v>
      </c>
      <c r="F922" t="s">
        <v>373</v>
      </c>
      <c r="G922" s="18" t="s">
        <v>32</v>
      </c>
      <c r="H922" s="18" t="s">
        <v>18</v>
      </c>
      <c r="I922" s="18">
        <v>3690</v>
      </c>
      <c r="J922" s="18">
        <v>1</v>
      </c>
      <c r="K922" s="19">
        <f t="shared" si="42"/>
        <v>3690</v>
      </c>
      <c r="L922" s="20">
        <v>45162</v>
      </c>
      <c r="M922" s="19" t="str">
        <f t="shared" si="43"/>
        <v>Thursday</v>
      </c>
      <c r="N922" s="19" t="str">
        <f t="shared" si="44"/>
        <v>Weekday</v>
      </c>
      <c r="Q922" s="19"/>
      <c r="R922" s="18"/>
      <c r="S922" s="21"/>
      <c r="T922"/>
      <c r="U922" s="6"/>
      <c r="W922" s="7"/>
      <c r="Z922" s="4"/>
    </row>
    <row r="923" spans="1:26" x14ac:dyDescent="0.3">
      <c r="A923" t="s">
        <v>1294</v>
      </c>
      <c r="B923" s="22" t="s">
        <v>151</v>
      </c>
      <c r="C923" s="23" t="s">
        <v>11</v>
      </c>
      <c r="D923" s="24" t="s">
        <v>329</v>
      </c>
      <c r="E923" s="25">
        <v>59</v>
      </c>
      <c r="F923" t="s">
        <v>370</v>
      </c>
      <c r="G923" s="24" t="s">
        <v>13</v>
      </c>
      <c r="H923" s="24" t="s">
        <v>14</v>
      </c>
      <c r="I923" s="24">
        <v>36900</v>
      </c>
      <c r="J923" s="24">
        <v>3</v>
      </c>
      <c r="K923" s="25">
        <f t="shared" si="42"/>
        <v>110700</v>
      </c>
      <c r="L923" s="26">
        <v>45047</v>
      </c>
      <c r="M923" s="25" t="str">
        <f t="shared" si="43"/>
        <v>Monday</v>
      </c>
      <c r="N923" s="25" t="str">
        <f t="shared" si="44"/>
        <v>Weekday</v>
      </c>
      <c r="Q923" s="25"/>
      <c r="R923" s="24"/>
      <c r="S923" s="27"/>
      <c r="T923"/>
      <c r="U923" s="6"/>
      <c r="W923" s="7"/>
      <c r="Z923" s="4"/>
    </row>
    <row r="924" spans="1:26" x14ac:dyDescent="0.3">
      <c r="A924" t="s">
        <v>1295</v>
      </c>
      <c r="B924" s="16" t="s">
        <v>116</v>
      </c>
      <c r="C924" s="17" t="s">
        <v>20</v>
      </c>
      <c r="D924" s="18" t="s">
        <v>322</v>
      </c>
      <c r="E924" s="19">
        <v>33</v>
      </c>
      <c r="F924" t="s">
        <v>370</v>
      </c>
      <c r="G924" s="18" t="s">
        <v>24</v>
      </c>
      <c r="H924" s="18" t="s">
        <v>14</v>
      </c>
      <c r="I924" s="18">
        <v>184500</v>
      </c>
      <c r="J924" s="18">
        <v>5</v>
      </c>
      <c r="K924" s="19">
        <f t="shared" si="42"/>
        <v>922500</v>
      </c>
      <c r="L924" s="20">
        <v>45192</v>
      </c>
      <c r="M924" s="19" t="str">
        <f t="shared" si="43"/>
        <v>Saturday</v>
      </c>
      <c r="N924" s="19" t="str">
        <f t="shared" si="44"/>
        <v>Weekend</v>
      </c>
      <c r="Q924" s="19"/>
      <c r="R924" s="18"/>
      <c r="S924" s="21"/>
      <c r="T924"/>
      <c r="U924" s="6"/>
      <c r="W924" s="7"/>
      <c r="Z924" s="4"/>
    </row>
    <row r="925" spans="1:26" x14ac:dyDescent="0.3">
      <c r="A925" t="s">
        <v>1296</v>
      </c>
      <c r="B925" s="22" t="s">
        <v>242</v>
      </c>
      <c r="C925" s="23" t="s">
        <v>20</v>
      </c>
      <c r="D925" s="24" t="s">
        <v>322</v>
      </c>
      <c r="E925" s="25">
        <v>27</v>
      </c>
      <c r="F925" t="s">
        <v>370</v>
      </c>
      <c r="G925" s="24" t="s">
        <v>42</v>
      </c>
      <c r="H925" s="24" t="s">
        <v>14</v>
      </c>
      <c r="I925" s="24">
        <v>98400</v>
      </c>
      <c r="J925" s="24">
        <v>4</v>
      </c>
      <c r="K925" s="25">
        <f t="shared" si="42"/>
        <v>393600</v>
      </c>
      <c r="L925" s="26">
        <v>44960</v>
      </c>
      <c r="M925" s="25" t="str">
        <f t="shared" si="43"/>
        <v>Friday</v>
      </c>
      <c r="N925" s="25" t="str">
        <f t="shared" si="44"/>
        <v>Weekend</v>
      </c>
      <c r="Q925" s="25"/>
      <c r="R925" s="24"/>
      <c r="S925" s="27"/>
      <c r="T925"/>
      <c r="U925" s="6"/>
      <c r="W925" s="7"/>
      <c r="Z925" s="4"/>
    </row>
    <row r="926" spans="1:26" x14ac:dyDescent="0.3">
      <c r="A926" t="s">
        <v>1297</v>
      </c>
      <c r="B926" s="16" t="s">
        <v>163</v>
      </c>
      <c r="C926" s="17" t="s">
        <v>11</v>
      </c>
      <c r="D926" s="18" t="s">
        <v>323</v>
      </c>
      <c r="E926" s="19">
        <v>65</v>
      </c>
      <c r="F926" t="s">
        <v>381</v>
      </c>
      <c r="G926" s="18" t="s">
        <v>42</v>
      </c>
      <c r="H926" s="18" t="s">
        <v>14</v>
      </c>
      <c r="I926" s="18">
        <v>98400</v>
      </c>
      <c r="J926" s="18">
        <v>5</v>
      </c>
      <c r="K926" s="19">
        <f t="shared" si="42"/>
        <v>492000</v>
      </c>
      <c r="L926" s="20">
        <v>45289</v>
      </c>
      <c r="M926" s="19" t="str">
        <f t="shared" si="43"/>
        <v>Friday</v>
      </c>
      <c r="N926" s="19" t="str">
        <f t="shared" si="44"/>
        <v>Weekend</v>
      </c>
      <c r="Q926" s="19"/>
      <c r="R926" s="18"/>
      <c r="S926" s="21"/>
      <c r="T926"/>
      <c r="U926" s="6"/>
      <c r="W926" s="7"/>
      <c r="Z926" s="4"/>
    </row>
    <row r="927" spans="1:26" x14ac:dyDescent="0.3">
      <c r="A927" t="s">
        <v>1298</v>
      </c>
      <c r="B927" s="22" t="s">
        <v>224</v>
      </c>
      <c r="C927" s="23" t="s">
        <v>11</v>
      </c>
      <c r="D927" s="24" t="s">
        <v>323</v>
      </c>
      <c r="E927" s="25">
        <v>67</v>
      </c>
      <c r="F927" t="s">
        <v>370</v>
      </c>
      <c r="G927" s="24" t="s">
        <v>42</v>
      </c>
      <c r="H927" s="24" t="s">
        <v>14</v>
      </c>
      <c r="I927" s="24">
        <v>98400</v>
      </c>
      <c r="J927" s="24">
        <v>3</v>
      </c>
      <c r="K927" s="25">
        <f t="shared" si="42"/>
        <v>295200</v>
      </c>
      <c r="L927" s="26">
        <v>45274</v>
      </c>
      <c r="M927" s="25" t="str">
        <f t="shared" si="43"/>
        <v>Thursday</v>
      </c>
      <c r="N927" s="25" t="str">
        <f t="shared" si="44"/>
        <v>Weekday</v>
      </c>
      <c r="Q927" s="25"/>
      <c r="R927" s="24"/>
      <c r="S927" s="27"/>
      <c r="T927"/>
      <c r="U927" s="6"/>
      <c r="W927" s="7"/>
      <c r="Z927" s="4"/>
    </row>
    <row r="928" spans="1:26" x14ac:dyDescent="0.3">
      <c r="A928" t="s">
        <v>1299</v>
      </c>
      <c r="B928" s="16" t="s">
        <v>212</v>
      </c>
      <c r="C928" s="17" t="s">
        <v>20</v>
      </c>
      <c r="D928" s="18" t="s">
        <v>322</v>
      </c>
      <c r="E928" s="19">
        <v>54</v>
      </c>
      <c r="F928" t="s">
        <v>373</v>
      </c>
      <c r="G928" s="18" t="s">
        <v>32</v>
      </c>
      <c r="H928" s="18" t="s">
        <v>18</v>
      </c>
      <c r="I928" s="18">
        <v>3690</v>
      </c>
      <c r="J928" s="18">
        <v>4</v>
      </c>
      <c r="K928" s="19">
        <f t="shared" si="42"/>
        <v>14760</v>
      </c>
      <c r="L928" s="20">
        <v>44970</v>
      </c>
      <c r="M928" s="19" t="str">
        <f t="shared" si="43"/>
        <v>Monday</v>
      </c>
      <c r="N928" s="19" t="str">
        <f t="shared" si="44"/>
        <v>Weekday</v>
      </c>
      <c r="Q928" s="19"/>
      <c r="R928" s="18"/>
      <c r="S928" s="21"/>
      <c r="T928"/>
      <c r="U928" s="6"/>
      <c r="W928" s="7"/>
      <c r="Z928" s="4"/>
    </row>
    <row r="929" spans="1:26" x14ac:dyDescent="0.3">
      <c r="A929" t="s">
        <v>1300</v>
      </c>
      <c r="B929" s="22" t="s">
        <v>224</v>
      </c>
      <c r="C929" s="23" t="s">
        <v>11</v>
      </c>
      <c r="D929" s="24" t="s">
        <v>323</v>
      </c>
      <c r="E929" s="25">
        <v>67</v>
      </c>
      <c r="F929" t="s">
        <v>381</v>
      </c>
      <c r="G929" s="24" t="s">
        <v>32</v>
      </c>
      <c r="H929" s="24" t="s">
        <v>18</v>
      </c>
      <c r="I929" s="24">
        <v>3690</v>
      </c>
      <c r="J929" s="24">
        <v>2</v>
      </c>
      <c r="K929" s="25">
        <f t="shared" si="42"/>
        <v>7380</v>
      </c>
      <c r="L929" s="26">
        <v>45011</v>
      </c>
      <c r="M929" s="25" t="str">
        <f t="shared" si="43"/>
        <v>Sunday</v>
      </c>
      <c r="N929" s="25" t="str">
        <f t="shared" si="44"/>
        <v>Weekday</v>
      </c>
      <c r="Q929" s="25"/>
      <c r="R929" s="24"/>
      <c r="S929" s="27"/>
      <c r="T929"/>
      <c r="U929" s="6"/>
      <c r="W929" s="7"/>
      <c r="Z929" s="4"/>
    </row>
    <row r="930" spans="1:26" x14ac:dyDescent="0.3">
      <c r="A930" t="s">
        <v>1301</v>
      </c>
      <c r="B930" s="16" t="s">
        <v>85</v>
      </c>
      <c r="C930" s="17" t="s">
        <v>11</v>
      </c>
      <c r="D930" s="18" t="s">
        <v>326</v>
      </c>
      <c r="E930" s="19">
        <v>36</v>
      </c>
      <c r="F930" t="s">
        <v>375</v>
      </c>
      <c r="G930" s="18" t="s">
        <v>42</v>
      </c>
      <c r="H930" s="18" t="s">
        <v>14</v>
      </c>
      <c r="I930" s="18">
        <v>98400</v>
      </c>
      <c r="J930" s="18">
        <v>2</v>
      </c>
      <c r="K930" s="19">
        <f t="shared" si="42"/>
        <v>196800</v>
      </c>
      <c r="L930" s="20">
        <v>45141</v>
      </c>
      <c r="M930" s="19" t="str">
        <f t="shared" si="43"/>
        <v>Thursday</v>
      </c>
      <c r="N930" s="19" t="str">
        <f t="shared" si="44"/>
        <v>Weekday</v>
      </c>
      <c r="Q930" s="19"/>
      <c r="R930" s="18"/>
      <c r="S930" s="21"/>
      <c r="T930"/>
      <c r="U930" s="6"/>
      <c r="W930" s="7"/>
      <c r="Z930" s="4"/>
    </row>
    <row r="931" spans="1:26" x14ac:dyDescent="0.3">
      <c r="A931" t="s">
        <v>1302</v>
      </c>
      <c r="B931" s="22" t="s">
        <v>308</v>
      </c>
      <c r="C931" s="23" t="s">
        <v>366</v>
      </c>
      <c r="D931" s="24" t="s">
        <v>324</v>
      </c>
      <c r="E931" s="25">
        <v>44</v>
      </c>
      <c r="F931" t="s">
        <v>375</v>
      </c>
      <c r="G931" s="24" t="s">
        <v>24</v>
      </c>
      <c r="H931" s="24" t="s">
        <v>14</v>
      </c>
      <c r="I931" s="24">
        <v>184500</v>
      </c>
      <c r="J931" s="24">
        <v>5</v>
      </c>
      <c r="K931" s="25">
        <f t="shared" si="42"/>
        <v>922500</v>
      </c>
      <c r="L931" s="26">
        <v>45181</v>
      </c>
      <c r="M931" s="25" t="str">
        <f t="shared" si="43"/>
        <v>Tuesday</v>
      </c>
      <c r="N931" s="25" t="str">
        <f t="shared" si="44"/>
        <v>Weekday</v>
      </c>
      <c r="Q931" s="25"/>
      <c r="R931" s="24"/>
      <c r="S931" s="27"/>
      <c r="T931"/>
      <c r="U931" s="6"/>
      <c r="W931" s="7"/>
      <c r="Z931" s="4"/>
    </row>
    <row r="932" spans="1:26" x14ac:dyDescent="0.3">
      <c r="A932" t="s">
        <v>1303</v>
      </c>
      <c r="B932" s="16" t="s">
        <v>46</v>
      </c>
      <c r="C932" s="17" t="s">
        <v>366</v>
      </c>
      <c r="D932" s="18" t="s">
        <v>323</v>
      </c>
      <c r="E932" s="19">
        <v>40</v>
      </c>
      <c r="F932" t="s">
        <v>381</v>
      </c>
      <c r="G932" s="18" t="s">
        <v>24</v>
      </c>
      <c r="H932" s="18" t="s">
        <v>14</v>
      </c>
      <c r="I932" s="18">
        <v>184500</v>
      </c>
      <c r="J932" s="18">
        <v>1</v>
      </c>
      <c r="K932" s="19">
        <f t="shared" si="42"/>
        <v>184500</v>
      </c>
      <c r="L932" s="20">
        <v>45128</v>
      </c>
      <c r="M932" s="19" t="str">
        <f t="shared" si="43"/>
        <v>Friday</v>
      </c>
      <c r="N932" s="19" t="str">
        <f t="shared" si="44"/>
        <v>Weekend</v>
      </c>
      <c r="Q932" s="19"/>
      <c r="R932" s="18"/>
      <c r="S932" s="21"/>
      <c r="T932"/>
      <c r="U932" s="6"/>
      <c r="W932" s="7"/>
      <c r="Z932" s="4"/>
    </row>
    <row r="933" spans="1:26" x14ac:dyDescent="0.3">
      <c r="A933" t="s">
        <v>1304</v>
      </c>
      <c r="B933" s="22" t="s">
        <v>145</v>
      </c>
      <c r="C933" s="23" t="s">
        <v>11</v>
      </c>
      <c r="D933" s="24" t="s">
        <v>325</v>
      </c>
      <c r="E933" s="25">
        <v>50</v>
      </c>
      <c r="F933" t="s">
        <v>373</v>
      </c>
      <c r="G933" s="24" t="s">
        <v>32</v>
      </c>
      <c r="H933" s="24" t="s">
        <v>18</v>
      </c>
      <c r="I933" s="24">
        <v>3690</v>
      </c>
      <c r="J933" s="24">
        <v>3</v>
      </c>
      <c r="K933" s="25">
        <f t="shared" si="42"/>
        <v>11070</v>
      </c>
      <c r="L933" s="26">
        <v>44931</v>
      </c>
      <c r="M933" s="25" t="str">
        <f t="shared" si="43"/>
        <v>Thursday</v>
      </c>
      <c r="N933" s="25" t="str">
        <f t="shared" si="44"/>
        <v>Weekday</v>
      </c>
      <c r="Q933" s="25"/>
      <c r="R933" s="24"/>
      <c r="S933" s="27"/>
      <c r="T933"/>
      <c r="U933" s="6"/>
      <c r="W933" s="7"/>
      <c r="Z933" s="4"/>
    </row>
    <row r="934" spans="1:26" x14ac:dyDescent="0.3">
      <c r="A934" t="s">
        <v>1305</v>
      </c>
      <c r="B934" s="16" t="s">
        <v>147</v>
      </c>
      <c r="C934" s="17" t="s">
        <v>11</v>
      </c>
      <c r="D934" s="18" t="s">
        <v>322</v>
      </c>
      <c r="E934" s="19">
        <v>30</v>
      </c>
      <c r="F934" t="s">
        <v>381</v>
      </c>
      <c r="G934" s="18" t="s">
        <v>26</v>
      </c>
      <c r="H934" s="18" t="s">
        <v>27</v>
      </c>
      <c r="I934" s="18">
        <v>24600</v>
      </c>
      <c r="J934" s="18">
        <v>4</v>
      </c>
      <c r="K934" s="19">
        <f t="shared" si="42"/>
        <v>98400</v>
      </c>
      <c r="L934" s="20">
        <v>45105</v>
      </c>
      <c r="M934" s="19" t="str">
        <f t="shared" si="43"/>
        <v>Wednesday</v>
      </c>
      <c r="N934" s="19" t="str">
        <f t="shared" si="44"/>
        <v>Weekday</v>
      </c>
      <c r="Q934" s="19"/>
      <c r="R934" s="18"/>
      <c r="S934" s="21"/>
      <c r="T934"/>
      <c r="U934" s="6"/>
      <c r="W934" s="7"/>
      <c r="Z934" s="4"/>
    </row>
    <row r="935" spans="1:26" x14ac:dyDescent="0.3">
      <c r="A935" t="s">
        <v>1306</v>
      </c>
      <c r="B935" s="22" t="s">
        <v>48</v>
      </c>
      <c r="C935" s="23" t="s">
        <v>11</v>
      </c>
      <c r="D935" s="24" t="s">
        <v>323</v>
      </c>
      <c r="E935" s="25">
        <v>58</v>
      </c>
      <c r="F935" t="s">
        <v>381</v>
      </c>
      <c r="G935" s="24" t="s">
        <v>24</v>
      </c>
      <c r="H935" s="24" t="s">
        <v>14</v>
      </c>
      <c r="I935" s="24">
        <v>184500</v>
      </c>
      <c r="J935" s="24">
        <v>4</v>
      </c>
      <c r="K935" s="25">
        <f t="shared" si="42"/>
        <v>738000</v>
      </c>
      <c r="L935" s="26">
        <v>45548</v>
      </c>
      <c r="M935" s="25" t="str">
        <f t="shared" si="43"/>
        <v>Friday</v>
      </c>
      <c r="N935" s="25" t="str">
        <f t="shared" si="44"/>
        <v>Weekend</v>
      </c>
      <c r="Q935" s="25"/>
      <c r="R935" s="24"/>
      <c r="S935" s="27"/>
      <c r="T935"/>
      <c r="U935" s="6"/>
      <c r="W935" s="7"/>
      <c r="Z935" s="4"/>
    </row>
    <row r="936" spans="1:26" x14ac:dyDescent="0.3">
      <c r="A936" t="s">
        <v>1307</v>
      </c>
      <c r="B936" s="16" t="s">
        <v>153</v>
      </c>
      <c r="C936" s="17" t="s">
        <v>366</v>
      </c>
      <c r="D936" s="18" t="s">
        <v>323</v>
      </c>
      <c r="E936" s="19">
        <v>66</v>
      </c>
      <c r="F936" t="s">
        <v>381</v>
      </c>
      <c r="G936" s="18" t="s">
        <v>13</v>
      </c>
      <c r="H936" s="18" t="s">
        <v>14</v>
      </c>
      <c r="I936" s="18">
        <v>36900</v>
      </c>
      <c r="J936" s="18">
        <v>5</v>
      </c>
      <c r="K936" s="19">
        <f t="shared" si="42"/>
        <v>184500</v>
      </c>
      <c r="L936" s="20">
        <v>45049</v>
      </c>
      <c r="M936" s="19" t="str">
        <f t="shared" si="43"/>
        <v>Wednesday</v>
      </c>
      <c r="N936" s="19" t="str">
        <f t="shared" si="44"/>
        <v>Weekday</v>
      </c>
      <c r="Q936" s="19"/>
      <c r="R936" s="18"/>
      <c r="S936" s="21"/>
      <c r="T936"/>
      <c r="U936" s="6"/>
      <c r="W936" s="7"/>
      <c r="Z936" s="4"/>
    </row>
    <row r="937" spans="1:26" x14ac:dyDescent="0.3">
      <c r="A937" t="s">
        <v>1308</v>
      </c>
      <c r="B937" s="22" t="s">
        <v>143</v>
      </c>
      <c r="C937" s="23" t="s">
        <v>20</v>
      </c>
      <c r="D937" s="24" t="s">
        <v>323</v>
      </c>
      <c r="E937" s="25">
        <v>39</v>
      </c>
      <c r="F937" t="s">
        <v>381</v>
      </c>
      <c r="G937" s="24" t="s">
        <v>13</v>
      </c>
      <c r="H937" s="24" t="s">
        <v>14</v>
      </c>
      <c r="I937" s="24">
        <v>36900</v>
      </c>
      <c r="J937" s="24">
        <v>1</v>
      </c>
      <c r="K937" s="25">
        <f t="shared" si="42"/>
        <v>36900</v>
      </c>
      <c r="L937" s="26">
        <v>45130</v>
      </c>
      <c r="M937" s="25" t="str">
        <f t="shared" si="43"/>
        <v>Sunday</v>
      </c>
      <c r="N937" s="25" t="str">
        <f t="shared" si="44"/>
        <v>Weekday</v>
      </c>
      <c r="Q937" s="25"/>
      <c r="R937" s="24"/>
      <c r="S937" s="27"/>
      <c r="T937"/>
      <c r="U937" s="6"/>
      <c r="W937" s="7"/>
      <c r="Z937" s="4"/>
    </row>
    <row r="938" spans="1:26" x14ac:dyDescent="0.3">
      <c r="A938" t="s">
        <v>1309</v>
      </c>
      <c r="B938" s="16" t="s">
        <v>95</v>
      </c>
      <c r="C938" s="17" t="s">
        <v>11</v>
      </c>
      <c r="D938" s="18" t="s">
        <v>322</v>
      </c>
      <c r="E938" s="19">
        <v>47</v>
      </c>
      <c r="F938" t="s">
        <v>370</v>
      </c>
      <c r="G938" s="18" t="s">
        <v>26</v>
      </c>
      <c r="H938" s="18" t="s">
        <v>27</v>
      </c>
      <c r="I938" s="18">
        <v>24600</v>
      </c>
      <c r="J938" s="18">
        <v>1</v>
      </c>
      <c r="K938" s="19">
        <f t="shared" si="42"/>
        <v>24600</v>
      </c>
      <c r="L938" s="20">
        <v>45273</v>
      </c>
      <c r="M938" s="19" t="str">
        <f t="shared" si="43"/>
        <v>Wednesday</v>
      </c>
      <c r="N938" s="19" t="str">
        <f t="shared" si="44"/>
        <v>Weekday</v>
      </c>
      <c r="Q938" s="19"/>
      <c r="R938" s="18"/>
      <c r="S938" s="21"/>
      <c r="T938"/>
      <c r="U938" s="6"/>
      <c r="W938" s="7"/>
      <c r="Z938" s="4"/>
    </row>
    <row r="939" spans="1:26" x14ac:dyDescent="0.3">
      <c r="A939" t="s">
        <v>1310</v>
      </c>
      <c r="B939" s="22" t="s">
        <v>284</v>
      </c>
      <c r="C939" s="23" t="s">
        <v>11</v>
      </c>
      <c r="D939" s="24" t="s">
        <v>322</v>
      </c>
      <c r="E939" s="25">
        <v>46</v>
      </c>
      <c r="F939" t="s">
        <v>375</v>
      </c>
      <c r="G939" s="24" t="s">
        <v>31</v>
      </c>
      <c r="H939" s="24" t="s">
        <v>18</v>
      </c>
      <c r="I939" s="24">
        <v>6150</v>
      </c>
      <c r="J939" s="24">
        <v>5</v>
      </c>
      <c r="K939" s="25">
        <f t="shared" si="42"/>
        <v>30750</v>
      </c>
      <c r="L939" s="26">
        <v>45068</v>
      </c>
      <c r="M939" s="25" t="str">
        <f t="shared" si="43"/>
        <v>Monday</v>
      </c>
      <c r="N939" s="25" t="str">
        <f t="shared" si="44"/>
        <v>Weekday</v>
      </c>
      <c r="Q939" s="25"/>
      <c r="R939" s="24"/>
      <c r="S939" s="27"/>
      <c r="T939"/>
      <c r="U939" s="6"/>
      <c r="W939" s="7"/>
      <c r="Z939" s="4"/>
    </row>
    <row r="940" spans="1:26" x14ac:dyDescent="0.3">
      <c r="A940" t="s">
        <v>1311</v>
      </c>
      <c r="B940" s="16" t="s">
        <v>220</v>
      </c>
      <c r="C940" s="17" t="s">
        <v>20</v>
      </c>
      <c r="D940" s="18" t="s">
        <v>325</v>
      </c>
      <c r="E940" s="19">
        <v>66</v>
      </c>
      <c r="F940" t="s">
        <v>373</v>
      </c>
      <c r="G940" s="18" t="s">
        <v>31</v>
      </c>
      <c r="H940" s="18" t="s">
        <v>18</v>
      </c>
      <c r="I940" s="18">
        <v>6150</v>
      </c>
      <c r="J940" s="18">
        <v>3</v>
      </c>
      <c r="K940" s="19">
        <f t="shared" si="42"/>
        <v>18450</v>
      </c>
      <c r="L940" s="20">
        <v>45272</v>
      </c>
      <c r="M940" s="19" t="str">
        <f t="shared" si="43"/>
        <v>Tuesday</v>
      </c>
      <c r="N940" s="19" t="str">
        <f t="shared" si="44"/>
        <v>Weekday</v>
      </c>
      <c r="Q940" s="19"/>
      <c r="R940" s="18"/>
      <c r="S940" s="21"/>
      <c r="T940"/>
      <c r="U940" s="6"/>
      <c r="W940" s="7"/>
      <c r="Z940" s="4"/>
    </row>
    <row r="941" spans="1:26" x14ac:dyDescent="0.3">
      <c r="A941" t="s">
        <v>1312</v>
      </c>
      <c r="B941" s="22" t="s">
        <v>128</v>
      </c>
      <c r="C941" s="23" t="s">
        <v>11</v>
      </c>
      <c r="D941" s="24" t="s">
        <v>323</v>
      </c>
      <c r="E941" s="25">
        <v>50</v>
      </c>
      <c r="F941" t="s">
        <v>370</v>
      </c>
      <c r="G941" s="24" t="s">
        <v>13</v>
      </c>
      <c r="H941" s="24" t="s">
        <v>14</v>
      </c>
      <c r="I941" s="24">
        <v>36900</v>
      </c>
      <c r="J941" s="24">
        <v>4</v>
      </c>
      <c r="K941" s="25">
        <f t="shared" si="42"/>
        <v>147600</v>
      </c>
      <c r="L941" s="26">
        <v>44954</v>
      </c>
      <c r="M941" s="25" t="str">
        <f t="shared" si="43"/>
        <v>Saturday</v>
      </c>
      <c r="N941" s="25" t="str">
        <f t="shared" si="44"/>
        <v>Weekend</v>
      </c>
      <c r="Q941" s="25"/>
      <c r="R941" s="24"/>
      <c r="S941" s="27"/>
      <c r="T941"/>
      <c r="U941" s="6"/>
      <c r="W941" s="7"/>
      <c r="Z941" s="4"/>
    </row>
    <row r="942" spans="1:26" x14ac:dyDescent="0.3">
      <c r="A942" t="s">
        <v>1313</v>
      </c>
      <c r="B942" s="16" t="s">
        <v>76</v>
      </c>
      <c r="C942" s="17" t="s">
        <v>366</v>
      </c>
      <c r="D942" s="18" t="s">
        <v>322</v>
      </c>
      <c r="E942" s="19">
        <v>46</v>
      </c>
      <c r="F942" t="s">
        <v>375</v>
      </c>
      <c r="G942" s="18" t="s">
        <v>26</v>
      </c>
      <c r="H942" s="18" t="s">
        <v>27</v>
      </c>
      <c r="I942" s="18">
        <v>24600</v>
      </c>
      <c r="J942" s="18">
        <v>3</v>
      </c>
      <c r="K942" s="19">
        <f t="shared" si="42"/>
        <v>73800</v>
      </c>
      <c r="L942" s="20">
        <v>45258</v>
      </c>
      <c r="M942" s="19" t="str">
        <f t="shared" si="43"/>
        <v>Tuesday</v>
      </c>
      <c r="N942" s="19" t="str">
        <f t="shared" si="44"/>
        <v>Weekday</v>
      </c>
      <c r="Q942" s="19"/>
      <c r="R942" s="18"/>
      <c r="S942" s="21"/>
      <c r="T942"/>
      <c r="U942" s="6"/>
      <c r="W942" s="7"/>
      <c r="Z942" s="4"/>
    </row>
    <row r="943" spans="1:26" x14ac:dyDescent="0.3">
      <c r="A943" t="s">
        <v>1314</v>
      </c>
      <c r="B943" s="22" t="s">
        <v>124</v>
      </c>
      <c r="C943" s="23" t="s">
        <v>20</v>
      </c>
      <c r="D943" s="24" t="s">
        <v>326</v>
      </c>
      <c r="E943" s="25">
        <v>19</v>
      </c>
      <c r="F943" t="s">
        <v>381</v>
      </c>
      <c r="G943" s="24" t="s">
        <v>13</v>
      </c>
      <c r="H943" s="24" t="s">
        <v>14</v>
      </c>
      <c r="I943" s="24">
        <v>36900</v>
      </c>
      <c r="J943" s="24">
        <v>3</v>
      </c>
      <c r="K943" s="25">
        <f t="shared" si="42"/>
        <v>110700</v>
      </c>
      <c r="L943" s="26">
        <v>45262</v>
      </c>
      <c r="M943" s="25" t="str">
        <f t="shared" si="43"/>
        <v>Saturday</v>
      </c>
      <c r="N943" s="25" t="str">
        <f t="shared" si="44"/>
        <v>Weekend</v>
      </c>
      <c r="Q943" s="25"/>
      <c r="R943" s="24"/>
      <c r="S943" s="27"/>
      <c r="T943"/>
      <c r="U943" s="6"/>
      <c r="W943" s="7"/>
      <c r="Z943" s="4"/>
    </row>
    <row r="944" spans="1:26" x14ac:dyDescent="0.3">
      <c r="A944" t="s">
        <v>1315</v>
      </c>
      <c r="B944" s="16" t="s">
        <v>257</v>
      </c>
      <c r="C944" s="17" t="s">
        <v>11</v>
      </c>
      <c r="D944" s="18" t="s">
        <v>325</v>
      </c>
      <c r="E944" s="19">
        <v>39</v>
      </c>
      <c r="F944" t="s">
        <v>375</v>
      </c>
      <c r="G944" s="18" t="s">
        <v>31</v>
      </c>
      <c r="H944" s="18" t="s">
        <v>18</v>
      </c>
      <c r="I944" s="18">
        <v>6150</v>
      </c>
      <c r="J944" s="18">
        <v>1</v>
      </c>
      <c r="K944" s="19">
        <f t="shared" si="42"/>
        <v>6150</v>
      </c>
      <c r="L944" s="20">
        <v>45075</v>
      </c>
      <c r="M944" s="19" t="str">
        <f t="shared" si="43"/>
        <v>Monday</v>
      </c>
      <c r="N944" s="19" t="str">
        <f t="shared" si="44"/>
        <v>Weekday</v>
      </c>
      <c r="Q944" s="19"/>
      <c r="R944" s="18"/>
      <c r="S944" s="21"/>
      <c r="T944"/>
      <c r="U944" s="6"/>
      <c r="W944" s="7"/>
      <c r="Z944" s="4"/>
    </row>
    <row r="945" spans="1:26" x14ac:dyDescent="0.3">
      <c r="A945" t="s">
        <v>1316</v>
      </c>
      <c r="B945" s="22" t="s">
        <v>10</v>
      </c>
      <c r="C945" s="23" t="s">
        <v>11</v>
      </c>
      <c r="D945" s="24" t="s">
        <v>322</v>
      </c>
      <c r="E945" s="25">
        <v>21</v>
      </c>
      <c r="F945" t="s">
        <v>375</v>
      </c>
      <c r="G945" s="24" t="s">
        <v>13</v>
      </c>
      <c r="H945" s="24" t="s">
        <v>14</v>
      </c>
      <c r="I945" s="24">
        <v>36900</v>
      </c>
      <c r="J945" s="24">
        <v>4</v>
      </c>
      <c r="K945" s="25">
        <f t="shared" si="42"/>
        <v>147600</v>
      </c>
      <c r="L945" s="26">
        <v>45062</v>
      </c>
      <c r="M945" s="25" t="str">
        <f t="shared" si="43"/>
        <v>Tuesday</v>
      </c>
      <c r="N945" s="25" t="str">
        <f t="shared" si="44"/>
        <v>Weekday</v>
      </c>
      <c r="Q945" s="25"/>
      <c r="R945" s="24"/>
      <c r="S945" s="27"/>
      <c r="T945"/>
      <c r="U945" s="6"/>
      <c r="W945" s="7"/>
      <c r="Z945" s="4"/>
    </row>
    <row r="946" spans="1:26" x14ac:dyDescent="0.3">
      <c r="A946" t="s">
        <v>1317</v>
      </c>
      <c r="B946" s="16" t="s">
        <v>138</v>
      </c>
      <c r="C946" s="17" t="s">
        <v>20</v>
      </c>
      <c r="D946" s="18" t="s">
        <v>323</v>
      </c>
      <c r="E946" s="19">
        <v>37</v>
      </c>
      <c r="F946" t="s">
        <v>370</v>
      </c>
      <c r="G946" s="18" t="s">
        <v>17</v>
      </c>
      <c r="H946" s="18" t="s">
        <v>18</v>
      </c>
      <c r="I946" s="18">
        <v>12300</v>
      </c>
      <c r="J946" s="18">
        <v>3</v>
      </c>
      <c r="K946" s="19">
        <f t="shared" si="42"/>
        <v>36900</v>
      </c>
      <c r="L946" s="20">
        <v>45139</v>
      </c>
      <c r="M946" s="19" t="str">
        <f t="shared" si="43"/>
        <v>Tuesday</v>
      </c>
      <c r="N946" s="19" t="str">
        <f t="shared" si="44"/>
        <v>Weekday</v>
      </c>
      <c r="Q946" s="19"/>
      <c r="R946" s="18"/>
      <c r="S946" s="21"/>
      <c r="T946"/>
      <c r="U946" s="6"/>
      <c r="W946" s="7"/>
      <c r="Z946" s="4"/>
    </row>
    <row r="947" spans="1:26" x14ac:dyDescent="0.3">
      <c r="A947" t="s">
        <v>1318</v>
      </c>
      <c r="B947" s="22" t="s">
        <v>265</v>
      </c>
      <c r="C947" s="23" t="s">
        <v>11</v>
      </c>
      <c r="D947" s="24" t="s">
        <v>322</v>
      </c>
      <c r="E947" s="25">
        <v>64</v>
      </c>
      <c r="F947" t="s">
        <v>370</v>
      </c>
      <c r="G947" s="24" t="s">
        <v>32</v>
      </c>
      <c r="H947" s="24" t="s">
        <v>18</v>
      </c>
      <c r="I947" s="24">
        <v>3690</v>
      </c>
      <c r="J947" s="24">
        <v>1</v>
      </c>
      <c r="K947" s="25">
        <f t="shared" si="42"/>
        <v>3690</v>
      </c>
      <c r="L947" s="26">
        <v>45138</v>
      </c>
      <c r="M947" s="25" t="str">
        <f t="shared" si="43"/>
        <v>Monday</v>
      </c>
      <c r="N947" s="25" t="str">
        <f t="shared" si="44"/>
        <v>Weekday</v>
      </c>
      <c r="Q947" s="25"/>
      <c r="R947" s="24"/>
      <c r="S947" s="27"/>
      <c r="T947"/>
      <c r="U947" s="6"/>
      <c r="W947" s="7"/>
      <c r="Z947" s="4"/>
    </row>
    <row r="948" spans="1:26" x14ac:dyDescent="0.3">
      <c r="A948" t="s">
        <v>1319</v>
      </c>
      <c r="B948" s="16" t="s">
        <v>228</v>
      </c>
      <c r="C948" s="17" t="s">
        <v>11</v>
      </c>
      <c r="D948" s="18" t="s">
        <v>325</v>
      </c>
      <c r="E948" s="19">
        <v>33</v>
      </c>
      <c r="F948" t="s">
        <v>373</v>
      </c>
      <c r="G948" s="18" t="s">
        <v>31</v>
      </c>
      <c r="H948" s="18" t="s">
        <v>18</v>
      </c>
      <c r="I948" s="18">
        <v>6150</v>
      </c>
      <c r="J948" s="18">
        <v>3</v>
      </c>
      <c r="K948" s="19">
        <f t="shared" si="42"/>
        <v>18450</v>
      </c>
      <c r="L948" s="20">
        <v>45118</v>
      </c>
      <c r="M948" s="19" t="str">
        <f t="shared" si="43"/>
        <v>Tuesday</v>
      </c>
      <c r="N948" s="19" t="str">
        <f t="shared" si="44"/>
        <v>Weekday</v>
      </c>
      <c r="Q948" s="19"/>
      <c r="R948" s="18"/>
      <c r="S948" s="21"/>
      <c r="T948"/>
      <c r="U948" s="6"/>
      <c r="W948" s="7"/>
      <c r="Z948" s="4"/>
    </row>
    <row r="949" spans="1:26" x14ac:dyDescent="0.3">
      <c r="A949" t="s">
        <v>1320</v>
      </c>
      <c r="B949" s="22" t="s">
        <v>119</v>
      </c>
      <c r="C949" s="23" t="s">
        <v>11</v>
      </c>
      <c r="D949" s="24" t="s">
        <v>323</v>
      </c>
      <c r="E949" s="25">
        <v>29</v>
      </c>
      <c r="F949" t="s">
        <v>381</v>
      </c>
      <c r="G949" s="24" t="s">
        <v>24</v>
      </c>
      <c r="H949" s="24" t="s">
        <v>14</v>
      </c>
      <c r="I949" s="24">
        <v>184500</v>
      </c>
      <c r="J949" s="24">
        <v>2</v>
      </c>
      <c r="K949" s="25">
        <f t="shared" si="42"/>
        <v>369000</v>
      </c>
      <c r="L949" s="26">
        <v>44952</v>
      </c>
      <c r="M949" s="25" t="str">
        <f t="shared" si="43"/>
        <v>Thursday</v>
      </c>
      <c r="N949" s="25" t="str">
        <f t="shared" si="44"/>
        <v>Weekday</v>
      </c>
      <c r="Q949" s="25"/>
      <c r="R949" s="24"/>
      <c r="S949" s="27"/>
      <c r="T949"/>
      <c r="U949" s="6"/>
      <c r="W949" s="7"/>
      <c r="Z949" s="4"/>
    </row>
    <row r="950" spans="1:26" x14ac:dyDescent="0.3">
      <c r="A950" t="s">
        <v>1321</v>
      </c>
      <c r="B950" s="16" t="s">
        <v>213</v>
      </c>
      <c r="C950" s="17" t="s">
        <v>11</v>
      </c>
      <c r="D950" s="18" t="s">
        <v>326</v>
      </c>
      <c r="E950" s="19">
        <v>66</v>
      </c>
      <c r="F950" t="s">
        <v>381</v>
      </c>
      <c r="G950" s="18" t="s">
        <v>42</v>
      </c>
      <c r="H950" s="18" t="s">
        <v>14</v>
      </c>
      <c r="I950" s="18">
        <v>98400</v>
      </c>
      <c r="J950" s="18">
        <v>5</v>
      </c>
      <c r="K950" s="19">
        <f t="shared" si="42"/>
        <v>492000</v>
      </c>
      <c r="L950" s="20">
        <v>45244</v>
      </c>
      <c r="M950" s="19" t="str">
        <f t="shared" si="43"/>
        <v>Tuesday</v>
      </c>
      <c r="N950" s="19" t="str">
        <f t="shared" si="44"/>
        <v>Weekday</v>
      </c>
      <c r="Q950" s="19"/>
      <c r="R950" s="18"/>
      <c r="S950" s="21"/>
      <c r="T950"/>
      <c r="U950" s="6"/>
      <c r="W950" s="7"/>
      <c r="Z950" s="4"/>
    </row>
    <row r="951" spans="1:26" x14ac:dyDescent="0.3">
      <c r="A951" t="s">
        <v>1322</v>
      </c>
      <c r="B951" s="22" t="s">
        <v>112</v>
      </c>
      <c r="C951" s="23" t="s">
        <v>366</v>
      </c>
      <c r="D951" s="24" t="s">
        <v>325</v>
      </c>
      <c r="E951" s="25">
        <v>38</v>
      </c>
      <c r="F951" t="s">
        <v>381</v>
      </c>
      <c r="G951" s="24" t="s">
        <v>13</v>
      </c>
      <c r="H951" s="24" t="s">
        <v>14</v>
      </c>
      <c r="I951" s="24">
        <v>36900</v>
      </c>
      <c r="J951" s="24">
        <v>5</v>
      </c>
      <c r="K951" s="25">
        <f t="shared" si="42"/>
        <v>184500</v>
      </c>
      <c r="L951" s="26">
        <v>44983</v>
      </c>
      <c r="M951" s="25" t="str">
        <f t="shared" si="43"/>
        <v>Sunday</v>
      </c>
      <c r="N951" s="25" t="str">
        <f t="shared" si="44"/>
        <v>Weekday</v>
      </c>
      <c r="Q951" s="25"/>
      <c r="R951" s="24"/>
      <c r="S951" s="27"/>
      <c r="T951"/>
      <c r="U951" s="6"/>
      <c r="W951" s="7"/>
      <c r="Z951" s="4"/>
    </row>
    <row r="952" spans="1:26" x14ac:dyDescent="0.3">
      <c r="A952" t="s">
        <v>1323</v>
      </c>
      <c r="B952" s="16" t="s">
        <v>257</v>
      </c>
      <c r="C952" s="17" t="s">
        <v>11</v>
      </c>
      <c r="D952" s="18" t="s">
        <v>325</v>
      </c>
      <c r="E952" s="19">
        <v>39</v>
      </c>
      <c r="F952" t="s">
        <v>375</v>
      </c>
      <c r="G952" s="18" t="s">
        <v>42</v>
      </c>
      <c r="H952" s="18" t="s">
        <v>14</v>
      </c>
      <c r="I952" s="18">
        <v>98400</v>
      </c>
      <c r="J952" s="18">
        <v>3</v>
      </c>
      <c r="K952" s="19">
        <f t="shared" si="42"/>
        <v>295200</v>
      </c>
      <c r="L952" s="20">
        <v>45133</v>
      </c>
      <c r="M952" s="19" t="str">
        <f t="shared" si="43"/>
        <v>Wednesday</v>
      </c>
      <c r="N952" s="19" t="str">
        <f t="shared" si="44"/>
        <v>Weekday</v>
      </c>
      <c r="Q952" s="19"/>
      <c r="R952" s="18"/>
      <c r="S952" s="21"/>
      <c r="T952"/>
      <c r="U952" s="6"/>
      <c r="W952" s="7"/>
      <c r="Z952" s="4"/>
    </row>
    <row r="953" spans="1:26" x14ac:dyDescent="0.3">
      <c r="A953" t="s">
        <v>1324</v>
      </c>
      <c r="B953" s="22" t="s">
        <v>130</v>
      </c>
      <c r="C953" s="23" t="s">
        <v>11</v>
      </c>
      <c r="D953" s="24" t="s">
        <v>322</v>
      </c>
      <c r="E953" s="25">
        <v>63</v>
      </c>
      <c r="F953" t="s">
        <v>375</v>
      </c>
      <c r="G953" s="24" t="s">
        <v>26</v>
      </c>
      <c r="H953" s="24" t="s">
        <v>27</v>
      </c>
      <c r="I953" s="24">
        <v>24600</v>
      </c>
      <c r="J953" s="24">
        <v>4</v>
      </c>
      <c r="K953" s="25">
        <f t="shared" si="42"/>
        <v>98400</v>
      </c>
      <c r="L953" s="26">
        <v>45084</v>
      </c>
      <c r="M953" s="25" t="str">
        <f t="shared" si="43"/>
        <v>Wednesday</v>
      </c>
      <c r="N953" s="25" t="str">
        <f t="shared" si="44"/>
        <v>Weekday</v>
      </c>
      <c r="Q953" s="25"/>
      <c r="R953" s="24"/>
      <c r="S953" s="27"/>
      <c r="T953"/>
      <c r="U953" s="6"/>
      <c r="W953" s="7"/>
      <c r="Z953" s="4"/>
    </row>
    <row r="954" spans="1:26" x14ac:dyDescent="0.3">
      <c r="A954" t="s">
        <v>1325</v>
      </c>
      <c r="B954" s="16" t="s">
        <v>190</v>
      </c>
      <c r="C954" s="17" t="s">
        <v>366</v>
      </c>
      <c r="D954" s="18" t="s">
        <v>324</v>
      </c>
      <c r="E954" s="19">
        <v>52</v>
      </c>
      <c r="F954" t="s">
        <v>381</v>
      </c>
      <c r="G954" s="18" t="s">
        <v>42</v>
      </c>
      <c r="H954" s="18" t="s">
        <v>14</v>
      </c>
      <c r="I954" s="18">
        <v>98400</v>
      </c>
      <c r="J954" s="18">
        <v>1</v>
      </c>
      <c r="K954" s="19">
        <f t="shared" si="42"/>
        <v>98400</v>
      </c>
      <c r="L954" s="20">
        <v>45075</v>
      </c>
      <c r="M954" s="19" t="str">
        <f t="shared" si="43"/>
        <v>Monday</v>
      </c>
      <c r="N954" s="19" t="str">
        <f t="shared" si="44"/>
        <v>Weekday</v>
      </c>
      <c r="Q954" s="19"/>
      <c r="R954" s="18"/>
      <c r="S954" s="21"/>
      <c r="T954"/>
      <c r="U954" s="6"/>
      <c r="W954" s="7"/>
      <c r="Z954" s="4"/>
    </row>
    <row r="955" spans="1:26" x14ac:dyDescent="0.3">
      <c r="A955" t="s">
        <v>1326</v>
      </c>
      <c r="B955" s="22" t="s">
        <v>38</v>
      </c>
      <c r="C955" s="23" t="s">
        <v>11</v>
      </c>
      <c r="D955" s="24" t="s">
        <v>322</v>
      </c>
      <c r="E955" s="25">
        <v>66</v>
      </c>
      <c r="F955" t="s">
        <v>373</v>
      </c>
      <c r="G955" s="24" t="s">
        <v>13</v>
      </c>
      <c r="H955" s="24" t="s">
        <v>14</v>
      </c>
      <c r="I955" s="24">
        <v>36900</v>
      </c>
      <c r="J955" s="24">
        <v>5</v>
      </c>
      <c r="K955" s="25">
        <f t="shared" si="42"/>
        <v>184500</v>
      </c>
      <c r="L955" s="26">
        <v>45088</v>
      </c>
      <c r="M955" s="25" t="str">
        <f t="shared" si="43"/>
        <v>Sunday</v>
      </c>
      <c r="N955" s="25" t="str">
        <f t="shared" si="44"/>
        <v>Weekday</v>
      </c>
      <c r="Q955" s="25"/>
      <c r="R955" s="24"/>
      <c r="S955" s="27"/>
      <c r="T955"/>
      <c r="U955" s="6"/>
      <c r="W955" s="7"/>
      <c r="Z955" s="4"/>
    </row>
    <row r="956" spans="1:26" x14ac:dyDescent="0.3">
      <c r="A956" t="s">
        <v>1327</v>
      </c>
      <c r="B956" s="16" t="s">
        <v>314</v>
      </c>
      <c r="C956" s="17" t="s">
        <v>11</v>
      </c>
      <c r="D956" s="18" t="s">
        <v>322</v>
      </c>
      <c r="E956" s="19">
        <v>63</v>
      </c>
      <c r="F956" t="s">
        <v>375</v>
      </c>
      <c r="G956" s="18" t="s">
        <v>31</v>
      </c>
      <c r="H956" s="18" t="s">
        <v>18</v>
      </c>
      <c r="I956" s="18">
        <v>6150</v>
      </c>
      <c r="J956" s="18">
        <v>5</v>
      </c>
      <c r="K956" s="19">
        <f t="shared" si="42"/>
        <v>30750</v>
      </c>
      <c r="L956" s="20">
        <v>44969</v>
      </c>
      <c r="M956" s="19" t="str">
        <f t="shared" si="43"/>
        <v>Sunday</v>
      </c>
      <c r="N956" s="19" t="str">
        <f t="shared" si="44"/>
        <v>Weekday</v>
      </c>
      <c r="Q956" s="19"/>
      <c r="R956" s="18"/>
      <c r="S956" s="21"/>
      <c r="T956"/>
      <c r="U956" s="6"/>
      <c r="W956" s="7"/>
      <c r="Z956" s="4"/>
    </row>
    <row r="957" spans="1:26" x14ac:dyDescent="0.3">
      <c r="A957" t="s">
        <v>1328</v>
      </c>
      <c r="B957" s="22" t="s">
        <v>315</v>
      </c>
      <c r="C957" s="23" t="s">
        <v>11</v>
      </c>
      <c r="D957" s="24" t="s">
        <v>322</v>
      </c>
      <c r="E957" s="25">
        <v>20</v>
      </c>
      <c r="F957" t="s">
        <v>373</v>
      </c>
      <c r="G957" s="24" t="s">
        <v>13</v>
      </c>
      <c r="H957" s="24" t="s">
        <v>14</v>
      </c>
      <c r="I957" s="24">
        <v>36900</v>
      </c>
      <c r="J957" s="24">
        <v>1</v>
      </c>
      <c r="K957" s="25">
        <f t="shared" si="42"/>
        <v>36900</v>
      </c>
      <c r="L957" s="26">
        <v>45278</v>
      </c>
      <c r="M957" s="25" t="str">
        <f t="shared" si="43"/>
        <v>Monday</v>
      </c>
      <c r="N957" s="25" t="str">
        <f t="shared" si="44"/>
        <v>Weekday</v>
      </c>
      <c r="Q957" s="25"/>
      <c r="R957" s="24"/>
      <c r="S957" s="27"/>
      <c r="T957"/>
      <c r="U957" s="6"/>
      <c r="W957" s="7"/>
      <c r="Z957" s="4"/>
    </row>
    <row r="958" spans="1:26" x14ac:dyDescent="0.3">
      <c r="A958" t="s">
        <v>1329</v>
      </c>
      <c r="B958" s="16" t="s">
        <v>173</v>
      </c>
      <c r="C958" s="17" t="s">
        <v>20</v>
      </c>
      <c r="D958" s="18" t="s">
        <v>325</v>
      </c>
      <c r="E958" s="19">
        <v>55</v>
      </c>
      <c r="F958" t="s">
        <v>375</v>
      </c>
      <c r="G958" s="18" t="s">
        <v>42</v>
      </c>
      <c r="H958" s="18" t="s">
        <v>14</v>
      </c>
      <c r="I958" s="18">
        <v>98400</v>
      </c>
      <c r="J958" s="18">
        <v>1</v>
      </c>
      <c r="K958" s="19">
        <f t="shared" si="42"/>
        <v>98400</v>
      </c>
      <c r="L958" s="20">
        <v>45124</v>
      </c>
      <c r="M958" s="19" t="str">
        <f t="shared" si="43"/>
        <v>Monday</v>
      </c>
      <c r="N958" s="19" t="str">
        <f t="shared" si="44"/>
        <v>Weekday</v>
      </c>
      <c r="Q958" s="19"/>
      <c r="R958" s="18"/>
      <c r="S958" s="21"/>
      <c r="T958"/>
      <c r="U958" s="6"/>
      <c r="W958" s="7"/>
      <c r="Z958" s="4"/>
    </row>
    <row r="959" spans="1:26" x14ac:dyDescent="0.3">
      <c r="A959" t="s">
        <v>1330</v>
      </c>
      <c r="B959" s="22" t="s">
        <v>241</v>
      </c>
      <c r="C959" s="23" t="s">
        <v>11</v>
      </c>
      <c r="D959" s="24" t="s">
        <v>322</v>
      </c>
      <c r="E959" s="25">
        <v>56</v>
      </c>
      <c r="F959" t="s">
        <v>370</v>
      </c>
      <c r="G959" s="24" t="s">
        <v>24</v>
      </c>
      <c r="H959" s="24" t="s">
        <v>14</v>
      </c>
      <c r="I959" s="24">
        <v>184500</v>
      </c>
      <c r="J959" s="24">
        <v>2</v>
      </c>
      <c r="K959" s="25">
        <f t="shared" si="42"/>
        <v>369000</v>
      </c>
      <c r="L959" s="26">
        <v>45066</v>
      </c>
      <c r="M959" s="25" t="str">
        <f t="shared" si="43"/>
        <v>Saturday</v>
      </c>
      <c r="N959" s="25" t="str">
        <f t="shared" si="44"/>
        <v>Weekend</v>
      </c>
      <c r="Q959" s="25"/>
      <c r="R959" s="24"/>
      <c r="S959" s="27"/>
      <c r="T959"/>
      <c r="U959" s="6"/>
      <c r="W959" s="7"/>
      <c r="Z959" s="4"/>
    </row>
    <row r="960" spans="1:26" x14ac:dyDescent="0.3">
      <c r="A960" t="s">
        <v>1331</v>
      </c>
      <c r="B960" s="16" t="s">
        <v>230</v>
      </c>
      <c r="C960" s="17" t="s">
        <v>11</v>
      </c>
      <c r="D960" s="18" t="s">
        <v>328</v>
      </c>
      <c r="E960" s="19">
        <v>22</v>
      </c>
      <c r="F960" t="s">
        <v>370</v>
      </c>
      <c r="G960" s="18" t="s">
        <v>31</v>
      </c>
      <c r="H960" s="18" t="s">
        <v>18</v>
      </c>
      <c r="I960" s="18">
        <v>6150</v>
      </c>
      <c r="J960" s="18">
        <v>4</v>
      </c>
      <c r="K960" s="19">
        <f t="shared" si="42"/>
        <v>24600</v>
      </c>
      <c r="L960" s="20">
        <v>44930</v>
      </c>
      <c r="M960" s="19" t="str">
        <f t="shared" si="43"/>
        <v>Wednesday</v>
      </c>
      <c r="N960" s="19" t="str">
        <f t="shared" si="44"/>
        <v>Weekday</v>
      </c>
      <c r="Q960" s="19"/>
      <c r="R960" s="18"/>
      <c r="S960" s="21"/>
      <c r="T960"/>
      <c r="U960" s="6"/>
      <c r="W960" s="7"/>
      <c r="Z960" s="4"/>
    </row>
    <row r="961" spans="1:26" x14ac:dyDescent="0.3">
      <c r="A961" t="s">
        <v>1332</v>
      </c>
      <c r="B961" s="22" t="s">
        <v>200</v>
      </c>
      <c r="C961" s="23" t="s">
        <v>366</v>
      </c>
      <c r="D961" s="24" t="s">
        <v>322</v>
      </c>
      <c r="E961" s="25">
        <v>46</v>
      </c>
      <c r="F961" t="s">
        <v>381</v>
      </c>
      <c r="G961" s="24" t="s">
        <v>13</v>
      </c>
      <c r="H961" s="24" t="s">
        <v>14</v>
      </c>
      <c r="I961" s="24">
        <v>36900</v>
      </c>
      <c r="J961" s="24">
        <v>1</v>
      </c>
      <c r="K961" s="25">
        <f t="shared" si="42"/>
        <v>36900</v>
      </c>
      <c r="L961" s="26">
        <v>45270</v>
      </c>
      <c r="M961" s="25" t="str">
        <f t="shared" si="43"/>
        <v>Sunday</v>
      </c>
      <c r="N961" s="25" t="str">
        <f t="shared" si="44"/>
        <v>Weekday</v>
      </c>
      <c r="Q961" s="25"/>
      <c r="R961" s="24"/>
      <c r="S961" s="27"/>
      <c r="T961"/>
      <c r="U961" s="6"/>
      <c r="W961" s="7"/>
      <c r="Z961" s="4"/>
    </row>
    <row r="962" spans="1:26" x14ac:dyDescent="0.3">
      <c r="A962" t="s">
        <v>1333</v>
      </c>
      <c r="B962" s="16" t="s">
        <v>71</v>
      </c>
      <c r="C962" s="17" t="s">
        <v>20</v>
      </c>
      <c r="D962" s="18" t="s">
        <v>323</v>
      </c>
      <c r="E962" s="19">
        <v>67</v>
      </c>
      <c r="F962" t="s">
        <v>370</v>
      </c>
      <c r="G962" s="18" t="s">
        <v>42</v>
      </c>
      <c r="H962" s="18" t="s">
        <v>14</v>
      </c>
      <c r="I962" s="18">
        <v>98400</v>
      </c>
      <c r="J962" s="18">
        <v>3</v>
      </c>
      <c r="K962" s="19">
        <f t="shared" ref="K962:K1025" si="45">I962*J962</f>
        <v>295200</v>
      </c>
      <c r="L962" s="20">
        <v>45247</v>
      </c>
      <c r="M962" s="19" t="str">
        <f t="shared" ref="M962:M1025" si="46">TEXT(L962, "dddd")</f>
        <v>Friday</v>
      </c>
      <c r="N962" s="19" t="str">
        <f t="shared" ref="N962:N1025" si="47">IF(OR(WEEKDAY(L962, 2)=5, WEEKDAY(L962, 2)=6), "Weekend", "Weekday")</f>
        <v>Weekend</v>
      </c>
      <c r="Q962" s="19"/>
      <c r="R962" s="18"/>
      <c r="S962" s="21"/>
      <c r="T962"/>
      <c r="U962" s="6"/>
      <c r="W962" s="7"/>
      <c r="Z962" s="4"/>
    </row>
    <row r="963" spans="1:26" x14ac:dyDescent="0.3">
      <c r="A963" t="s">
        <v>1334</v>
      </c>
      <c r="B963" s="22" t="s">
        <v>71</v>
      </c>
      <c r="C963" s="23" t="s">
        <v>20</v>
      </c>
      <c r="D963" s="24" t="s">
        <v>323</v>
      </c>
      <c r="E963" s="25">
        <v>67</v>
      </c>
      <c r="F963" t="s">
        <v>375</v>
      </c>
      <c r="G963" s="24" t="s">
        <v>24</v>
      </c>
      <c r="H963" s="24" t="s">
        <v>14</v>
      </c>
      <c r="I963" s="24">
        <v>184500</v>
      </c>
      <c r="J963" s="24">
        <v>4</v>
      </c>
      <c r="K963" s="25">
        <f t="shared" si="45"/>
        <v>738000</v>
      </c>
      <c r="L963" s="26">
        <v>45164</v>
      </c>
      <c r="M963" s="25" t="str">
        <f t="shared" si="46"/>
        <v>Saturday</v>
      </c>
      <c r="N963" s="25" t="str">
        <f t="shared" si="47"/>
        <v>Weekend</v>
      </c>
      <c r="Q963" s="25"/>
      <c r="R963" s="24"/>
      <c r="S963" s="27"/>
      <c r="T963"/>
      <c r="U963" s="6"/>
      <c r="W963" s="7"/>
      <c r="Z963" s="4"/>
    </row>
    <row r="964" spans="1:26" x14ac:dyDescent="0.3">
      <c r="A964" t="s">
        <v>1335</v>
      </c>
      <c r="B964" s="16" t="s">
        <v>299</v>
      </c>
      <c r="C964" s="17" t="s">
        <v>366</v>
      </c>
      <c r="D964" s="18" t="s">
        <v>329</v>
      </c>
      <c r="E964" s="19">
        <v>44</v>
      </c>
      <c r="F964" t="s">
        <v>375</v>
      </c>
      <c r="G964" s="18" t="s">
        <v>24</v>
      </c>
      <c r="H964" s="18" t="s">
        <v>14</v>
      </c>
      <c r="I964" s="18">
        <v>184500</v>
      </c>
      <c r="J964" s="18">
        <v>1</v>
      </c>
      <c r="K964" s="19">
        <f t="shared" si="45"/>
        <v>184500</v>
      </c>
      <c r="L964" s="20">
        <v>44967</v>
      </c>
      <c r="M964" s="19" t="str">
        <f t="shared" si="46"/>
        <v>Friday</v>
      </c>
      <c r="N964" s="19" t="str">
        <f t="shared" si="47"/>
        <v>Weekend</v>
      </c>
      <c r="Q964" s="19"/>
      <c r="R964" s="18"/>
      <c r="S964" s="21"/>
      <c r="T964"/>
      <c r="U964" s="6"/>
      <c r="W964" s="7"/>
      <c r="Z964" s="4"/>
    </row>
    <row r="965" spans="1:26" x14ac:dyDescent="0.3">
      <c r="A965" t="s">
        <v>1336</v>
      </c>
      <c r="B965" s="22" t="s">
        <v>174</v>
      </c>
      <c r="C965" s="23" t="s">
        <v>11</v>
      </c>
      <c r="D965" s="24" t="s">
        <v>322</v>
      </c>
      <c r="E965" s="25">
        <v>57</v>
      </c>
      <c r="F965" t="s">
        <v>370</v>
      </c>
      <c r="G965" s="24" t="s">
        <v>26</v>
      </c>
      <c r="H965" s="24" t="s">
        <v>27</v>
      </c>
      <c r="I965" s="24">
        <v>24600</v>
      </c>
      <c r="J965" s="24">
        <v>3</v>
      </c>
      <c r="K965" s="25">
        <f t="shared" si="45"/>
        <v>73800</v>
      </c>
      <c r="L965" s="26">
        <v>44936</v>
      </c>
      <c r="M965" s="25" t="str">
        <f t="shared" si="46"/>
        <v>Tuesday</v>
      </c>
      <c r="N965" s="25" t="str">
        <f t="shared" si="47"/>
        <v>Weekday</v>
      </c>
      <c r="Q965" s="25"/>
      <c r="R965" s="24"/>
      <c r="S965" s="27"/>
      <c r="T965"/>
      <c r="U965" s="6"/>
      <c r="W965" s="7"/>
      <c r="Z965" s="4"/>
    </row>
    <row r="966" spans="1:26" x14ac:dyDescent="0.3">
      <c r="A966" t="s">
        <v>1337</v>
      </c>
      <c r="B966" s="16" t="s">
        <v>123</v>
      </c>
      <c r="C966" s="17" t="s">
        <v>20</v>
      </c>
      <c r="D966" s="18" t="s">
        <v>328</v>
      </c>
      <c r="E966" s="19">
        <v>38</v>
      </c>
      <c r="F966" t="s">
        <v>370</v>
      </c>
      <c r="G966" s="18" t="s">
        <v>31</v>
      </c>
      <c r="H966" s="18" t="s">
        <v>18</v>
      </c>
      <c r="I966" s="18">
        <v>6150</v>
      </c>
      <c r="J966" s="18">
        <v>5</v>
      </c>
      <c r="K966" s="19">
        <f t="shared" si="45"/>
        <v>30750</v>
      </c>
      <c r="L966" s="20">
        <v>45126</v>
      </c>
      <c r="M966" s="19" t="str">
        <f t="shared" si="46"/>
        <v>Wednesday</v>
      </c>
      <c r="N966" s="19" t="str">
        <f t="shared" si="47"/>
        <v>Weekday</v>
      </c>
      <c r="Q966" s="19"/>
      <c r="R966" s="18"/>
      <c r="S966" s="21"/>
      <c r="T966"/>
      <c r="U966" s="6"/>
      <c r="W966" s="7"/>
      <c r="Z966" s="4"/>
    </row>
    <row r="967" spans="1:26" x14ac:dyDescent="0.3">
      <c r="A967" t="s">
        <v>1338</v>
      </c>
      <c r="B967" s="22" t="s">
        <v>64</v>
      </c>
      <c r="C967" s="23" t="s">
        <v>20</v>
      </c>
      <c r="D967" s="24" t="s">
        <v>324</v>
      </c>
      <c r="E967" s="25">
        <v>58</v>
      </c>
      <c r="F967" t="s">
        <v>370</v>
      </c>
      <c r="G967" s="24" t="s">
        <v>32</v>
      </c>
      <c r="H967" s="24" t="s">
        <v>18</v>
      </c>
      <c r="I967" s="24">
        <v>3690</v>
      </c>
      <c r="J967" s="24">
        <v>2</v>
      </c>
      <c r="K967" s="25">
        <f t="shared" si="45"/>
        <v>7380</v>
      </c>
      <c r="L967" s="26">
        <v>45012</v>
      </c>
      <c r="M967" s="25" t="str">
        <f t="shared" si="46"/>
        <v>Monday</v>
      </c>
      <c r="N967" s="25" t="str">
        <f t="shared" si="47"/>
        <v>Weekday</v>
      </c>
      <c r="Q967" s="25"/>
      <c r="R967" s="24"/>
      <c r="S967" s="27"/>
      <c r="T967"/>
      <c r="U967" s="6"/>
      <c r="W967" s="7"/>
      <c r="Z967" s="4"/>
    </row>
    <row r="968" spans="1:26" x14ac:dyDescent="0.3">
      <c r="A968" t="s">
        <v>1339</v>
      </c>
      <c r="B968" s="16" t="s">
        <v>169</v>
      </c>
      <c r="C968" s="17" t="s">
        <v>366</v>
      </c>
      <c r="D968" s="18" t="s">
        <v>328</v>
      </c>
      <c r="E968" s="19">
        <v>64</v>
      </c>
      <c r="F968" t="s">
        <v>381</v>
      </c>
      <c r="G968" s="18" t="s">
        <v>26</v>
      </c>
      <c r="H968" s="18" t="s">
        <v>27</v>
      </c>
      <c r="I968" s="18">
        <v>24600</v>
      </c>
      <c r="J968" s="18">
        <v>5</v>
      </c>
      <c r="K968" s="19">
        <f t="shared" si="45"/>
        <v>123000</v>
      </c>
      <c r="L968" s="20">
        <v>45158</v>
      </c>
      <c r="M968" s="19" t="str">
        <f t="shared" si="46"/>
        <v>Sunday</v>
      </c>
      <c r="N968" s="19" t="str">
        <f t="shared" si="47"/>
        <v>Weekday</v>
      </c>
      <c r="Q968" s="19"/>
      <c r="R968" s="18"/>
      <c r="S968" s="21"/>
      <c r="T968"/>
      <c r="U968" s="6"/>
      <c r="W968" s="7"/>
      <c r="Z968" s="4"/>
    </row>
    <row r="969" spans="1:26" x14ac:dyDescent="0.3">
      <c r="A969" t="s">
        <v>1340</v>
      </c>
      <c r="B969" s="22" t="s">
        <v>224</v>
      </c>
      <c r="C969" s="23" t="s">
        <v>11</v>
      </c>
      <c r="D969" s="24" t="s">
        <v>323</v>
      </c>
      <c r="E969" s="25">
        <v>67</v>
      </c>
      <c r="F969" t="s">
        <v>370</v>
      </c>
      <c r="G969" s="24" t="s">
        <v>32</v>
      </c>
      <c r="H969" s="24" t="s">
        <v>18</v>
      </c>
      <c r="I969" s="24">
        <v>3690</v>
      </c>
      <c r="J969" s="24">
        <v>3</v>
      </c>
      <c r="K969" s="25">
        <f t="shared" si="45"/>
        <v>11070</v>
      </c>
      <c r="L969" s="26">
        <v>45129</v>
      </c>
      <c r="M969" s="25" t="str">
        <f t="shared" si="46"/>
        <v>Saturday</v>
      </c>
      <c r="N969" s="25" t="str">
        <f t="shared" si="47"/>
        <v>Weekend</v>
      </c>
      <c r="Q969" s="25"/>
      <c r="R969" s="24"/>
      <c r="S969" s="27"/>
      <c r="T969"/>
      <c r="U969" s="6"/>
      <c r="W969" s="7"/>
      <c r="Z969" s="4"/>
    </row>
    <row r="970" spans="1:26" x14ac:dyDescent="0.3">
      <c r="A970" t="s">
        <v>1341</v>
      </c>
      <c r="B970" s="16" t="s">
        <v>257</v>
      </c>
      <c r="C970" s="17" t="s">
        <v>11</v>
      </c>
      <c r="D970" s="18" t="s">
        <v>325</v>
      </c>
      <c r="E970" s="19">
        <v>39</v>
      </c>
      <c r="F970" t="s">
        <v>375</v>
      </c>
      <c r="G970" s="18" t="s">
        <v>32</v>
      </c>
      <c r="H970" s="18" t="s">
        <v>18</v>
      </c>
      <c r="I970" s="18">
        <v>3690</v>
      </c>
      <c r="J970" s="18">
        <v>5</v>
      </c>
      <c r="K970" s="19">
        <f t="shared" si="45"/>
        <v>18450</v>
      </c>
      <c r="L970" s="20">
        <v>45209</v>
      </c>
      <c r="M970" s="19" t="str">
        <f t="shared" si="46"/>
        <v>Tuesday</v>
      </c>
      <c r="N970" s="19" t="str">
        <f t="shared" si="47"/>
        <v>Weekday</v>
      </c>
      <c r="Q970" s="19"/>
      <c r="R970" s="18"/>
      <c r="S970" s="21"/>
      <c r="T970"/>
      <c r="U970" s="6"/>
      <c r="W970" s="7"/>
      <c r="Z970" s="4"/>
    </row>
    <row r="971" spans="1:26" x14ac:dyDescent="0.3">
      <c r="A971" t="s">
        <v>1342</v>
      </c>
      <c r="B971" s="22" t="s">
        <v>75</v>
      </c>
      <c r="C971" s="23" t="s">
        <v>11</v>
      </c>
      <c r="D971" s="24" t="s">
        <v>322</v>
      </c>
      <c r="E971" s="25">
        <v>51</v>
      </c>
      <c r="F971" t="s">
        <v>370</v>
      </c>
      <c r="G971" s="24" t="s">
        <v>31</v>
      </c>
      <c r="H971" s="24" t="s">
        <v>18</v>
      </c>
      <c r="I971" s="24">
        <v>6150</v>
      </c>
      <c r="J971" s="24">
        <v>4</v>
      </c>
      <c r="K971" s="25">
        <f t="shared" si="45"/>
        <v>24600</v>
      </c>
      <c r="L971" s="26">
        <v>45076</v>
      </c>
      <c r="M971" s="25" t="str">
        <f t="shared" si="46"/>
        <v>Tuesday</v>
      </c>
      <c r="N971" s="25" t="str">
        <f t="shared" si="47"/>
        <v>Weekday</v>
      </c>
      <c r="Q971" s="25"/>
      <c r="R971" s="24"/>
      <c r="S971" s="27"/>
      <c r="T971"/>
      <c r="U971" s="6"/>
      <c r="W971" s="7"/>
      <c r="Z971" s="4"/>
    </row>
    <row r="972" spans="1:26" x14ac:dyDescent="0.3">
      <c r="A972" t="s">
        <v>1343</v>
      </c>
      <c r="B972" s="16" t="s">
        <v>260</v>
      </c>
      <c r="C972" s="17" t="s">
        <v>11</v>
      </c>
      <c r="D972" s="18" t="s">
        <v>322</v>
      </c>
      <c r="E972" s="19">
        <v>55</v>
      </c>
      <c r="F972" t="s">
        <v>381</v>
      </c>
      <c r="G972" s="18" t="s">
        <v>26</v>
      </c>
      <c r="H972" s="18" t="s">
        <v>27</v>
      </c>
      <c r="I972" s="18">
        <v>24600</v>
      </c>
      <c r="J972" s="18">
        <v>5</v>
      </c>
      <c r="K972" s="19">
        <f t="shared" si="45"/>
        <v>123000</v>
      </c>
      <c r="L972" s="20">
        <v>45215</v>
      </c>
      <c r="M972" s="19" t="str">
        <f t="shared" si="46"/>
        <v>Monday</v>
      </c>
      <c r="N972" s="19" t="str">
        <f t="shared" si="47"/>
        <v>Weekday</v>
      </c>
      <c r="Q972" s="19"/>
      <c r="R972" s="18"/>
      <c r="S972" s="21"/>
      <c r="T972"/>
      <c r="U972" s="6"/>
      <c r="W972" s="7"/>
      <c r="Z972" s="4"/>
    </row>
    <row r="973" spans="1:26" x14ac:dyDescent="0.3">
      <c r="A973" t="s">
        <v>1344</v>
      </c>
      <c r="B973" s="22" t="s">
        <v>273</v>
      </c>
      <c r="C973" s="23" t="s">
        <v>366</v>
      </c>
      <c r="D973" s="24" t="s">
        <v>322</v>
      </c>
      <c r="E973" s="25">
        <v>65</v>
      </c>
      <c r="F973" t="s">
        <v>381</v>
      </c>
      <c r="G973" s="24" t="s">
        <v>32</v>
      </c>
      <c r="H973" s="24" t="s">
        <v>18</v>
      </c>
      <c r="I973" s="24">
        <v>3690</v>
      </c>
      <c r="J973" s="24">
        <v>3</v>
      </c>
      <c r="K973" s="25">
        <f t="shared" si="45"/>
        <v>11070</v>
      </c>
      <c r="L973" s="26">
        <v>45050</v>
      </c>
      <c r="M973" s="25" t="str">
        <f t="shared" si="46"/>
        <v>Thursday</v>
      </c>
      <c r="N973" s="25" t="str">
        <f t="shared" si="47"/>
        <v>Weekday</v>
      </c>
      <c r="Q973" s="25"/>
      <c r="R973" s="24"/>
      <c r="S973" s="27"/>
      <c r="T973"/>
      <c r="U973" s="6"/>
      <c r="W973" s="7"/>
      <c r="Z973" s="4"/>
    </row>
    <row r="974" spans="1:26" x14ac:dyDescent="0.3">
      <c r="A974" t="s">
        <v>1345</v>
      </c>
      <c r="B974" s="16" t="s">
        <v>210</v>
      </c>
      <c r="C974" s="17" t="s">
        <v>11</v>
      </c>
      <c r="D974" s="18" t="s">
        <v>322</v>
      </c>
      <c r="E974" s="19">
        <v>26</v>
      </c>
      <c r="F974" t="s">
        <v>375</v>
      </c>
      <c r="G974" s="18" t="s">
        <v>32</v>
      </c>
      <c r="H974" s="18" t="s">
        <v>18</v>
      </c>
      <c r="I974" s="18">
        <v>3690</v>
      </c>
      <c r="J974" s="18">
        <v>2</v>
      </c>
      <c r="K974" s="19">
        <f t="shared" si="45"/>
        <v>7380</v>
      </c>
      <c r="L974" s="20">
        <v>45232</v>
      </c>
      <c r="M974" s="19" t="str">
        <f t="shared" si="46"/>
        <v>Thursday</v>
      </c>
      <c r="N974" s="19" t="str">
        <f t="shared" si="47"/>
        <v>Weekday</v>
      </c>
      <c r="Q974" s="19"/>
      <c r="R974" s="18"/>
      <c r="S974" s="21"/>
      <c r="T974"/>
      <c r="U974" s="6"/>
      <c r="W974" s="7"/>
      <c r="Z974" s="4"/>
    </row>
    <row r="975" spans="1:26" x14ac:dyDescent="0.3">
      <c r="A975" t="s">
        <v>1346</v>
      </c>
      <c r="B975" s="22" t="s">
        <v>38</v>
      </c>
      <c r="C975" s="23" t="s">
        <v>11</v>
      </c>
      <c r="D975" s="24" t="s">
        <v>322</v>
      </c>
      <c r="E975" s="25">
        <v>66</v>
      </c>
      <c r="F975" t="s">
        <v>375</v>
      </c>
      <c r="G975" s="24" t="s">
        <v>17</v>
      </c>
      <c r="H975" s="24" t="s">
        <v>18</v>
      </c>
      <c r="I975" s="24">
        <v>12300</v>
      </c>
      <c r="J975" s="24">
        <v>4</v>
      </c>
      <c r="K975" s="25">
        <f t="shared" si="45"/>
        <v>49200</v>
      </c>
      <c r="L975" s="26">
        <v>44935</v>
      </c>
      <c r="M975" s="25" t="str">
        <f t="shared" si="46"/>
        <v>Monday</v>
      </c>
      <c r="N975" s="25" t="str">
        <f t="shared" si="47"/>
        <v>Weekday</v>
      </c>
      <c r="Q975" s="25"/>
      <c r="R975" s="24"/>
      <c r="S975" s="27"/>
      <c r="T975"/>
      <c r="U975" s="6"/>
      <c r="W975" s="7"/>
      <c r="Z975" s="4"/>
    </row>
    <row r="976" spans="1:26" x14ac:dyDescent="0.3">
      <c r="A976" t="s">
        <v>1347</v>
      </c>
      <c r="B976" s="16" t="s">
        <v>297</v>
      </c>
      <c r="C976" s="17" t="s">
        <v>11</v>
      </c>
      <c r="D976" s="18" t="s">
        <v>323</v>
      </c>
      <c r="E976" s="19">
        <v>39</v>
      </c>
      <c r="F976" t="s">
        <v>370</v>
      </c>
      <c r="G976" s="18" t="s">
        <v>13</v>
      </c>
      <c r="H976" s="18" t="s">
        <v>14</v>
      </c>
      <c r="I976" s="18">
        <v>36900</v>
      </c>
      <c r="J976" s="18">
        <v>1</v>
      </c>
      <c r="K976" s="19">
        <f t="shared" si="45"/>
        <v>36900</v>
      </c>
      <c r="L976" s="20">
        <v>44977</v>
      </c>
      <c r="M976" s="19" t="str">
        <f t="shared" si="46"/>
        <v>Monday</v>
      </c>
      <c r="N976" s="19" t="str">
        <f t="shared" si="47"/>
        <v>Weekday</v>
      </c>
      <c r="Q976" s="19"/>
      <c r="R976" s="18"/>
      <c r="S976" s="21"/>
      <c r="T976"/>
      <c r="U976" s="6"/>
      <c r="W976" s="7"/>
      <c r="Z976" s="4"/>
    </row>
    <row r="977" spans="1:26" x14ac:dyDescent="0.3">
      <c r="A977" t="s">
        <v>1348</v>
      </c>
      <c r="B977" s="22" t="s">
        <v>95</v>
      </c>
      <c r="C977" s="23" t="s">
        <v>11</v>
      </c>
      <c r="D977" s="24" t="s">
        <v>322</v>
      </c>
      <c r="E977" s="25">
        <v>47</v>
      </c>
      <c r="F977" t="s">
        <v>375</v>
      </c>
      <c r="G977" s="24" t="s">
        <v>42</v>
      </c>
      <c r="H977" s="24" t="s">
        <v>14</v>
      </c>
      <c r="I977" s="24">
        <v>98400</v>
      </c>
      <c r="J977" s="24">
        <v>4</v>
      </c>
      <c r="K977" s="25">
        <f t="shared" si="45"/>
        <v>393600</v>
      </c>
      <c r="L977" s="26">
        <v>45138</v>
      </c>
      <c r="M977" s="25" t="str">
        <f t="shared" si="46"/>
        <v>Monday</v>
      </c>
      <c r="N977" s="25" t="str">
        <f t="shared" si="47"/>
        <v>Weekday</v>
      </c>
      <c r="Q977" s="25"/>
      <c r="R977" s="24"/>
      <c r="S977" s="27"/>
      <c r="T977"/>
      <c r="U977" s="6"/>
      <c r="W977" s="7"/>
      <c r="Z977" s="4"/>
    </row>
    <row r="978" spans="1:26" x14ac:dyDescent="0.3">
      <c r="A978" t="s">
        <v>1349</v>
      </c>
      <c r="B978" s="16" t="s">
        <v>226</v>
      </c>
      <c r="C978" s="17" t="s">
        <v>366</v>
      </c>
      <c r="D978" s="18" t="s">
        <v>329</v>
      </c>
      <c r="E978" s="19">
        <v>34</v>
      </c>
      <c r="F978" t="s">
        <v>373</v>
      </c>
      <c r="G978" s="18" t="s">
        <v>26</v>
      </c>
      <c r="H978" s="18" t="s">
        <v>27</v>
      </c>
      <c r="I978" s="18">
        <v>24600</v>
      </c>
      <c r="J978" s="18">
        <v>3</v>
      </c>
      <c r="K978" s="19">
        <f t="shared" si="45"/>
        <v>73800</v>
      </c>
      <c r="L978" s="20">
        <v>45102</v>
      </c>
      <c r="M978" s="19" t="str">
        <f t="shared" si="46"/>
        <v>Sunday</v>
      </c>
      <c r="N978" s="19" t="str">
        <f t="shared" si="47"/>
        <v>Weekday</v>
      </c>
      <c r="Q978" s="19"/>
      <c r="R978" s="18"/>
      <c r="S978" s="21"/>
      <c r="T978"/>
      <c r="U978" s="6"/>
      <c r="W978" s="7"/>
      <c r="Z978" s="4"/>
    </row>
    <row r="979" spans="1:26" x14ac:dyDescent="0.3">
      <c r="A979" t="s">
        <v>1350</v>
      </c>
      <c r="B979" s="22" t="s">
        <v>141</v>
      </c>
      <c r="C979" s="23" t="s">
        <v>366</v>
      </c>
      <c r="D979" s="24" t="s">
        <v>323</v>
      </c>
      <c r="E979" s="25">
        <v>35</v>
      </c>
      <c r="F979" t="s">
        <v>375</v>
      </c>
      <c r="G979" s="24" t="s">
        <v>17</v>
      </c>
      <c r="H979" s="24" t="s">
        <v>18</v>
      </c>
      <c r="I979" s="24">
        <v>12300</v>
      </c>
      <c r="J979" s="24">
        <v>4</v>
      </c>
      <c r="K979" s="25">
        <f t="shared" si="45"/>
        <v>49200</v>
      </c>
      <c r="L979" s="26">
        <v>45000</v>
      </c>
      <c r="M979" s="25" t="str">
        <f t="shared" si="46"/>
        <v>Wednesday</v>
      </c>
      <c r="N979" s="25" t="str">
        <f t="shared" si="47"/>
        <v>Weekday</v>
      </c>
      <c r="Q979" s="25"/>
      <c r="R979" s="24"/>
      <c r="S979" s="27"/>
      <c r="T979"/>
      <c r="U979" s="6"/>
      <c r="W979" s="7"/>
      <c r="Z979" s="4"/>
    </row>
    <row r="980" spans="1:26" x14ac:dyDescent="0.3">
      <c r="A980" t="s">
        <v>1351</v>
      </c>
      <c r="B980" s="16" t="s">
        <v>168</v>
      </c>
      <c r="C980" s="17" t="s">
        <v>11</v>
      </c>
      <c r="D980" s="18" t="s">
        <v>324</v>
      </c>
      <c r="E980" s="19">
        <v>43</v>
      </c>
      <c r="F980" t="s">
        <v>373</v>
      </c>
      <c r="G980" s="18" t="s">
        <v>17</v>
      </c>
      <c r="H980" s="18" t="s">
        <v>18</v>
      </c>
      <c r="I980" s="18">
        <v>12300</v>
      </c>
      <c r="J980" s="18">
        <v>2</v>
      </c>
      <c r="K980" s="19">
        <f t="shared" si="45"/>
        <v>24600</v>
      </c>
      <c r="L980" s="20">
        <v>45207</v>
      </c>
      <c r="M980" s="19" t="str">
        <f t="shared" si="46"/>
        <v>Sunday</v>
      </c>
      <c r="N980" s="19" t="str">
        <f t="shared" si="47"/>
        <v>Weekday</v>
      </c>
      <c r="Q980" s="19"/>
      <c r="R980" s="18"/>
      <c r="S980" s="21"/>
      <c r="T980"/>
      <c r="U980" s="6"/>
      <c r="W980" s="7"/>
      <c r="Z980" s="4"/>
    </row>
    <row r="981" spans="1:26" x14ac:dyDescent="0.3">
      <c r="A981" t="s">
        <v>1352</v>
      </c>
      <c r="B981" s="22" t="s">
        <v>265</v>
      </c>
      <c r="C981" s="23" t="s">
        <v>11</v>
      </c>
      <c r="D981" s="24" t="s">
        <v>322</v>
      </c>
      <c r="E981" s="25">
        <v>64</v>
      </c>
      <c r="F981" t="s">
        <v>373</v>
      </c>
      <c r="G981" s="24" t="s">
        <v>31</v>
      </c>
      <c r="H981" s="24" t="s">
        <v>18</v>
      </c>
      <c r="I981" s="24">
        <v>6150</v>
      </c>
      <c r="J981" s="24">
        <v>5</v>
      </c>
      <c r="K981" s="25">
        <f t="shared" si="45"/>
        <v>30750</v>
      </c>
      <c r="L981" s="26">
        <v>45109</v>
      </c>
      <c r="M981" s="25" t="str">
        <f t="shared" si="46"/>
        <v>Sunday</v>
      </c>
      <c r="N981" s="25" t="str">
        <f t="shared" si="47"/>
        <v>Weekday</v>
      </c>
      <c r="Q981" s="25"/>
      <c r="R981" s="24"/>
      <c r="S981" s="27"/>
      <c r="T981"/>
      <c r="U981" s="6"/>
      <c r="W981" s="7"/>
      <c r="Z981" s="4"/>
    </row>
    <row r="982" spans="1:26" x14ac:dyDescent="0.3">
      <c r="A982" t="s">
        <v>1353</v>
      </c>
      <c r="B982" s="16" t="s">
        <v>264</v>
      </c>
      <c r="C982" s="17" t="s">
        <v>11</v>
      </c>
      <c r="D982" s="18" t="s">
        <v>322</v>
      </c>
      <c r="E982" s="19">
        <v>40</v>
      </c>
      <c r="F982" t="s">
        <v>375</v>
      </c>
      <c r="G982" s="18" t="s">
        <v>13</v>
      </c>
      <c r="H982" s="18" t="s">
        <v>14</v>
      </c>
      <c r="I982" s="18">
        <v>36900</v>
      </c>
      <c r="J982" s="18">
        <v>4</v>
      </c>
      <c r="K982" s="19">
        <f t="shared" si="45"/>
        <v>147600</v>
      </c>
      <c r="L982" s="20">
        <v>45137</v>
      </c>
      <c r="M982" s="19" t="str">
        <f t="shared" si="46"/>
        <v>Sunday</v>
      </c>
      <c r="N982" s="19" t="str">
        <f t="shared" si="47"/>
        <v>Weekday</v>
      </c>
      <c r="Q982" s="19"/>
      <c r="R982" s="18"/>
      <c r="S982" s="21"/>
      <c r="T982"/>
      <c r="U982" s="6"/>
      <c r="W982" s="7"/>
      <c r="Z982" s="4"/>
    </row>
    <row r="983" spans="1:26" x14ac:dyDescent="0.3">
      <c r="A983" t="s">
        <v>1354</v>
      </c>
      <c r="B983" s="22" t="s">
        <v>316</v>
      </c>
      <c r="C983" s="23" t="s">
        <v>20</v>
      </c>
      <c r="D983" s="24" t="s">
        <v>322</v>
      </c>
      <c r="E983" s="25">
        <v>54</v>
      </c>
      <c r="F983" t="s">
        <v>373</v>
      </c>
      <c r="G983" s="24" t="s">
        <v>32</v>
      </c>
      <c r="H983" s="24" t="s">
        <v>18</v>
      </c>
      <c r="I983" s="24">
        <v>3690</v>
      </c>
      <c r="J983" s="24">
        <v>2</v>
      </c>
      <c r="K983" s="25">
        <f t="shared" si="45"/>
        <v>7380</v>
      </c>
      <c r="L983" s="26">
        <v>44937</v>
      </c>
      <c r="M983" s="25" t="str">
        <f t="shared" si="46"/>
        <v>Wednesday</v>
      </c>
      <c r="N983" s="25" t="str">
        <f t="shared" si="47"/>
        <v>Weekday</v>
      </c>
      <c r="Q983" s="25"/>
      <c r="R983" s="24"/>
      <c r="S983" s="27"/>
      <c r="T983"/>
      <c r="U983" s="6"/>
      <c r="W983" s="7"/>
      <c r="Z983" s="4"/>
    </row>
    <row r="984" spans="1:26" x14ac:dyDescent="0.3">
      <c r="A984" t="s">
        <v>1355</v>
      </c>
      <c r="B984" s="16" t="s">
        <v>64</v>
      </c>
      <c r="C984" s="17" t="s">
        <v>20</v>
      </c>
      <c r="D984" s="18" t="s">
        <v>324</v>
      </c>
      <c r="E984" s="19">
        <v>58</v>
      </c>
      <c r="F984" t="s">
        <v>375</v>
      </c>
      <c r="G984" s="18" t="s">
        <v>26</v>
      </c>
      <c r="H984" s="18" t="s">
        <v>27</v>
      </c>
      <c r="I984" s="18">
        <v>24600</v>
      </c>
      <c r="J984" s="18">
        <v>4</v>
      </c>
      <c r="K984" s="19">
        <f t="shared" si="45"/>
        <v>98400</v>
      </c>
      <c r="L984" s="20">
        <v>45141</v>
      </c>
      <c r="M984" s="19" t="str">
        <f t="shared" si="46"/>
        <v>Thursday</v>
      </c>
      <c r="N984" s="19" t="str">
        <f t="shared" si="47"/>
        <v>Weekday</v>
      </c>
      <c r="Q984" s="19"/>
      <c r="R984" s="18"/>
      <c r="S984" s="21"/>
      <c r="T984"/>
      <c r="U984" s="6"/>
      <c r="W984" s="7"/>
      <c r="Z984" s="4"/>
    </row>
    <row r="985" spans="1:26" x14ac:dyDescent="0.3">
      <c r="A985" t="s">
        <v>1356</v>
      </c>
      <c r="B985" s="22" t="s">
        <v>243</v>
      </c>
      <c r="C985" s="23" t="s">
        <v>11</v>
      </c>
      <c r="D985" s="24" t="s">
        <v>323</v>
      </c>
      <c r="E985" s="25">
        <v>52</v>
      </c>
      <c r="F985" t="s">
        <v>375</v>
      </c>
      <c r="G985" s="24" t="s">
        <v>26</v>
      </c>
      <c r="H985" s="24" t="s">
        <v>27</v>
      </c>
      <c r="I985" s="24">
        <v>24600</v>
      </c>
      <c r="J985" s="24">
        <v>2</v>
      </c>
      <c r="K985" s="25">
        <f t="shared" si="45"/>
        <v>49200</v>
      </c>
      <c r="L985" s="26">
        <v>45194</v>
      </c>
      <c r="M985" s="25" t="str">
        <f t="shared" si="46"/>
        <v>Monday</v>
      </c>
      <c r="N985" s="25" t="str">
        <f t="shared" si="47"/>
        <v>Weekday</v>
      </c>
      <c r="Q985" s="25"/>
      <c r="R985" s="24"/>
      <c r="S985" s="27"/>
      <c r="T985"/>
      <c r="U985" s="6"/>
      <c r="W985" s="7"/>
      <c r="Z985" s="4"/>
    </row>
    <row r="986" spans="1:26" x14ac:dyDescent="0.3">
      <c r="A986" t="s">
        <v>1357</v>
      </c>
      <c r="B986" s="16" t="s">
        <v>317</v>
      </c>
      <c r="C986" s="17" t="s">
        <v>11</v>
      </c>
      <c r="D986" s="18" t="s">
        <v>322</v>
      </c>
      <c r="E986" s="19">
        <v>18</v>
      </c>
      <c r="F986" t="s">
        <v>381</v>
      </c>
      <c r="G986" s="18" t="s">
        <v>32</v>
      </c>
      <c r="H986" s="18" t="s">
        <v>18</v>
      </c>
      <c r="I986" s="18">
        <v>3690</v>
      </c>
      <c r="J986" s="18">
        <v>3</v>
      </c>
      <c r="K986" s="19">
        <f t="shared" si="45"/>
        <v>11070</v>
      </c>
      <c r="L986" s="20">
        <v>45219</v>
      </c>
      <c r="M986" s="19" t="str">
        <f t="shared" si="46"/>
        <v>Friday</v>
      </c>
      <c r="N986" s="19" t="str">
        <f t="shared" si="47"/>
        <v>Weekend</v>
      </c>
      <c r="Q986" s="19"/>
      <c r="R986" s="18"/>
      <c r="S986" s="21"/>
      <c r="T986"/>
      <c r="U986" s="6"/>
      <c r="W986" s="7"/>
      <c r="Z986" s="4"/>
    </row>
    <row r="987" spans="1:26" x14ac:dyDescent="0.3">
      <c r="A987" t="s">
        <v>1358</v>
      </c>
      <c r="B987" s="22" t="s">
        <v>160</v>
      </c>
      <c r="C987" s="23" t="s">
        <v>11</v>
      </c>
      <c r="D987" s="24" t="s">
        <v>323</v>
      </c>
      <c r="E987" s="25">
        <v>32</v>
      </c>
      <c r="F987" t="s">
        <v>373</v>
      </c>
      <c r="G987" s="24" t="s">
        <v>17</v>
      </c>
      <c r="H987" s="24" t="s">
        <v>18</v>
      </c>
      <c r="I987" s="24">
        <v>12300</v>
      </c>
      <c r="J987" s="24">
        <v>5</v>
      </c>
      <c r="K987" s="25">
        <f t="shared" si="45"/>
        <v>61500</v>
      </c>
      <c r="L987" s="26">
        <v>44927</v>
      </c>
      <c r="M987" s="25" t="str">
        <f t="shared" si="46"/>
        <v>Sunday</v>
      </c>
      <c r="N987" s="25" t="str">
        <f t="shared" si="47"/>
        <v>Weekday</v>
      </c>
      <c r="Q987" s="25"/>
      <c r="R987" s="24"/>
      <c r="S987" s="27"/>
      <c r="T987"/>
      <c r="U987" s="6"/>
      <c r="W987" s="7"/>
      <c r="Z987" s="4"/>
    </row>
    <row r="988" spans="1:26" x14ac:dyDescent="0.3">
      <c r="A988" t="s">
        <v>1359</v>
      </c>
      <c r="B988" s="16" t="s">
        <v>244</v>
      </c>
      <c r="C988" s="17" t="s">
        <v>20</v>
      </c>
      <c r="D988" s="18" t="s">
        <v>322</v>
      </c>
      <c r="E988" s="19">
        <v>68</v>
      </c>
      <c r="F988" t="s">
        <v>373</v>
      </c>
      <c r="G988" s="18" t="s">
        <v>42</v>
      </c>
      <c r="H988" s="18" t="s">
        <v>14</v>
      </c>
      <c r="I988" s="18">
        <v>98400</v>
      </c>
      <c r="J988" s="18">
        <v>4</v>
      </c>
      <c r="K988" s="19">
        <f t="shared" si="45"/>
        <v>393600</v>
      </c>
      <c r="L988" s="20">
        <v>45143</v>
      </c>
      <c r="M988" s="19" t="str">
        <f t="shared" si="46"/>
        <v>Saturday</v>
      </c>
      <c r="N988" s="19" t="str">
        <f t="shared" si="47"/>
        <v>Weekend</v>
      </c>
      <c r="Q988" s="19"/>
      <c r="R988" s="18"/>
      <c r="S988" s="21"/>
      <c r="T988"/>
      <c r="U988" s="6"/>
      <c r="W988" s="7"/>
      <c r="Z988" s="4"/>
    </row>
    <row r="989" spans="1:26" x14ac:dyDescent="0.3">
      <c r="A989" t="s">
        <v>1360</v>
      </c>
      <c r="B989" s="22" t="s">
        <v>304</v>
      </c>
      <c r="C989" s="23" t="s">
        <v>11</v>
      </c>
      <c r="D989" s="24" t="s">
        <v>322</v>
      </c>
      <c r="E989" s="25">
        <v>26</v>
      </c>
      <c r="F989" t="s">
        <v>370</v>
      </c>
      <c r="G989" s="24" t="s">
        <v>26</v>
      </c>
      <c r="H989" s="24" t="s">
        <v>27</v>
      </c>
      <c r="I989" s="24">
        <v>24600</v>
      </c>
      <c r="J989" s="24">
        <v>2</v>
      </c>
      <c r="K989" s="25">
        <f t="shared" si="45"/>
        <v>49200</v>
      </c>
      <c r="L989" s="26">
        <v>44930</v>
      </c>
      <c r="M989" s="25" t="str">
        <f t="shared" si="46"/>
        <v>Wednesday</v>
      </c>
      <c r="N989" s="25" t="str">
        <f t="shared" si="47"/>
        <v>Weekday</v>
      </c>
      <c r="Q989" s="25"/>
      <c r="R989" s="24"/>
      <c r="S989" s="27"/>
      <c r="T989"/>
      <c r="U989" s="6"/>
      <c r="W989" s="7"/>
      <c r="Z989" s="4"/>
    </row>
    <row r="990" spans="1:26" x14ac:dyDescent="0.3">
      <c r="A990" t="s">
        <v>1361</v>
      </c>
      <c r="B990" s="16" t="s">
        <v>34</v>
      </c>
      <c r="C990" s="17" t="s">
        <v>20</v>
      </c>
      <c r="D990" s="18" t="s">
        <v>323</v>
      </c>
      <c r="E990" s="19">
        <v>49</v>
      </c>
      <c r="F990" t="s">
        <v>375</v>
      </c>
      <c r="G990" s="18" t="s">
        <v>17</v>
      </c>
      <c r="H990" s="18" t="s">
        <v>18</v>
      </c>
      <c r="I990" s="18">
        <v>12300</v>
      </c>
      <c r="J990" s="18">
        <v>1</v>
      </c>
      <c r="K990" s="19">
        <f t="shared" si="45"/>
        <v>12300</v>
      </c>
      <c r="L990" s="20">
        <v>44931</v>
      </c>
      <c r="M990" s="19" t="str">
        <f t="shared" si="46"/>
        <v>Thursday</v>
      </c>
      <c r="N990" s="19" t="str">
        <f t="shared" si="47"/>
        <v>Weekday</v>
      </c>
      <c r="Q990" s="19"/>
      <c r="R990" s="18"/>
      <c r="S990" s="21"/>
      <c r="T990"/>
      <c r="U990" s="6"/>
      <c r="W990" s="7"/>
      <c r="Z990" s="4"/>
    </row>
    <row r="991" spans="1:26" x14ac:dyDescent="0.3">
      <c r="A991" t="s">
        <v>1362</v>
      </c>
      <c r="B991" s="22" t="s">
        <v>95</v>
      </c>
      <c r="C991" s="23" t="s">
        <v>11</v>
      </c>
      <c r="D991" s="24" t="s">
        <v>322</v>
      </c>
      <c r="E991" s="25">
        <v>47</v>
      </c>
      <c r="F991" t="s">
        <v>381</v>
      </c>
      <c r="G991" s="24" t="s">
        <v>24</v>
      </c>
      <c r="H991" s="24" t="s">
        <v>14</v>
      </c>
      <c r="I991" s="24">
        <v>184500</v>
      </c>
      <c r="J991" s="24">
        <v>1</v>
      </c>
      <c r="K991" s="25">
        <f t="shared" si="45"/>
        <v>184500</v>
      </c>
      <c r="L991" s="26">
        <v>45017</v>
      </c>
      <c r="M991" s="25" t="str">
        <f t="shared" si="46"/>
        <v>Saturday</v>
      </c>
      <c r="N991" s="25" t="str">
        <f t="shared" si="47"/>
        <v>Weekend</v>
      </c>
      <c r="Q991" s="25"/>
      <c r="R991" s="24"/>
      <c r="S991" s="27"/>
      <c r="T991"/>
      <c r="U991" s="6"/>
      <c r="W991" s="7"/>
      <c r="Z991" s="4"/>
    </row>
    <row r="992" spans="1:26" x14ac:dyDescent="0.3">
      <c r="A992" t="s">
        <v>1363</v>
      </c>
      <c r="B992" s="16" t="s">
        <v>199</v>
      </c>
      <c r="C992" s="17" t="s">
        <v>20</v>
      </c>
      <c r="D992" s="18" t="s">
        <v>323</v>
      </c>
      <c r="E992" s="19">
        <v>45</v>
      </c>
      <c r="F992" t="s">
        <v>381</v>
      </c>
      <c r="G992" s="18" t="s">
        <v>32</v>
      </c>
      <c r="H992" s="18" t="s">
        <v>18</v>
      </c>
      <c r="I992" s="18">
        <v>3690</v>
      </c>
      <c r="J992" s="18">
        <v>5</v>
      </c>
      <c r="K992" s="19">
        <f t="shared" si="45"/>
        <v>18450</v>
      </c>
      <c r="L992" s="20">
        <v>45219</v>
      </c>
      <c r="M992" s="19" t="str">
        <f t="shared" si="46"/>
        <v>Friday</v>
      </c>
      <c r="N992" s="19" t="str">
        <f t="shared" si="47"/>
        <v>Weekend</v>
      </c>
      <c r="Q992" s="19"/>
      <c r="R992" s="18"/>
      <c r="S992" s="21"/>
      <c r="T992"/>
      <c r="U992" s="6"/>
      <c r="W992" s="7"/>
      <c r="Z992" s="4"/>
    </row>
    <row r="993" spans="1:26" x14ac:dyDescent="0.3">
      <c r="A993" t="s">
        <v>1364</v>
      </c>
      <c r="B993" s="22" t="s">
        <v>33</v>
      </c>
      <c r="C993" s="23" t="s">
        <v>11</v>
      </c>
      <c r="D993" s="24" t="s">
        <v>323</v>
      </c>
      <c r="E993" s="25">
        <v>29</v>
      </c>
      <c r="F993" t="s">
        <v>370</v>
      </c>
      <c r="G993" s="24" t="s">
        <v>24</v>
      </c>
      <c r="H993" s="24" t="s">
        <v>14</v>
      </c>
      <c r="I993" s="24">
        <v>184500</v>
      </c>
      <c r="J993" s="24">
        <v>5</v>
      </c>
      <c r="K993" s="25">
        <f t="shared" si="45"/>
        <v>922500</v>
      </c>
      <c r="L993" s="26">
        <v>44933</v>
      </c>
      <c r="M993" s="25" t="str">
        <f t="shared" si="46"/>
        <v>Saturday</v>
      </c>
      <c r="N993" s="25" t="str">
        <f t="shared" si="47"/>
        <v>Weekend</v>
      </c>
      <c r="Q993" s="25"/>
      <c r="R993" s="24"/>
      <c r="S993" s="27"/>
      <c r="T993"/>
      <c r="U993" s="6"/>
      <c r="W993" s="7"/>
      <c r="Z993" s="4"/>
    </row>
    <row r="994" spans="1:26" x14ac:dyDescent="0.3">
      <c r="A994" t="s">
        <v>1365</v>
      </c>
      <c r="B994" s="16" t="s">
        <v>313</v>
      </c>
      <c r="C994" s="17" t="s">
        <v>366</v>
      </c>
      <c r="D994" s="18" t="s">
        <v>325</v>
      </c>
      <c r="E994" s="19">
        <v>29</v>
      </c>
      <c r="F994" t="s">
        <v>373</v>
      </c>
      <c r="G994" s="18" t="s">
        <v>26</v>
      </c>
      <c r="H994" s="18" t="s">
        <v>27</v>
      </c>
      <c r="I994" s="18">
        <v>24600</v>
      </c>
      <c r="J994" s="18">
        <v>1</v>
      </c>
      <c r="K994" s="19">
        <f t="shared" si="45"/>
        <v>24600</v>
      </c>
      <c r="L994" s="20">
        <v>44956</v>
      </c>
      <c r="M994" s="19" t="str">
        <f t="shared" si="46"/>
        <v>Monday</v>
      </c>
      <c r="N994" s="19" t="str">
        <f t="shared" si="47"/>
        <v>Weekday</v>
      </c>
      <c r="Q994" s="19"/>
      <c r="R994" s="18"/>
      <c r="S994" s="21"/>
      <c r="T994"/>
      <c r="U994" s="6"/>
      <c r="W994" s="7"/>
      <c r="Z994" s="4"/>
    </row>
    <row r="995" spans="1:26" x14ac:dyDescent="0.3">
      <c r="A995" t="s">
        <v>1366</v>
      </c>
      <c r="B995" s="22" t="s">
        <v>103</v>
      </c>
      <c r="C995" s="24" t="s">
        <v>366</v>
      </c>
      <c r="D995" s="24" t="s">
        <v>326</v>
      </c>
      <c r="E995" s="24">
        <v>51</v>
      </c>
      <c r="F995" t="s">
        <v>381</v>
      </c>
      <c r="G995" s="24" t="s">
        <v>26</v>
      </c>
      <c r="H995" s="24" t="s">
        <v>27</v>
      </c>
      <c r="I995" s="24">
        <v>24600</v>
      </c>
      <c r="J995" s="24">
        <v>1</v>
      </c>
      <c r="K995" s="25">
        <f t="shared" si="45"/>
        <v>24600</v>
      </c>
      <c r="L995" s="26">
        <v>45393</v>
      </c>
      <c r="M995" s="24" t="str">
        <f t="shared" si="46"/>
        <v>Thursday</v>
      </c>
      <c r="N995" s="24" t="str">
        <f t="shared" si="47"/>
        <v>Weekday</v>
      </c>
      <c r="Q995" s="24"/>
      <c r="R995" s="24"/>
      <c r="S995" s="27"/>
      <c r="T995"/>
      <c r="U995" s="6"/>
      <c r="W995" s="7"/>
      <c r="Z995" s="4"/>
    </row>
    <row r="996" spans="1:26" x14ac:dyDescent="0.3">
      <c r="A996" t="s">
        <v>1367</v>
      </c>
      <c r="B996" s="16" t="s">
        <v>77</v>
      </c>
      <c r="C996" s="18" t="s">
        <v>366</v>
      </c>
      <c r="D996" s="18" t="s">
        <v>322</v>
      </c>
      <c r="E996" s="18">
        <v>49</v>
      </c>
      <c r="F996" t="s">
        <v>373</v>
      </c>
      <c r="G996" s="18" t="s">
        <v>42</v>
      </c>
      <c r="H996" s="18" t="s">
        <v>14</v>
      </c>
      <c r="I996" s="18">
        <v>98400</v>
      </c>
      <c r="J996" s="18">
        <v>4</v>
      </c>
      <c r="K996" s="19">
        <f t="shared" si="45"/>
        <v>393600</v>
      </c>
      <c r="L996" s="20">
        <v>45505</v>
      </c>
      <c r="M996" s="18" t="str">
        <f t="shared" si="46"/>
        <v>Thursday</v>
      </c>
      <c r="N996" s="18" t="str">
        <f t="shared" si="47"/>
        <v>Weekday</v>
      </c>
      <c r="Q996" s="18"/>
      <c r="R996" s="18"/>
      <c r="S996" s="21"/>
      <c r="T996"/>
      <c r="U996" s="6"/>
      <c r="W996" s="7"/>
      <c r="Z996" s="4"/>
    </row>
    <row r="997" spans="1:26" x14ac:dyDescent="0.3">
      <c r="A997" t="s">
        <v>1368</v>
      </c>
      <c r="B997" s="22" t="s">
        <v>99</v>
      </c>
      <c r="C997" s="24" t="s">
        <v>11</v>
      </c>
      <c r="D997" s="24" t="s">
        <v>327</v>
      </c>
      <c r="E997" s="24">
        <v>59</v>
      </c>
      <c r="F997" t="s">
        <v>381</v>
      </c>
      <c r="G997" s="24" t="s">
        <v>26</v>
      </c>
      <c r="H997" s="24" t="s">
        <v>27</v>
      </c>
      <c r="I997" s="24">
        <v>24600</v>
      </c>
      <c r="J997" s="24">
        <v>2</v>
      </c>
      <c r="K997" s="25">
        <f t="shared" si="45"/>
        <v>49200</v>
      </c>
      <c r="L997" s="26">
        <v>45546</v>
      </c>
      <c r="M997" s="24" t="str">
        <f t="shared" si="46"/>
        <v>Wednesday</v>
      </c>
      <c r="N997" s="24" t="str">
        <f t="shared" si="47"/>
        <v>Weekday</v>
      </c>
      <c r="Q997" s="24"/>
      <c r="R997" s="24"/>
      <c r="S997" s="27"/>
      <c r="T997"/>
      <c r="U997" s="6"/>
      <c r="W997" s="7"/>
      <c r="Z997" s="4"/>
    </row>
    <row r="998" spans="1:26" x14ac:dyDescent="0.3">
      <c r="A998" t="s">
        <v>1369</v>
      </c>
      <c r="B998" s="16" t="s">
        <v>229</v>
      </c>
      <c r="C998" s="18" t="s">
        <v>11</v>
      </c>
      <c r="D998" s="18" t="s">
        <v>324</v>
      </c>
      <c r="E998" s="18">
        <v>66</v>
      </c>
      <c r="F998" t="s">
        <v>381</v>
      </c>
      <c r="G998" s="18" t="s">
        <v>32</v>
      </c>
      <c r="H998" s="18" t="s">
        <v>18</v>
      </c>
      <c r="I998" s="18">
        <v>3690</v>
      </c>
      <c r="J998" s="18">
        <v>1</v>
      </c>
      <c r="K998" s="19">
        <f t="shared" si="45"/>
        <v>3690</v>
      </c>
      <c r="L998" s="20">
        <v>45563</v>
      </c>
      <c r="M998" s="18" t="str">
        <f t="shared" si="46"/>
        <v>Saturday</v>
      </c>
      <c r="N998" s="18" t="str">
        <f t="shared" si="47"/>
        <v>Weekend</v>
      </c>
      <c r="Q998" s="18"/>
      <c r="R998" s="18"/>
      <c r="S998" s="21"/>
      <c r="T998"/>
      <c r="U998" s="6"/>
      <c r="W998" s="7"/>
      <c r="Z998" s="4"/>
    </row>
    <row r="999" spans="1:26" x14ac:dyDescent="0.3">
      <c r="A999" t="s">
        <v>1370</v>
      </c>
      <c r="B999" s="22" t="s">
        <v>299</v>
      </c>
      <c r="C999" s="24" t="s">
        <v>366</v>
      </c>
      <c r="D999" s="24" t="s">
        <v>329</v>
      </c>
      <c r="E999" s="24">
        <v>44</v>
      </c>
      <c r="F999" t="s">
        <v>375</v>
      </c>
      <c r="G999" s="24" t="s">
        <v>26</v>
      </c>
      <c r="H999" s="24" t="s">
        <v>27</v>
      </c>
      <c r="I999" s="24">
        <v>24600</v>
      </c>
      <c r="J999" s="24">
        <v>3</v>
      </c>
      <c r="K999" s="25">
        <f t="shared" si="45"/>
        <v>73800</v>
      </c>
      <c r="L999" s="26">
        <v>45612</v>
      </c>
      <c r="M999" s="24" t="str">
        <f t="shared" si="46"/>
        <v>Saturday</v>
      </c>
      <c r="N999" s="24" t="str">
        <f t="shared" si="47"/>
        <v>Weekend</v>
      </c>
      <c r="Q999" s="24"/>
      <c r="R999" s="24"/>
      <c r="S999" s="27"/>
      <c r="T999"/>
      <c r="U999" s="6"/>
      <c r="W999" s="7"/>
      <c r="Z999" s="4"/>
    </row>
    <row r="1000" spans="1:26" x14ac:dyDescent="0.3">
      <c r="A1000" t="s">
        <v>1371</v>
      </c>
      <c r="B1000" s="16" t="s">
        <v>303</v>
      </c>
      <c r="C1000" s="18" t="s">
        <v>20</v>
      </c>
      <c r="D1000" s="18" t="s">
        <v>322</v>
      </c>
      <c r="E1000" s="18">
        <v>60</v>
      </c>
      <c r="F1000" t="s">
        <v>373</v>
      </c>
      <c r="G1000" s="18" t="s">
        <v>13</v>
      </c>
      <c r="H1000" s="18" t="s">
        <v>14</v>
      </c>
      <c r="I1000" s="18">
        <v>36900</v>
      </c>
      <c r="J1000" s="18">
        <v>5</v>
      </c>
      <c r="K1000" s="19">
        <f t="shared" si="45"/>
        <v>184500</v>
      </c>
      <c r="L1000" s="20">
        <v>45495</v>
      </c>
      <c r="M1000" s="18" t="str">
        <f t="shared" si="46"/>
        <v>Monday</v>
      </c>
      <c r="N1000" s="18" t="str">
        <f t="shared" si="47"/>
        <v>Weekday</v>
      </c>
      <c r="Q1000" s="18"/>
      <c r="R1000" s="18"/>
      <c r="S1000" s="21"/>
      <c r="T1000"/>
      <c r="U1000" s="6"/>
      <c r="W1000" s="7"/>
      <c r="Z1000" s="4"/>
    </row>
    <row r="1001" spans="1:26" x14ac:dyDescent="0.3">
      <c r="A1001" t="s">
        <v>1372</v>
      </c>
      <c r="B1001" s="22" t="s">
        <v>173</v>
      </c>
      <c r="C1001" s="24" t="s">
        <v>20</v>
      </c>
      <c r="D1001" s="24" t="s">
        <v>325</v>
      </c>
      <c r="E1001" s="24">
        <v>55</v>
      </c>
      <c r="F1001" t="s">
        <v>381</v>
      </c>
      <c r="G1001" s="24" t="s">
        <v>17</v>
      </c>
      <c r="H1001" s="24" t="s">
        <v>18</v>
      </c>
      <c r="I1001" s="24">
        <v>12300</v>
      </c>
      <c r="J1001" s="24">
        <v>1</v>
      </c>
      <c r="K1001" s="25">
        <f t="shared" si="45"/>
        <v>12300</v>
      </c>
      <c r="L1001" s="26">
        <v>45468</v>
      </c>
      <c r="M1001" s="24" t="str">
        <f t="shared" si="46"/>
        <v>Tuesday</v>
      </c>
      <c r="N1001" s="24" t="str">
        <f t="shared" si="47"/>
        <v>Weekday</v>
      </c>
      <c r="Q1001" s="24"/>
      <c r="R1001" s="24"/>
      <c r="S1001" s="27"/>
      <c r="T1001"/>
      <c r="U1001" s="6"/>
      <c r="W1001" s="7"/>
      <c r="Z1001" s="4"/>
    </row>
    <row r="1002" spans="1:26" x14ac:dyDescent="0.3">
      <c r="A1002" t="s">
        <v>1373</v>
      </c>
      <c r="B1002" s="16" t="s">
        <v>77</v>
      </c>
      <c r="C1002" s="18" t="s">
        <v>366</v>
      </c>
      <c r="D1002" s="18" t="s">
        <v>322</v>
      </c>
      <c r="E1002" s="18">
        <v>49</v>
      </c>
      <c r="F1002" t="s">
        <v>375</v>
      </c>
      <c r="G1002" s="18" t="s">
        <v>26</v>
      </c>
      <c r="H1002" s="18" t="s">
        <v>27</v>
      </c>
      <c r="I1002" s="18">
        <v>24600</v>
      </c>
      <c r="J1002" s="18">
        <v>2</v>
      </c>
      <c r="K1002" s="19">
        <f t="shared" si="45"/>
        <v>49200</v>
      </c>
      <c r="L1002" s="20">
        <v>45353</v>
      </c>
      <c r="M1002" s="18" t="str">
        <f t="shared" si="46"/>
        <v>Saturday</v>
      </c>
      <c r="N1002" s="18" t="str">
        <f t="shared" si="47"/>
        <v>Weekend</v>
      </c>
      <c r="Q1002" s="18"/>
      <c r="R1002" s="18"/>
      <c r="S1002" s="21"/>
      <c r="T1002"/>
      <c r="U1002" s="6"/>
      <c r="W1002" s="7"/>
      <c r="Z1002" s="4"/>
    </row>
    <row r="1003" spans="1:26" x14ac:dyDescent="0.3">
      <c r="A1003" t="s">
        <v>1374</v>
      </c>
      <c r="B1003" s="22" t="s">
        <v>192</v>
      </c>
      <c r="C1003" s="24" t="s">
        <v>20</v>
      </c>
      <c r="D1003" s="24" t="s">
        <v>322</v>
      </c>
      <c r="E1003" s="24">
        <v>59</v>
      </c>
      <c r="F1003" t="s">
        <v>381</v>
      </c>
      <c r="G1003" s="24" t="s">
        <v>42</v>
      </c>
      <c r="H1003" s="24" t="s">
        <v>14</v>
      </c>
      <c r="I1003" s="24">
        <v>98400</v>
      </c>
      <c r="J1003" s="24">
        <v>1</v>
      </c>
      <c r="K1003" s="25">
        <f t="shared" si="45"/>
        <v>98400</v>
      </c>
      <c r="L1003" s="26">
        <v>45365</v>
      </c>
      <c r="M1003" s="24" t="str">
        <f t="shared" si="46"/>
        <v>Thursday</v>
      </c>
      <c r="N1003" s="24" t="str">
        <f t="shared" si="47"/>
        <v>Weekday</v>
      </c>
      <c r="Q1003" s="24"/>
      <c r="R1003" s="24"/>
      <c r="S1003" s="27"/>
      <c r="T1003"/>
      <c r="U1003" s="6"/>
      <c r="W1003" s="7"/>
      <c r="Z1003" s="4"/>
    </row>
    <row r="1004" spans="1:26" x14ac:dyDescent="0.3">
      <c r="A1004" t="s">
        <v>1375</v>
      </c>
      <c r="B1004" s="16" t="s">
        <v>100</v>
      </c>
      <c r="C1004" s="18" t="s">
        <v>366</v>
      </c>
      <c r="D1004" s="18" t="s">
        <v>328</v>
      </c>
      <c r="E1004" s="18">
        <v>40</v>
      </c>
      <c r="F1004" t="s">
        <v>375</v>
      </c>
      <c r="G1004" s="18" t="s">
        <v>17</v>
      </c>
      <c r="H1004" s="18" t="s">
        <v>18</v>
      </c>
      <c r="I1004" s="18">
        <v>12300</v>
      </c>
      <c r="J1004" s="18">
        <v>5</v>
      </c>
      <c r="K1004" s="19">
        <f t="shared" si="45"/>
        <v>61500</v>
      </c>
      <c r="L1004" s="20">
        <v>45530</v>
      </c>
      <c r="M1004" s="18" t="str">
        <f t="shared" si="46"/>
        <v>Monday</v>
      </c>
      <c r="N1004" s="18" t="str">
        <f t="shared" si="47"/>
        <v>Weekday</v>
      </c>
      <c r="Q1004" s="18"/>
      <c r="R1004" s="18"/>
      <c r="S1004" s="21"/>
      <c r="T1004"/>
      <c r="U1004" s="6"/>
      <c r="W1004" s="7"/>
      <c r="Z1004" s="4"/>
    </row>
    <row r="1005" spans="1:26" x14ac:dyDescent="0.3">
      <c r="A1005" t="s">
        <v>1376</v>
      </c>
      <c r="B1005" s="22" t="s">
        <v>118</v>
      </c>
      <c r="C1005" s="24" t="s">
        <v>20</v>
      </c>
      <c r="D1005" s="24" t="s">
        <v>323</v>
      </c>
      <c r="E1005" s="24">
        <v>20</v>
      </c>
      <c r="F1005" t="s">
        <v>375</v>
      </c>
      <c r="G1005" s="24" t="s">
        <v>17</v>
      </c>
      <c r="H1005" s="24" t="s">
        <v>18</v>
      </c>
      <c r="I1005" s="24">
        <v>12300</v>
      </c>
      <c r="J1005" s="24">
        <v>2</v>
      </c>
      <c r="K1005" s="25">
        <f t="shared" si="45"/>
        <v>24600</v>
      </c>
      <c r="L1005" s="26">
        <v>45371</v>
      </c>
      <c r="M1005" s="24" t="str">
        <f t="shared" si="46"/>
        <v>Wednesday</v>
      </c>
      <c r="N1005" s="24" t="str">
        <f t="shared" si="47"/>
        <v>Weekday</v>
      </c>
      <c r="Q1005" s="24"/>
      <c r="R1005" s="24"/>
      <c r="S1005" s="27"/>
      <c r="T1005"/>
      <c r="U1005" s="6"/>
      <c r="W1005" s="7"/>
      <c r="Z1005" s="4"/>
    </row>
    <row r="1006" spans="1:26" x14ac:dyDescent="0.3">
      <c r="A1006" t="s">
        <v>1377</v>
      </c>
      <c r="B1006" s="16" t="s">
        <v>149</v>
      </c>
      <c r="C1006" s="18" t="s">
        <v>366</v>
      </c>
      <c r="D1006" s="18" t="s">
        <v>322</v>
      </c>
      <c r="E1006" s="18">
        <v>58</v>
      </c>
      <c r="F1006" t="s">
        <v>373</v>
      </c>
      <c r="G1006" s="18" t="s">
        <v>26</v>
      </c>
      <c r="H1006" s="18" t="s">
        <v>27</v>
      </c>
      <c r="I1006" s="18">
        <v>24600</v>
      </c>
      <c r="J1006" s="18">
        <v>5</v>
      </c>
      <c r="K1006" s="19">
        <f t="shared" si="45"/>
        <v>123000</v>
      </c>
      <c r="L1006" s="20">
        <v>45647</v>
      </c>
      <c r="M1006" s="18" t="str">
        <f t="shared" si="46"/>
        <v>Saturday</v>
      </c>
      <c r="N1006" s="18" t="str">
        <f t="shared" si="47"/>
        <v>Weekend</v>
      </c>
      <c r="Q1006" s="18"/>
      <c r="R1006" s="18"/>
      <c r="S1006" s="21"/>
      <c r="T1006"/>
      <c r="U1006" s="6"/>
      <c r="W1006" s="7"/>
      <c r="Z1006" s="4"/>
    </row>
    <row r="1007" spans="1:26" x14ac:dyDescent="0.3">
      <c r="A1007" t="s">
        <v>1378</v>
      </c>
      <c r="B1007" s="22" t="s">
        <v>156</v>
      </c>
      <c r="C1007" s="24" t="s">
        <v>20</v>
      </c>
      <c r="D1007" s="24" t="s">
        <v>326</v>
      </c>
      <c r="E1007" s="24">
        <v>23</v>
      </c>
      <c r="F1007" t="s">
        <v>375</v>
      </c>
      <c r="G1007" s="24" t="s">
        <v>26</v>
      </c>
      <c r="H1007" s="24" t="s">
        <v>27</v>
      </c>
      <c r="I1007" s="24">
        <v>24600</v>
      </c>
      <c r="J1007" s="24">
        <v>3</v>
      </c>
      <c r="K1007" s="25">
        <f t="shared" si="45"/>
        <v>73800</v>
      </c>
      <c r="L1007" s="26">
        <v>45625</v>
      </c>
      <c r="M1007" s="24" t="str">
        <f t="shared" si="46"/>
        <v>Friday</v>
      </c>
      <c r="N1007" s="24" t="str">
        <f t="shared" si="47"/>
        <v>Weekend</v>
      </c>
      <c r="Q1007" s="24"/>
      <c r="R1007" s="24"/>
      <c r="S1007" s="27"/>
      <c r="T1007"/>
      <c r="U1007" s="6"/>
      <c r="W1007" s="7"/>
      <c r="Z1007" s="4"/>
    </row>
    <row r="1008" spans="1:26" x14ac:dyDescent="0.3">
      <c r="A1008" t="s">
        <v>1379</v>
      </c>
      <c r="B1008" s="16" t="s">
        <v>173</v>
      </c>
      <c r="C1008" s="18" t="s">
        <v>20</v>
      </c>
      <c r="D1008" s="18" t="s">
        <v>325</v>
      </c>
      <c r="E1008" s="18">
        <v>55</v>
      </c>
      <c r="F1008" t="s">
        <v>381</v>
      </c>
      <c r="G1008" s="18" t="s">
        <v>32</v>
      </c>
      <c r="H1008" s="18" t="s">
        <v>18</v>
      </c>
      <c r="I1008" s="18">
        <v>3690</v>
      </c>
      <c r="J1008" s="18">
        <v>5</v>
      </c>
      <c r="K1008" s="19">
        <f t="shared" si="45"/>
        <v>18450</v>
      </c>
      <c r="L1008" s="20">
        <v>45596</v>
      </c>
      <c r="M1008" s="18" t="str">
        <f t="shared" si="46"/>
        <v>Thursday</v>
      </c>
      <c r="N1008" s="18" t="str">
        <f t="shared" si="47"/>
        <v>Weekday</v>
      </c>
      <c r="Q1008" s="18"/>
      <c r="R1008" s="18"/>
      <c r="S1008" s="21"/>
      <c r="T1008"/>
      <c r="U1008" s="6"/>
      <c r="W1008" s="7"/>
      <c r="Z1008" s="4"/>
    </row>
    <row r="1009" spans="1:26" x14ac:dyDescent="0.3">
      <c r="A1009" t="s">
        <v>1380</v>
      </c>
      <c r="B1009" s="22" t="s">
        <v>202</v>
      </c>
      <c r="C1009" s="24" t="s">
        <v>11</v>
      </c>
      <c r="D1009" s="24" t="s">
        <v>324</v>
      </c>
      <c r="E1009" s="24">
        <v>44</v>
      </c>
      <c r="F1009" t="s">
        <v>370</v>
      </c>
      <c r="G1009" s="24" t="s">
        <v>31</v>
      </c>
      <c r="H1009" s="24" t="s">
        <v>18</v>
      </c>
      <c r="I1009" s="24">
        <v>6150</v>
      </c>
      <c r="J1009" s="24">
        <v>3</v>
      </c>
      <c r="K1009" s="25">
        <f t="shared" si="45"/>
        <v>18450</v>
      </c>
      <c r="L1009" s="26">
        <v>45374</v>
      </c>
      <c r="M1009" s="24" t="str">
        <f t="shared" si="46"/>
        <v>Saturday</v>
      </c>
      <c r="N1009" s="24" t="str">
        <f t="shared" si="47"/>
        <v>Weekend</v>
      </c>
      <c r="Q1009" s="24"/>
      <c r="R1009" s="24"/>
      <c r="S1009" s="27"/>
      <c r="T1009"/>
      <c r="U1009" s="6"/>
      <c r="W1009" s="7"/>
      <c r="Z1009" s="4"/>
    </row>
    <row r="1010" spans="1:26" x14ac:dyDescent="0.3">
      <c r="A1010" t="s">
        <v>1381</v>
      </c>
      <c r="B1010" s="16" t="s">
        <v>154</v>
      </c>
      <c r="C1010" s="18" t="s">
        <v>11</v>
      </c>
      <c r="D1010" s="18" t="s">
        <v>328</v>
      </c>
      <c r="E1010" s="18">
        <v>53</v>
      </c>
      <c r="F1010" t="s">
        <v>381</v>
      </c>
      <c r="G1010" s="18" t="s">
        <v>26</v>
      </c>
      <c r="H1010" s="18" t="s">
        <v>27</v>
      </c>
      <c r="I1010" s="18">
        <v>24600</v>
      </c>
      <c r="J1010" s="18">
        <v>3</v>
      </c>
      <c r="K1010" s="19">
        <f t="shared" si="45"/>
        <v>73800</v>
      </c>
      <c r="L1010" s="20">
        <v>45532</v>
      </c>
      <c r="M1010" s="18" t="str">
        <f t="shared" si="46"/>
        <v>Wednesday</v>
      </c>
      <c r="N1010" s="18" t="str">
        <f t="shared" si="47"/>
        <v>Weekday</v>
      </c>
      <c r="Q1010" s="18"/>
      <c r="R1010" s="18"/>
      <c r="S1010" s="21"/>
      <c r="T1010"/>
      <c r="U1010" s="6"/>
      <c r="W1010" s="7"/>
      <c r="Z1010" s="4"/>
    </row>
    <row r="1011" spans="1:26" x14ac:dyDescent="0.3">
      <c r="A1011" t="s">
        <v>1382</v>
      </c>
      <c r="B1011" s="22" t="s">
        <v>273</v>
      </c>
      <c r="C1011" s="24" t="s">
        <v>366</v>
      </c>
      <c r="D1011" s="24" t="s">
        <v>322</v>
      </c>
      <c r="E1011" s="24">
        <v>65</v>
      </c>
      <c r="F1011" t="s">
        <v>381</v>
      </c>
      <c r="G1011" s="24" t="s">
        <v>13</v>
      </c>
      <c r="H1011" s="24" t="s">
        <v>14</v>
      </c>
      <c r="I1011" s="24">
        <v>36900</v>
      </c>
      <c r="J1011" s="24">
        <v>2</v>
      </c>
      <c r="K1011" s="25">
        <f t="shared" si="45"/>
        <v>73800</v>
      </c>
      <c r="L1011" s="26">
        <v>45645</v>
      </c>
      <c r="M1011" s="24" t="str">
        <f t="shared" si="46"/>
        <v>Thursday</v>
      </c>
      <c r="N1011" s="24" t="str">
        <f t="shared" si="47"/>
        <v>Weekday</v>
      </c>
      <c r="Q1011" s="24"/>
      <c r="R1011" s="24"/>
      <c r="S1011" s="27"/>
      <c r="T1011"/>
      <c r="U1011" s="6"/>
      <c r="W1011" s="7"/>
      <c r="Z1011" s="4"/>
    </row>
    <row r="1012" spans="1:26" x14ac:dyDescent="0.3">
      <c r="A1012" t="s">
        <v>1383</v>
      </c>
      <c r="B1012" s="16" t="s">
        <v>177</v>
      </c>
      <c r="C1012" s="18" t="s">
        <v>11</v>
      </c>
      <c r="D1012" s="18" t="s">
        <v>324</v>
      </c>
      <c r="E1012" s="18">
        <v>58</v>
      </c>
      <c r="F1012" t="s">
        <v>375</v>
      </c>
      <c r="G1012" s="18" t="s">
        <v>32</v>
      </c>
      <c r="H1012" s="18" t="s">
        <v>18</v>
      </c>
      <c r="I1012" s="18">
        <v>3690</v>
      </c>
      <c r="J1012" s="18">
        <v>3</v>
      </c>
      <c r="K1012" s="19">
        <f t="shared" si="45"/>
        <v>11070</v>
      </c>
      <c r="L1012" s="20">
        <v>45609</v>
      </c>
      <c r="M1012" s="18" t="str">
        <f t="shared" si="46"/>
        <v>Wednesday</v>
      </c>
      <c r="N1012" s="18" t="str">
        <f t="shared" si="47"/>
        <v>Weekday</v>
      </c>
      <c r="Q1012" s="18"/>
      <c r="R1012" s="18"/>
      <c r="S1012" s="21"/>
      <c r="T1012"/>
      <c r="U1012" s="6"/>
      <c r="W1012" s="7"/>
      <c r="Z1012" s="4"/>
    </row>
    <row r="1013" spans="1:26" x14ac:dyDescent="0.3">
      <c r="A1013" t="s">
        <v>1384</v>
      </c>
      <c r="B1013" s="22" t="s">
        <v>166</v>
      </c>
      <c r="C1013" s="24" t="s">
        <v>366</v>
      </c>
      <c r="D1013" s="24" t="s">
        <v>326</v>
      </c>
      <c r="E1013" s="24">
        <v>57</v>
      </c>
      <c r="F1013" t="s">
        <v>381</v>
      </c>
      <c r="G1013" s="24" t="s">
        <v>13</v>
      </c>
      <c r="H1013" s="24" t="s">
        <v>14</v>
      </c>
      <c r="I1013" s="24">
        <v>36900</v>
      </c>
      <c r="J1013" s="24">
        <v>5</v>
      </c>
      <c r="K1013" s="25">
        <f t="shared" si="45"/>
        <v>184500</v>
      </c>
      <c r="L1013" s="26">
        <v>45497</v>
      </c>
      <c r="M1013" s="24" t="str">
        <f t="shared" si="46"/>
        <v>Wednesday</v>
      </c>
      <c r="N1013" s="24" t="str">
        <f t="shared" si="47"/>
        <v>Weekday</v>
      </c>
      <c r="Q1013" s="24"/>
      <c r="R1013" s="24"/>
      <c r="S1013" s="27"/>
      <c r="T1013"/>
      <c r="U1013" s="6"/>
      <c r="W1013" s="7"/>
      <c r="Z1013" s="4"/>
    </row>
    <row r="1014" spans="1:26" x14ac:dyDescent="0.3">
      <c r="A1014" t="s">
        <v>1385</v>
      </c>
      <c r="B1014" s="16" t="s">
        <v>51</v>
      </c>
      <c r="C1014" s="18" t="s">
        <v>20</v>
      </c>
      <c r="D1014" s="18" t="s">
        <v>324</v>
      </c>
      <c r="E1014" s="18">
        <v>25</v>
      </c>
      <c r="F1014" t="s">
        <v>375</v>
      </c>
      <c r="G1014" s="18" t="s">
        <v>31</v>
      </c>
      <c r="H1014" s="18" t="s">
        <v>18</v>
      </c>
      <c r="I1014" s="18">
        <v>6150</v>
      </c>
      <c r="J1014" s="18">
        <v>4</v>
      </c>
      <c r="K1014" s="19">
        <f t="shared" si="45"/>
        <v>24600</v>
      </c>
      <c r="L1014" s="20">
        <v>45316</v>
      </c>
      <c r="M1014" s="18" t="str">
        <f t="shared" si="46"/>
        <v>Thursday</v>
      </c>
      <c r="N1014" s="18" t="str">
        <f t="shared" si="47"/>
        <v>Weekday</v>
      </c>
      <c r="Q1014" s="18"/>
      <c r="R1014" s="18"/>
      <c r="S1014" s="21"/>
      <c r="T1014"/>
      <c r="U1014" s="6"/>
      <c r="W1014" s="7"/>
      <c r="Z1014" s="4"/>
    </row>
    <row r="1015" spans="1:26" x14ac:dyDescent="0.3">
      <c r="A1015" t="s">
        <v>1386</v>
      </c>
      <c r="B1015" s="22" t="s">
        <v>143</v>
      </c>
      <c r="C1015" s="24" t="s">
        <v>20</v>
      </c>
      <c r="D1015" s="24" t="s">
        <v>323</v>
      </c>
      <c r="E1015" s="24">
        <v>39</v>
      </c>
      <c r="F1015" t="s">
        <v>373</v>
      </c>
      <c r="G1015" s="24" t="s">
        <v>31</v>
      </c>
      <c r="H1015" s="24" t="s">
        <v>18</v>
      </c>
      <c r="I1015" s="24">
        <v>6150</v>
      </c>
      <c r="J1015" s="24">
        <v>3</v>
      </c>
      <c r="K1015" s="25">
        <f t="shared" si="45"/>
        <v>18450</v>
      </c>
      <c r="L1015" s="26">
        <v>45311</v>
      </c>
      <c r="M1015" s="24" t="str">
        <f t="shared" si="46"/>
        <v>Saturday</v>
      </c>
      <c r="N1015" s="24" t="str">
        <f t="shared" si="47"/>
        <v>Weekend</v>
      </c>
      <c r="Q1015" s="24"/>
      <c r="R1015" s="24"/>
      <c r="S1015" s="27"/>
      <c r="T1015"/>
      <c r="U1015" s="6"/>
      <c r="W1015" s="7"/>
      <c r="Z1015" s="4"/>
    </row>
    <row r="1016" spans="1:26" x14ac:dyDescent="0.3">
      <c r="A1016" t="s">
        <v>1387</v>
      </c>
      <c r="B1016" s="16" t="s">
        <v>154</v>
      </c>
      <c r="C1016" s="18" t="s">
        <v>11</v>
      </c>
      <c r="D1016" s="18" t="s">
        <v>328</v>
      </c>
      <c r="E1016" s="18">
        <v>53</v>
      </c>
      <c r="F1016" t="s">
        <v>375</v>
      </c>
      <c r="G1016" s="18" t="s">
        <v>32</v>
      </c>
      <c r="H1016" s="18" t="s">
        <v>18</v>
      </c>
      <c r="I1016" s="18">
        <v>3690</v>
      </c>
      <c r="J1016" s="18">
        <v>2</v>
      </c>
      <c r="K1016" s="19">
        <f t="shared" si="45"/>
        <v>7380</v>
      </c>
      <c r="L1016" s="20">
        <v>45464</v>
      </c>
      <c r="M1016" s="18" t="str">
        <f t="shared" si="46"/>
        <v>Friday</v>
      </c>
      <c r="N1016" s="18" t="str">
        <f t="shared" si="47"/>
        <v>Weekend</v>
      </c>
      <c r="Q1016" s="18"/>
      <c r="R1016" s="18"/>
      <c r="S1016" s="21"/>
      <c r="T1016"/>
      <c r="U1016" s="6"/>
      <c r="W1016" s="7"/>
      <c r="Z1016" s="4"/>
    </row>
    <row r="1017" spans="1:26" x14ac:dyDescent="0.3">
      <c r="A1017" t="s">
        <v>1388</v>
      </c>
      <c r="B1017" s="22" t="s">
        <v>46</v>
      </c>
      <c r="C1017" s="24" t="s">
        <v>366</v>
      </c>
      <c r="D1017" s="24" t="s">
        <v>323</v>
      </c>
      <c r="E1017" s="24">
        <v>40</v>
      </c>
      <c r="F1017" t="s">
        <v>373</v>
      </c>
      <c r="G1017" s="24" t="s">
        <v>24</v>
      </c>
      <c r="H1017" s="24" t="s">
        <v>14</v>
      </c>
      <c r="I1017" s="24">
        <v>184500</v>
      </c>
      <c r="J1017" s="24">
        <v>4</v>
      </c>
      <c r="K1017" s="25">
        <f t="shared" si="45"/>
        <v>738000</v>
      </c>
      <c r="L1017" s="26">
        <v>45620</v>
      </c>
      <c r="M1017" s="24" t="str">
        <f t="shared" si="46"/>
        <v>Sunday</v>
      </c>
      <c r="N1017" s="24" t="str">
        <f t="shared" si="47"/>
        <v>Weekday</v>
      </c>
      <c r="Q1017" s="24"/>
      <c r="R1017" s="24"/>
      <c r="S1017" s="27"/>
      <c r="T1017"/>
      <c r="U1017" s="6"/>
      <c r="W1017" s="7"/>
      <c r="Z1017" s="4"/>
    </row>
    <row r="1018" spans="1:26" x14ac:dyDescent="0.3">
      <c r="A1018" t="s">
        <v>1389</v>
      </c>
      <c r="B1018" s="16" t="s">
        <v>93</v>
      </c>
      <c r="C1018" s="18" t="s">
        <v>366</v>
      </c>
      <c r="D1018" s="18" t="s">
        <v>327</v>
      </c>
      <c r="E1018" s="18">
        <v>54</v>
      </c>
      <c r="F1018" t="s">
        <v>370</v>
      </c>
      <c r="G1018" s="18" t="s">
        <v>13</v>
      </c>
      <c r="H1018" s="18" t="s">
        <v>14</v>
      </c>
      <c r="I1018" s="18">
        <v>36900</v>
      </c>
      <c r="J1018" s="18">
        <v>3</v>
      </c>
      <c r="K1018" s="19">
        <f t="shared" si="45"/>
        <v>110700</v>
      </c>
      <c r="L1018" s="20">
        <v>45388</v>
      </c>
      <c r="M1018" s="18" t="str">
        <f t="shared" si="46"/>
        <v>Saturday</v>
      </c>
      <c r="N1018" s="18" t="str">
        <f t="shared" si="47"/>
        <v>Weekend</v>
      </c>
      <c r="Q1018" s="18"/>
      <c r="R1018" s="18"/>
      <c r="S1018" s="21"/>
      <c r="T1018"/>
      <c r="U1018" s="6"/>
      <c r="W1018" s="7"/>
      <c r="Z1018" s="4"/>
    </row>
    <row r="1019" spans="1:26" x14ac:dyDescent="0.3">
      <c r="A1019" t="s">
        <v>1390</v>
      </c>
      <c r="B1019" s="22" t="s">
        <v>128</v>
      </c>
      <c r="C1019" s="24" t="s">
        <v>11</v>
      </c>
      <c r="D1019" s="24" t="s">
        <v>323</v>
      </c>
      <c r="E1019" s="24">
        <v>50</v>
      </c>
      <c r="F1019" t="s">
        <v>381</v>
      </c>
      <c r="G1019" s="24" t="s">
        <v>17</v>
      </c>
      <c r="H1019" s="24" t="s">
        <v>18</v>
      </c>
      <c r="I1019" s="24">
        <v>12300</v>
      </c>
      <c r="J1019" s="24">
        <v>5</v>
      </c>
      <c r="K1019" s="25">
        <f t="shared" si="45"/>
        <v>61500</v>
      </c>
      <c r="L1019" s="26">
        <v>45308</v>
      </c>
      <c r="M1019" s="24" t="str">
        <f t="shared" si="46"/>
        <v>Wednesday</v>
      </c>
      <c r="N1019" s="24" t="str">
        <f t="shared" si="47"/>
        <v>Weekday</v>
      </c>
      <c r="Q1019" s="24"/>
      <c r="R1019" s="24"/>
      <c r="S1019" s="27"/>
      <c r="T1019"/>
      <c r="U1019" s="6"/>
      <c r="W1019" s="7"/>
      <c r="Z1019" s="4"/>
    </row>
    <row r="1020" spans="1:26" x14ac:dyDescent="0.3">
      <c r="A1020" t="s">
        <v>1391</v>
      </c>
      <c r="B1020" s="16" t="s">
        <v>282</v>
      </c>
      <c r="C1020" s="18" t="s">
        <v>11</v>
      </c>
      <c r="D1020" s="18" t="s">
        <v>325</v>
      </c>
      <c r="E1020" s="18">
        <v>26</v>
      </c>
      <c r="F1020" t="s">
        <v>373</v>
      </c>
      <c r="G1020" s="18" t="s">
        <v>24</v>
      </c>
      <c r="H1020" s="18" t="s">
        <v>14</v>
      </c>
      <c r="I1020" s="18">
        <v>184500</v>
      </c>
      <c r="J1020" s="18">
        <v>2</v>
      </c>
      <c r="K1020" s="19">
        <f t="shared" si="45"/>
        <v>369000</v>
      </c>
      <c r="L1020" s="20">
        <v>45443</v>
      </c>
      <c r="M1020" s="18" t="str">
        <f t="shared" si="46"/>
        <v>Friday</v>
      </c>
      <c r="N1020" s="18" t="str">
        <f t="shared" si="47"/>
        <v>Weekend</v>
      </c>
      <c r="Q1020" s="18"/>
      <c r="R1020" s="18"/>
      <c r="S1020" s="21"/>
      <c r="T1020"/>
      <c r="U1020" s="6"/>
      <c r="W1020" s="7"/>
      <c r="Z1020" s="4"/>
    </row>
    <row r="1021" spans="1:26" x14ac:dyDescent="0.3">
      <c r="A1021" t="s">
        <v>1392</v>
      </c>
      <c r="B1021" s="22" t="s">
        <v>177</v>
      </c>
      <c r="C1021" s="24" t="s">
        <v>11</v>
      </c>
      <c r="D1021" s="24" t="s">
        <v>324</v>
      </c>
      <c r="E1021" s="24">
        <v>58</v>
      </c>
      <c r="F1021" t="s">
        <v>370</v>
      </c>
      <c r="G1021" s="24" t="s">
        <v>32</v>
      </c>
      <c r="H1021" s="24" t="s">
        <v>18</v>
      </c>
      <c r="I1021" s="24">
        <v>3690</v>
      </c>
      <c r="J1021" s="24">
        <v>3</v>
      </c>
      <c r="K1021" s="25">
        <f t="shared" si="45"/>
        <v>11070</v>
      </c>
      <c r="L1021" s="26">
        <v>45535</v>
      </c>
      <c r="M1021" s="24" t="str">
        <f t="shared" si="46"/>
        <v>Saturday</v>
      </c>
      <c r="N1021" s="24" t="str">
        <f t="shared" si="47"/>
        <v>Weekend</v>
      </c>
      <c r="Q1021" s="24"/>
      <c r="R1021" s="24"/>
      <c r="S1021" s="27"/>
      <c r="T1021"/>
      <c r="U1021" s="6"/>
      <c r="W1021" s="7"/>
      <c r="Z1021" s="4"/>
    </row>
    <row r="1022" spans="1:26" x14ac:dyDescent="0.3">
      <c r="A1022" t="s">
        <v>1393</v>
      </c>
      <c r="B1022" s="16" t="s">
        <v>64</v>
      </c>
      <c r="C1022" s="18" t="s">
        <v>20</v>
      </c>
      <c r="D1022" s="18" t="s">
        <v>324</v>
      </c>
      <c r="E1022" s="18">
        <v>58</v>
      </c>
      <c r="F1022" t="s">
        <v>375</v>
      </c>
      <c r="G1022" s="18" t="s">
        <v>17</v>
      </c>
      <c r="H1022" s="18" t="s">
        <v>18</v>
      </c>
      <c r="I1022" s="18">
        <v>12300</v>
      </c>
      <c r="J1022" s="18">
        <v>2</v>
      </c>
      <c r="K1022" s="19">
        <f t="shared" si="45"/>
        <v>24600</v>
      </c>
      <c r="L1022" s="20">
        <v>45618</v>
      </c>
      <c r="M1022" s="18" t="str">
        <f t="shared" si="46"/>
        <v>Friday</v>
      </c>
      <c r="N1022" s="18" t="str">
        <f t="shared" si="47"/>
        <v>Weekend</v>
      </c>
      <c r="Q1022" s="18"/>
      <c r="R1022" s="18"/>
      <c r="S1022" s="21"/>
      <c r="T1022"/>
      <c r="U1022" s="6"/>
      <c r="W1022" s="7"/>
      <c r="Z1022" s="4"/>
    </row>
    <row r="1023" spans="1:26" x14ac:dyDescent="0.3">
      <c r="A1023" t="s">
        <v>1394</v>
      </c>
      <c r="B1023" s="22" t="s">
        <v>229</v>
      </c>
      <c r="C1023" s="24" t="s">
        <v>11</v>
      </c>
      <c r="D1023" s="24" t="s">
        <v>324</v>
      </c>
      <c r="E1023" s="24">
        <v>66</v>
      </c>
      <c r="F1023" t="s">
        <v>370</v>
      </c>
      <c r="G1023" s="24" t="s">
        <v>42</v>
      </c>
      <c r="H1023" s="24" t="s">
        <v>14</v>
      </c>
      <c r="I1023" s="24">
        <v>98400</v>
      </c>
      <c r="J1023" s="24">
        <v>5</v>
      </c>
      <c r="K1023" s="25">
        <f t="shared" si="45"/>
        <v>492000</v>
      </c>
      <c r="L1023" s="26">
        <v>45536</v>
      </c>
      <c r="M1023" s="24" t="str">
        <f t="shared" si="46"/>
        <v>Sunday</v>
      </c>
      <c r="N1023" s="24" t="str">
        <f t="shared" si="47"/>
        <v>Weekday</v>
      </c>
      <c r="Q1023" s="24"/>
      <c r="R1023" s="24"/>
      <c r="S1023" s="27"/>
      <c r="T1023"/>
      <c r="U1023" s="6"/>
      <c r="W1023" s="7"/>
      <c r="Z1023" s="4"/>
    </row>
    <row r="1024" spans="1:26" x14ac:dyDescent="0.3">
      <c r="A1024" t="s">
        <v>1395</v>
      </c>
      <c r="B1024" s="16" t="s">
        <v>161</v>
      </c>
      <c r="C1024" s="18" t="s">
        <v>11</v>
      </c>
      <c r="D1024" s="18" t="s">
        <v>322</v>
      </c>
      <c r="E1024" s="18">
        <v>26</v>
      </c>
      <c r="F1024" t="s">
        <v>373</v>
      </c>
      <c r="G1024" s="18" t="s">
        <v>31</v>
      </c>
      <c r="H1024" s="18" t="s">
        <v>18</v>
      </c>
      <c r="I1024" s="18">
        <v>6150</v>
      </c>
      <c r="J1024" s="18">
        <v>1</v>
      </c>
      <c r="K1024" s="19">
        <f t="shared" si="45"/>
        <v>6150</v>
      </c>
      <c r="L1024" s="20">
        <v>45406</v>
      </c>
      <c r="M1024" s="18" t="str">
        <f t="shared" si="46"/>
        <v>Wednesday</v>
      </c>
      <c r="N1024" s="18" t="str">
        <f t="shared" si="47"/>
        <v>Weekday</v>
      </c>
      <c r="Q1024" s="18"/>
      <c r="R1024" s="18"/>
      <c r="S1024" s="21"/>
      <c r="T1024"/>
      <c r="U1024" s="6"/>
      <c r="W1024" s="7"/>
      <c r="Z1024" s="4"/>
    </row>
    <row r="1025" spans="1:26" x14ac:dyDescent="0.3">
      <c r="A1025" t="s">
        <v>1396</v>
      </c>
      <c r="B1025" s="22" t="s">
        <v>160</v>
      </c>
      <c r="C1025" s="24" t="s">
        <v>11</v>
      </c>
      <c r="D1025" s="24" t="s">
        <v>323</v>
      </c>
      <c r="E1025" s="24">
        <v>32</v>
      </c>
      <c r="F1025" t="s">
        <v>381</v>
      </c>
      <c r="G1025" s="24" t="s">
        <v>31</v>
      </c>
      <c r="H1025" s="24" t="s">
        <v>18</v>
      </c>
      <c r="I1025" s="24">
        <v>6150</v>
      </c>
      <c r="J1025" s="24">
        <v>4</v>
      </c>
      <c r="K1025" s="25">
        <f t="shared" si="45"/>
        <v>24600</v>
      </c>
      <c r="L1025" s="26">
        <v>45600</v>
      </c>
      <c r="M1025" s="24" t="str">
        <f t="shared" si="46"/>
        <v>Monday</v>
      </c>
      <c r="N1025" s="24" t="str">
        <f t="shared" si="47"/>
        <v>Weekday</v>
      </c>
      <c r="Q1025" s="24"/>
      <c r="R1025" s="24"/>
      <c r="S1025" s="27"/>
      <c r="T1025"/>
      <c r="U1025" s="6"/>
      <c r="W1025" s="7"/>
      <c r="Z1025" s="4"/>
    </row>
    <row r="1026" spans="1:26" x14ac:dyDescent="0.3">
      <c r="A1026" t="s">
        <v>1397</v>
      </c>
      <c r="B1026" s="16" t="s">
        <v>145</v>
      </c>
      <c r="C1026" s="18" t="s">
        <v>11</v>
      </c>
      <c r="D1026" s="18" t="s">
        <v>325</v>
      </c>
      <c r="E1026" s="18">
        <v>50</v>
      </c>
      <c r="F1026" t="s">
        <v>370</v>
      </c>
      <c r="G1026" s="18" t="s">
        <v>26</v>
      </c>
      <c r="H1026" s="18" t="s">
        <v>27</v>
      </c>
      <c r="I1026" s="18">
        <v>24600</v>
      </c>
      <c r="J1026" s="18">
        <v>1</v>
      </c>
      <c r="K1026" s="19">
        <f t="shared" ref="K1026:K1089" si="48">I1026*J1026</f>
        <v>24600</v>
      </c>
      <c r="L1026" s="20">
        <v>45515</v>
      </c>
      <c r="M1026" s="18" t="str">
        <f t="shared" ref="M1026:M1089" si="49">TEXT(L1026, "dddd")</f>
        <v>Sunday</v>
      </c>
      <c r="N1026" s="18" t="str">
        <f t="shared" ref="N1026:N1089" si="50">IF(OR(WEEKDAY(L1026, 2)=5, WEEKDAY(L1026, 2)=6), "Weekend", "Weekday")</f>
        <v>Weekday</v>
      </c>
      <c r="Q1026" s="18"/>
      <c r="R1026" s="18"/>
      <c r="S1026" s="21"/>
      <c r="T1026"/>
      <c r="U1026" s="6"/>
      <c r="W1026" s="7"/>
      <c r="Z1026" s="4"/>
    </row>
    <row r="1027" spans="1:26" x14ac:dyDescent="0.3">
      <c r="A1027" t="s">
        <v>1398</v>
      </c>
      <c r="B1027" s="22" t="s">
        <v>139</v>
      </c>
      <c r="C1027" s="24" t="s">
        <v>366</v>
      </c>
      <c r="D1027" s="24" t="s">
        <v>324</v>
      </c>
      <c r="E1027" s="24">
        <v>27</v>
      </c>
      <c r="F1027" t="s">
        <v>370</v>
      </c>
      <c r="G1027" s="24" t="s">
        <v>32</v>
      </c>
      <c r="H1027" s="24" t="s">
        <v>18</v>
      </c>
      <c r="I1027" s="24">
        <v>3690</v>
      </c>
      <c r="J1027" s="24">
        <v>1</v>
      </c>
      <c r="K1027" s="25">
        <f t="shared" si="48"/>
        <v>3690</v>
      </c>
      <c r="L1027" s="26">
        <v>45321</v>
      </c>
      <c r="M1027" s="24" t="str">
        <f t="shared" si="49"/>
        <v>Tuesday</v>
      </c>
      <c r="N1027" s="24" t="str">
        <f t="shared" si="50"/>
        <v>Weekday</v>
      </c>
      <c r="Q1027" s="24"/>
      <c r="R1027" s="24"/>
      <c r="S1027" s="27"/>
      <c r="T1027"/>
      <c r="U1027" s="6"/>
      <c r="W1027" s="7"/>
      <c r="Z1027" s="4"/>
    </row>
    <row r="1028" spans="1:26" x14ac:dyDescent="0.3">
      <c r="A1028" t="s">
        <v>1399</v>
      </c>
      <c r="B1028" s="16" t="s">
        <v>180</v>
      </c>
      <c r="C1028" s="18" t="s">
        <v>11</v>
      </c>
      <c r="D1028" s="18" t="s">
        <v>325</v>
      </c>
      <c r="E1028" s="18">
        <v>30</v>
      </c>
      <c r="F1028" t="s">
        <v>375</v>
      </c>
      <c r="G1028" s="18" t="s">
        <v>32</v>
      </c>
      <c r="H1028" s="18" t="s">
        <v>18</v>
      </c>
      <c r="I1028" s="18">
        <v>3690</v>
      </c>
      <c r="J1028" s="18">
        <v>4</v>
      </c>
      <c r="K1028" s="19">
        <f t="shared" si="48"/>
        <v>14760</v>
      </c>
      <c r="L1028" s="20">
        <v>45322</v>
      </c>
      <c r="M1028" s="18" t="str">
        <f t="shared" si="49"/>
        <v>Wednesday</v>
      </c>
      <c r="N1028" s="18" t="str">
        <f t="shared" si="50"/>
        <v>Weekday</v>
      </c>
      <c r="Q1028" s="18"/>
      <c r="R1028" s="18"/>
      <c r="S1028" s="21"/>
      <c r="T1028"/>
      <c r="U1028" s="6"/>
      <c r="W1028" s="7"/>
      <c r="Z1028" s="4"/>
    </row>
    <row r="1029" spans="1:26" x14ac:dyDescent="0.3">
      <c r="A1029" t="s">
        <v>1400</v>
      </c>
      <c r="B1029" s="22" t="s">
        <v>45</v>
      </c>
      <c r="C1029" s="24" t="s">
        <v>20</v>
      </c>
      <c r="D1029" s="24" t="s">
        <v>323</v>
      </c>
      <c r="E1029" s="24">
        <v>37</v>
      </c>
      <c r="F1029" t="s">
        <v>375</v>
      </c>
      <c r="G1029" s="24" t="s">
        <v>24</v>
      </c>
      <c r="H1029" s="24" t="s">
        <v>14</v>
      </c>
      <c r="I1029" s="24">
        <v>184500</v>
      </c>
      <c r="J1029" s="24">
        <v>4</v>
      </c>
      <c r="K1029" s="25">
        <f t="shared" si="48"/>
        <v>738000</v>
      </c>
      <c r="L1029" s="26">
        <v>45411</v>
      </c>
      <c r="M1029" s="24" t="str">
        <f t="shared" si="49"/>
        <v>Monday</v>
      </c>
      <c r="N1029" s="24" t="str">
        <f t="shared" si="50"/>
        <v>Weekday</v>
      </c>
      <c r="Q1029" s="24"/>
      <c r="R1029" s="24"/>
      <c r="S1029" s="27"/>
      <c r="T1029"/>
      <c r="U1029" s="6"/>
      <c r="W1029" s="7"/>
      <c r="Z1029" s="4"/>
    </row>
    <row r="1030" spans="1:26" x14ac:dyDescent="0.3">
      <c r="A1030" t="s">
        <v>1401</v>
      </c>
      <c r="B1030" s="16" t="s">
        <v>301</v>
      </c>
      <c r="C1030" s="18" t="s">
        <v>11</v>
      </c>
      <c r="D1030" s="18" t="s">
        <v>323</v>
      </c>
      <c r="E1030" s="18">
        <v>40</v>
      </c>
      <c r="F1030" t="s">
        <v>381</v>
      </c>
      <c r="G1030" s="18" t="s">
        <v>17</v>
      </c>
      <c r="H1030" s="18" t="s">
        <v>18</v>
      </c>
      <c r="I1030" s="18">
        <v>12300</v>
      </c>
      <c r="J1030" s="18">
        <v>4</v>
      </c>
      <c r="K1030" s="19">
        <f t="shared" si="48"/>
        <v>49200</v>
      </c>
      <c r="L1030" s="20">
        <v>45346</v>
      </c>
      <c r="M1030" s="18" t="str">
        <f t="shared" si="49"/>
        <v>Saturday</v>
      </c>
      <c r="N1030" s="18" t="str">
        <f t="shared" si="50"/>
        <v>Weekend</v>
      </c>
      <c r="Q1030" s="18"/>
      <c r="R1030" s="18"/>
      <c r="S1030" s="21"/>
      <c r="T1030"/>
      <c r="U1030" s="6"/>
      <c r="W1030" s="7"/>
      <c r="Z1030" s="4"/>
    </row>
    <row r="1031" spans="1:26" x14ac:dyDescent="0.3">
      <c r="A1031" t="s">
        <v>1402</v>
      </c>
      <c r="B1031" s="22" t="s">
        <v>302</v>
      </c>
      <c r="C1031" s="24" t="s">
        <v>20</v>
      </c>
      <c r="D1031" s="24" t="s">
        <v>326</v>
      </c>
      <c r="E1031" s="24">
        <v>41</v>
      </c>
      <c r="F1031" t="s">
        <v>375</v>
      </c>
      <c r="G1031" s="24" t="s">
        <v>26</v>
      </c>
      <c r="H1031" s="24" t="s">
        <v>27</v>
      </c>
      <c r="I1031" s="24">
        <v>24600</v>
      </c>
      <c r="J1031" s="24">
        <v>5</v>
      </c>
      <c r="K1031" s="25">
        <f t="shared" si="48"/>
        <v>123000</v>
      </c>
      <c r="L1031" s="26">
        <v>45411</v>
      </c>
      <c r="M1031" s="24" t="str">
        <f t="shared" si="49"/>
        <v>Monday</v>
      </c>
      <c r="N1031" s="24" t="str">
        <f t="shared" si="50"/>
        <v>Weekday</v>
      </c>
      <c r="Q1031" s="24"/>
      <c r="R1031" s="24"/>
      <c r="S1031" s="27"/>
      <c r="T1031"/>
      <c r="U1031" s="6"/>
      <c r="W1031" s="7"/>
      <c r="Z1031" s="4"/>
    </row>
    <row r="1032" spans="1:26" x14ac:dyDescent="0.3">
      <c r="A1032" t="s">
        <v>1403</v>
      </c>
      <c r="B1032" s="16" t="s">
        <v>238</v>
      </c>
      <c r="C1032" s="18" t="s">
        <v>366</v>
      </c>
      <c r="D1032" s="18" t="s">
        <v>329</v>
      </c>
      <c r="E1032" s="18">
        <v>57</v>
      </c>
      <c r="F1032" t="s">
        <v>373</v>
      </c>
      <c r="G1032" s="18" t="s">
        <v>32</v>
      </c>
      <c r="H1032" s="18" t="s">
        <v>18</v>
      </c>
      <c r="I1032" s="18">
        <v>3690</v>
      </c>
      <c r="J1032" s="18">
        <v>1</v>
      </c>
      <c r="K1032" s="19">
        <f t="shared" si="48"/>
        <v>3690</v>
      </c>
      <c r="L1032" s="20">
        <v>45305</v>
      </c>
      <c r="M1032" s="18" t="str">
        <f t="shared" si="49"/>
        <v>Sunday</v>
      </c>
      <c r="N1032" s="18" t="str">
        <f t="shared" si="50"/>
        <v>Weekday</v>
      </c>
      <c r="Q1032" s="18"/>
      <c r="R1032" s="18"/>
      <c r="S1032" s="21"/>
      <c r="T1032"/>
      <c r="U1032" s="6"/>
      <c r="W1032" s="7"/>
      <c r="Z1032" s="4"/>
    </row>
    <row r="1033" spans="1:26" x14ac:dyDescent="0.3">
      <c r="A1033" t="s">
        <v>1404</v>
      </c>
      <c r="B1033" s="22" t="s">
        <v>169</v>
      </c>
      <c r="C1033" s="24" t="s">
        <v>366</v>
      </c>
      <c r="D1033" s="24" t="s">
        <v>328</v>
      </c>
      <c r="E1033" s="24">
        <v>64</v>
      </c>
      <c r="F1033" t="s">
        <v>373</v>
      </c>
      <c r="G1033" s="24" t="s">
        <v>13</v>
      </c>
      <c r="H1033" s="24" t="s">
        <v>14</v>
      </c>
      <c r="I1033" s="24">
        <v>36900</v>
      </c>
      <c r="J1033" s="24">
        <v>3</v>
      </c>
      <c r="K1033" s="25">
        <f t="shared" si="48"/>
        <v>110700</v>
      </c>
      <c r="L1033" s="26">
        <v>45330</v>
      </c>
      <c r="M1033" s="24" t="str">
        <f t="shared" si="49"/>
        <v>Thursday</v>
      </c>
      <c r="N1033" s="24" t="str">
        <f t="shared" si="50"/>
        <v>Weekday</v>
      </c>
      <c r="Q1033" s="24"/>
      <c r="R1033" s="24"/>
      <c r="S1033" s="27"/>
      <c r="T1033"/>
      <c r="U1033" s="6"/>
      <c r="W1033" s="7"/>
      <c r="Z1033" s="4"/>
    </row>
    <row r="1034" spans="1:26" x14ac:dyDescent="0.3">
      <c r="A1034" t="s">
        <v>1405</v>
      </c>
      <c r="B1034" s="16" t="s">
        <v>211</v>
      </c>
      <c r="C1034" s="18" t="s">
        <v>366</v>
      </c>
      <c r="D1034" s="18" t="s">
        <v>329</v>
      </c>
      <c r="E1034" s="18">
        <v>41</v>
      </c>
      <c r="F1034" t="s">
        <v>370</v>
      </c>
      <c r="G1034" s="18" t="s">
        <v>13</v>
      </c>
      <c r="H1034" s="18" t="s">
        <v>14</v>
      </c>
      <c r="I1034" s="18">
        <v>36900</v>
      </c>
      <c r="J1034" s="18">
        <v>3</v>
      </c>
      <c r="K1034" s="19">
        <f t="shared" si="48"/>
        <v>110700</v>
      </c>
      <c r="L1034" s="20">
        <v>45303</v>
      </c>
      <c r="M1034" s="18" t="str">
        <f t="shared" si="49"/>
        <v>Friday</v>
      </c>
      <c r="N1034" s="18" t="str">
        <f t="shared" si="50"/>
        <v>Weekend</v>
      </c>
      <c r="Q1034" s="18"/>
      <c r="R1034" s="18"/>
      <c r="S1034" s="21"/>
      <c r="T1034"/>
      <c r="U1034" s="6"/>
      <c r="W1034" s="7"/>
      <c r="Z1034" s="4"/>
    </row>
    <row r="1035" spans="1:26" x14ac:dyDescent="0.3">
      <c r="A1035" t="s">
        <v>1406</v>
      </c>
      <c r="B1035" s="22" t="s">
        <v>57</v>
      </c>
      <c r="C1035" s="24" t="s">
        <v>366</v>
      </c>
      <c r="D1035" s="24" t="s">
        <v>322</v>
      </c>
      <c r="E1035" s="24">
        <v>58</v>
      </c>
      <c r="F1035" t="s">
        <v>375</v>
      </c>
      <c r="G1035" s="24" t="s">
        <v>26</v>
      </c>
      <c r="H1035" s="24" t="s">
        <v>27</v>
      </c>
      <c r="I1035" s="24">
        <v>24600</v>
      </c>
      <c r="J1035" s="24">
        <v>3</v>
      </c>
      <c r="K1035" s="25">
        <f t="shared" si="48"/>
        <v>73800</v>
      </c>
      <c r="L1035" s="26">
        <v>45350</v>
      </c>
      <c r="M1035" s="24" t="str">
        <f t="shared" si="49"/>
        <v>Wednesday</v>
      </c>
      <c r="N1035" s="24" t="str">
        <f t="shared" si="50"/>
        <v>Weekday</v>
      </c>
      <c r="Q1035" s="24"/>
      <c r="R1035" s="24"/>
      <c r="S1035" s="27"/>
      <c r="T1035"/>
      <c r="U1035" s="6"/>
      <c r="W1035" s="7"/>
      <c r="Z1035" s="4"/>
    </row>
    <row r="1036" spans="1:26" x14ac:dyDescent="0.3">
      <c r="A1036" t="s">
        <v>1407</v>
      </c>
      <c r="B1036" s="16" t="s">
        <v>258</v>
      </c>
      <c r="C1036" s="18" t="s">
        <v>20</v>
      </c>
      <c r="D1036" s="18" t="s">
        <v>322</v>
      </c>
      <c r="E1036" s="18">
        <v>36</v>
      </c>
      <c r="F1036" t="s">
        <v>375</v>
      </c>
      <c r="G1036" s="18" t="s">
        <v>13</v>
      </c>
      <c r="H1036" s="18" t="s">
        <v>14</v>
      </c>
      <c r="I1036" s="18">
        <v>36900</v>
      </c>
      <c r="J1036" s="18">
        <v>2</v>
      </c>
      <c r="K1036" s="19">
        <f t="shared" si="48"/>
        <v>73800</v>
      </c>
      <c r="L1036" s="20">
        <v>45352</v>
      </c>
      <c r="M1036" s="18" t="str">
        <f t="shared" si="49"/>
        <v>Friday</v>
      </c>
      <c r="N1036" s="18" t="str">
        <f t="shared" si="50"/>
        <v>Weekend</v>
      </c>
      <c r="Q1036" s="18"/>
      <c r="R1036" s="18"/>
      <c r="S1036" s="21"/>
      <c r="T1036"/>
      <c r="U1036" s="6"/>
      <c r="W1036" s="7"/>
      <c r="Z1036" s="4"/>
    </row>
    <row r="1037" spans="1:26" x14ac:dyDescent="0.3">
      <c r="A1037" t="s">
        <v>1408</v>
      </c>
      <c r="B1037" s="22" t="s">
        <v>51</v>
      </c>
      <c r="C1037" s="24" t="s">
        <v>20</v>
      </c>
      <c r="D1037" s="24" t="s">
        <v>324</v>
      </c>
      <c r="E1037" s="24">
        <v>25</v>
      </c>
      <c r="F1037" t="s">
        <v>370</v>
      </c>
      <c r="G1037" s="24" t="s">
        <v>42</v>
      </c>
      <c r="H1037" s="24" t="s">
        <v>14</v>
      </c>
      <c r="I1037" s="24">
        <v>98400</v>
      </c>
      <c r="J1037" s="24">
        <v>3</v>
      </c>
      <c r="K1037" s="25">
        <f t="shared" si="48"/>
        <v>295200</v>
      </c>
      <c r="L1037" s="26">
        <v>45317</v>
      </c>
      <c r="M1037" s="24" t="str">
        <f t="shared" si="49"/>
        <v>Friday</v>
      </c>
      <c r="N1037" s="24" t="str">
        <f t="shared" si="50"/>
        <v>Weekend</v>
      </c>
      <c r="Q1037" s="24"/>
      <c r="R1037" s="24"/>
      <c r="S1037" s="27"/>
      <c r="T1037"/>
      <c r="U1037" s="6"/>
      <c r="W1037" s="7"/>
      <c r="Z1037" s="4"/>
    </row>
    <row r="1038" spans="1:26" x14ac:dyDescent="0.3">
      <c r="A1038" t="s">
        <v>1409</v>
      </c>
      <c r="B1038" s="16" t="s">
        <v>315</v>
      </c>
      <c r="C1038" s="18" t="s">
        <v>11</v>
      </c>
      <c r="D1038" s="18" t="s">
        <v>322</v>
      </c>
      <c r="E1038" s="18">
        <v>20</v>
      </c>
      <c r="F1038" t="s">
        <v>381</v>
      </c>
      <c r="G1038" s="18" t="s">
        <v>17</v>
      </c>
      <c r="H1038" s="18" t="s">
        <v>18</v>
      </c>
      <c r="I1038" s="18">
        <v>12300</v>
      </c>
      <c r="J1038" s="18">
        <v>1</v>
      </c>
      <c r="K1038" s="19">
        <f t="shared" si="48"/>
        <v>12300</v>
      </c>
      <c r="L1038" s="20">
        <v>45298</v>
      </c>
      <c r="M1038" s="18" t="str">
        <f t="shared" si="49"/>
        <v>Sunday</v>
      </c>
      <c r="N1038" s="18" t="str">
        <f t="shared" si="50"/>
        <v>Weekday</v>
      </c>
      <c r="Q1038" s="18"/>
      <c r="R1038" s="18"/>
      <c r="S1038" s="21"/>
      <c r="T1038"/>
      <c r="U1038" s="6"/>
      <c r="W1038" s="7"/>
      <c r="Z1038" s="4"/>
    </row>
    <row r="1039" spans="1:26" x14ac:dyDescent="0.3">
      <c r="A1039" t="s">
        <v>1410</v>
      </c>
      <c r="B1039" s="22" t="s">
        <v>136</v>
      </c>
      <c r="C1039" s="24" t="s">
        <v>366</v>
      </c>
      <c r="D1039" s="24" t="s">
        <v>322</v>
      </c>
      <c r="E1039" s="24">
        <v>46</v>
      </c>
      <c r="F1039" t="s">
        <v>375</v>
      </c>
      <c r="G1039" s="24" t="s">
        <v>42</v>
      </c>
      <c r="H1039" s="24" t="s">
        <v>14</v>
      </c>
      <c r="I1039" s="24">
        <v>98400</v>
      </c>
      <c r="J1039" s="24">
        <v>2</v>
      </c>
      <c r="K1039" s="25">
        <f t="shared" si="48"/>
        <v>196800</v>
      </c>
      <c r="L1039" s="26">
        <v>45561</v>
      </c>
      <c r="M1039" s="24" t="str">
        <f t="shared" si="49"/>
        <v>Thursday</v>
      </c>
      <c r="N1039" s="24" t="str">
        <f t="shared" si="50"/>
        <v>Weekday</v>
      </c>
      <c r="Q1039" s="24"/>
      <c r="R1039" s="24"/>
      <c r="S1039" s="27"/>
      <c r="T1039"/>
      <c r="U1039" s="6"/>
      <c r="W1039" s="7"/>
      <c r="Z1039" s="4"/>
    </row>
    <row r="1040" spans="1:26" x14ac:dyDescent="0.3">
      <c r="A1040" t="s">
        <v>1411</v>
      </c>
      <c r="B1040" s="16" t="s">
        <v>15</v>
      </c>
      <c r="C1040" s="18" t="s">
        <v>20</v>
      </c>
      <c r="D1040" s="18" t="s">
        <v>322</v>
      </c>
      <c r="E1040" s="18">
        <v>22</v>
      </c>
      <c r="F1040" t="s">
        <v>375</v>
      </c>
      <c r="G1040" s="18" t="s">
        <v>24</v>
      </c>
      <c r="H1040" s="18" t="s">
        <v>14</v>
      </c>
      <c r="I1040" s="18">
        <v>184500</v>
      </c>
      <c r="J1040" s="18">
        <v>2</v>
      </c>
      <c r="K1040" s="19">
        <f t="shared" si="48"/>
        <v>369000</v>
      </c>
      <c r="L1040" s="20">
        <v>45513</v>
      </c>
      <c r="M1040" s="18" t="str">
        <f t="shared" si="49"/>
        <v>Friday</v>
      </c>
      <c r="N1040" s="18" t="str">
        <f t="shared" si="50"/>
        <v>Weekend</v>
      </c>
      <c r="Q1040" s="18"/>
      <c r="R1040" s="18"/>
      <c r="S1040" s="21"/>
      <c r="T1040"/>
      <c r="U1040" s="6"/>
      <c r="W1040" s="7"/>
      <c r="Z1040" s="4"/>
    </row>
    <row r="1041" spans="1:26" x14ac:dyDescent="0.3">
      <c r="A1041" t="s">
        <v>1412</v>
      </c>
      <c r="B1041" s="22" t="s">
        <v>115</v>
      </c>
      <c r="C1041" s="24" t="s">
        <v>366</v>
      </c>
      <c r="D1041" s="24" t="s">
        <v>323</v>
      </c>
      <c r="E1041" s="24">
        <v>63</v>
      </c>
      <c r="F1041" t="s">
        <v>381</v>
      </c>
      <c r="G1041" s="24" t="s">
        <v>13</v>
      </c>
      <c r="H1041" s="24" t="s">
        <v>14</v>
      </c>
      <c r="I1041" s="24">
        <v>36900</v>
      </c>
      <c r="J1041" s="24">
        <v>1</v>
      </c>
      <c r="K1041" s="25">
        <f t="shared" si="48"/>
        <v>36900</v>
      </c>
      <c r="L1041" s="26">
        <v>45377</v>
      </c>
      <c r="M1041" s="24" t="str">
        <f t="shared" si="49"/>
        <v>Tuesday</v>
      </c>
      <c r="N1041" s="24" t="str">
        <f t="shared" si="50"/>
        <v>Weekday</v>
      </c>
      <c r="Q1041" s="24"/>
      <c r="R1041" s="24"/>
      <c r="S1041" s="27"/>
      <c r="T1041"/>
      <c r="U1041" s="6"/>
      <c r="W1041" s="7"/>
      <c r="Z1041" s="4"/>
    </row>
    <row r="1042" spans="1:26" x14ac:dyDescent="0.3">
      <c r="A1042" t="s">
        <v>1413</v>
      </c>
      <c r="B1042" s="16" t="s">
        <v>147</v>
      </c>
      <c r="C1042" s="18" t="s">
        <v>11</v>
      </c>
      <c r="D1042" s="18" t="s">
        <v>322</v>
      </c>
      <c r="E1042" s="18">
        <v>30</v>
      </c>
      <c r="F1042" t="s">
        <v>375</v>
      </c>
      <c r="G1042" s="18" t="s">
        <v>31</v>
      </c>
      <c r="H1042" s="18" t="s">
        <v>18</v>
      </c>
      <c r="I1042" s="18">
        <v>6150</v>
      </c>
      <c r="J1042" s="18">
        <v>3</v>
      </c>
      <c r="K1042" s="19">
        <f t="shared" si="48"/>
        <v>18450</v>
      </c>
      <c r="L1042" s="20">
        <v>45506</v>
      </c>
      <c r="M1042" s="18" t="str">
        <f t="shared" si="49"/>
        <v>Friday</v>
      </c>
      <c r="N1042" s="18" t="str">
        <f t="shared" si="50"/>
        <v>Weekend</v>
      </c>
      <c r="Q1042" s="18"/>
      <c r="R1042" s="18"/>
      <c r="S1042" s="21"/>
      <c r="T1042"/>
      <c r="U1042" s="6"/>
      <c r="W1042" s="7"/>
      <c r="Z1042" s="4"/>
    </row>
    <row r="1043" spans="1:26" x14ac:dyDescent="0.3">
      <c r="A1043" t="s">
        <v>1414</v>
      </c>
      <c r="B1043" s="22" t="s">
        <v>90</v>
      </c>
      <c r="C1043" s="24" t="s">
        <v>20</v>
      </c>
      <c r="D1043" s="24" t="s">
        <v>323</v>
      </c>
      <c r="E1043" s="24">
        <v>50</v>
      </c>
      <c r="F1043" t="s">
        <v>373</v>
      </c>
      <c r="G1043" s="24" t="s">
        <v>32</v>
      </c>
      <c r="H1043" s="24" t="s">
        <v>18</v>
      </c>
      <c r="I1043" s="24">
        <v>3690</v>
      </c>
      <c r="J1043" s="24">
        <v>4</v>
      </c>
      <c r="K1043" s="25">
        <f t="shared" si="48"/>
        <v>14760</v>
      </c>
      <c r="L1043" s="26">
        <v>45538</v>
      </c>
      <c r="M1043" s="24" t="str">
        <f t="shared" si="49"/>
        <v>Tuesday</v>
      </c>
      <c r="N1043" s="24" t="str">
        <f t="shared" si="50"/>
        <v>Weekday</v>
      </c>
      <c r="Q1043" s="24"/>
      <c r="R1043" s="24"/>
      <c r="S1043" s="27"/>
      <c r="T1043"/>
      <c r="U1043" s="6"/>
      <c r="W1043" s="7"/>
      <c r="Z1043" s="4"/>
    </row>
    <row r="1044" spans="1:26" x14ac:dyDescent="0.3">
      <c r="A1044" t="s">
        <v>1415</v>
      </c>
      <c r="B1044" s="16" t="s">
        <v>269</v>
      </c>
      <c r="C1044" s="18" t="s">
        <v>11</v>
      </c>
      <c r="D1044" s="18" t="s">
        <v>327</v>
      </c>
      <c r="E1044" s="18">
        <v>19</v>
      </c>
      <c r="F1044" t="s">
        <v>373</v>
      </c>
      <c r="G1044" s="18" t="s">
        <v>26</v>
      </c>
      <c r="H1044" s="18" t="s">
        <v>27</v>
      </c>
      <c r="I1044" s="18">
        <v>24600</v>
      </c>
      <c r="J1044" s="18">
        <v>3</v>
      </c>
      <c r="K1044" s="19">
        <f t="shared" si="48"/>
        <v>73800</v>
      </c>
      <c r="L1044" s="20">
        <v>45458</v>
      </c>
      <c r="M1044" s="18" t="str">
        <f t="shared" si="49"/>
        <v>Saturday</v>
      </c>
      <c r="N1044" s="18" t="str">
        <f t="shared" si="50"/>
        <v>Weekend</v>
      </c>
      <c r="Q1044" s="18"/>
      <c r="R1044" s="18"/>
      <c r="S1044" s="21"/>
      <c r="T1044"/>
      <c r="U1044" s="6"/>
      <c r="W1044" s="7"/>
      <c r="Z1044" s="4"/>
    </row>
    <row r="1045" spans="1:26" x14ac:dyDescent="0.3">
      <c r="A1045" t="s">
        <v>1416</v>
      </c>
      <c r="B1045" s="22" t="s">
        <v>283</v>
      </c>
      <c r="C1045" s="24" t="s">
        <v>366</v>
      </c>
      <c r="D1045" s="24" t="s">
        <v>325</v>
      </c>
      <c r="E1045" s="24">
        <v>43</v>
      </c>
      <c r="F1045" t="s">
        <v>381</v>
      </c>
      <c r="G1045" s="24" t="s">
        <v>17</v>
      </c>
      <c r="H1045" s="24" t="s">
        <v>18</v>
      </c>
      <c r="I1045" s="24">
        <v>12300</v>
      </c>
      <c r="J1045" s="24">
        <v>5</v>
      </c>
      <c r="K1045" s="25">
        <f t="shared" si="48"/>
        <v>61500</v>
      </c>
      <c r="L1045" s="26">
        <v>45521</v>
      </c>
      <c r="M1045" s="24" t="str">
        <f t="shared" si="49"/>
        <v>Saturday</v>
      </c>
      <c r="N1045" s="24" t="str">
        <f t="shared" si="50"/>
        <v>Weekend</v>
      </c>
      <c r="Q1045" s="24"/>
      <c r="R1045" s="24"/>
      <c r="S1045" s="27"/>
      <c r="T1045"/>
      <c r="U1045" s="6"/>
      <c r="W1045" s="7"/>
      <c r="Z1045" s="4"/>
    </row>
    <row r="1046" spans="1:26" x14ac:dyDescent="0.3">
      <c r="A1046" t="s">
        <v>1417</v>
      </c>
      <c r="B1046" s="16" t="s">
        <v>180</v>
      </c>
      <c r="C1046" s="18" t="s">
        <v>11</v>
      </c>
      <c r="D1046" s="18" t="s">
        <v>325</v>
      </c>
      <c r="E1046" s="18">
        <v>30</v>
      </c>
      <c r="F1046" t="s">
        <v>381</v>
      </c>
      <c r="G1046" s="18" t="s">
        <v>26</v>
      </c>
      <c r="H1046" s="18" t="s">
        <v>27</v>
      </c>
      <c r="I1046" s="18">
        <v>24600</v>
      </c>
      <c r="J1046" s="18">
        <v>1</v>
      </c>
      <c r="K1046" s="19">
        <f t="shared" si="48"/>
        <v>24600</v>
      </c>
      <c r="L1046" s="20">
        <v>45471</v>
      </c>
      <c r="M1046" s="18" t="str">
        <f t="shared" si="49"/>
        <v>Friday</v>
      </c>
      <c r="N1046" s="18" t="str">
        <f t="shared" si="50"/>
        <v>Weekend</v>
      </c>
      <c r="Q1046" s="18"/>
      <c r="R1046" s="18"/>
      <c r="S1046" s="21"/>
      <c r="T1046"/>
      <c r="U1046" s="6"/>
      <c r="W1046" s="7"/>
      <c r="Z1046" s="4"/>
    </row>
    <row r="1047" spans="1:26" x14ac:dyDescent="0.3">
      <c r="A1047" t="s">
        <v>1418</v>
      </c>
      <c r="B1047" s="22" t="s">
        <v>231</v>
      </c>
      <c r="C1047" s="24" t="s">
        <v>11</v>
      </c>
      <c r="D1047" s="24" t="s">
        <v>326</v>
      </c>
      <c r="E1047" s="24">
        <v>65</v>
      </c>
      <c r="F1047" t="s">
        <v>373</v>
      </c>
      <c r="G1047" s="24" t="s">
        <v>26</v>
      </c>
      <c r="H1047" s="24" t="s">
        <v>27</v>
      </c>
      <c r="I1047" s="24">
        <v>24600</v>
      </c>
      <c r="J1047" s="24">
        <v>1</v>
      </c>
      <c r="K1047" s="25">
        <f t="shared" si="48"/>
        <v>24600</v>
      </c>
      <c r="L1047" s="26">
        <v>45538</v>
      </c>
      <c r="M1047" s="24" t="str">
        <f t="shared" si="49"/>
        <v>Tuesday</v>
      </c>
      <c r="N1047" s="24" t="str">
        <f t="shared" si="50"/>
        <v>Weekday</v>
      </c>
      <c r="Q1047" s="24"/>
      <c r="R1047" s="24"/>
      <c r="S1047" s="27"/>
      <c r="T1047"/>
      <c r="U1047" s="6"/>
      <c r="W1047" s="7"/>
      <c r="Z1047" s="4"/>
    </row>
    <row r="1048" spans="1:26" x14ac:dyDescent="0.3">
      <c r="A1048" t="s">
        <v>1419</v>
      </c>
      <c r="B1048" s="16" t="s">
        <v>67</v>
      </c>
      <c r="C1048" s="18" t="s">
        <v>11</v>
      </c>
      <c r="D1048" s="18" t="s">
        <v>327</v>
      </c>
      <c r="E1048" s="18">
        <v>38</v>
      </c>
      <c r="F1048" t="s">
        <v>373</v>
      </c>
      <c r="G1048" s="18" t="s">
        <v>24</v>
      </c>
      <c r="H1048" s="18" t="s">
        <v>14</v>
      </c>
      <c r="I1048" s="18">
        <v>184500</v>
      </c>
      <c r="J1048" s="18">
        <v>5</v>
      </c>
      <c r="K1048" s="19">
        <f t="shared" si="48"/>
        <v>922500</v>
      </c>
      <c r="L1048" s="20">
        <v>45544</v>
      </c>
      <c r="M1048" s="18" t="str">
        <f t="shared" si="49"/>
        <v>Monday</v>
      </c>
      <c r="N1048" s="18" t="str">
        <f t="shared" si="50"/>
        <v>Weekday</v>
      </c>
      <c r="Q1048" s="18"/>
      <c r="R1048" s="18"/>
      <c r="S1048" s="21"/>
      <c r="T1048"/>
      <c r="U1048" s="6"/>
      <c r="W1048" s="7"/>
      <c r="Z1048" s="4"/>
    </row>
    <row r="1049" spans="1:26" x14ac:dyDescent="0.3">
      <c r="A1049" t="s">
        <v>1420</v>
      </c>
      <c r="B1049" s="22" t="s">
        <v>306</v>
      </c>
      <c r="C1049" s="24" t="s">
        <v>366</v>
      </c>
      <c r="D1049" s="24" t="s">
        <v>323</v>
      </c>
      <c r="E1049" s="24">
        <v>35</v>
      </c>
      <c r="F1049" t="s">
        <v>373</v>
      </c>
      <c r="G1049" s="24" t="s">
        <v>32</v>
      </c>
      <c r="H1049" s="24" t="s">
        <v>18</v>
      </c>
      <c r="I1049" s="24">
        <v>3690</v>
      </c>
      <c r="J1049" s="24">
        <v>3</v>
      </c>
      <c r="K1049" s="25">
        <f t="shared" si="48"/>
        <v>11070</v>
      </c>
      <c r="L1049" s="26">
        <v>45460</v>
      </c>
      <c r="M1049" s="24" t="str">
        <f t="shared" si="49"/>
        <v>Monday</v>
      </c>
      <c r="N1049" s="24" t="str">
        <f t="shared" si="50"/>
        <v>Weekday</v>
      </c>
      <c r="Q1049" s="24"/>
      <c r="R1049" s="24"/>
      <c r="S1049" s="27"/>
      <c r="T1049"/>
      <c r="U1049" s="6"/>
      <c r="W1049" s="7"/>
      <c r="Z1049" s="4"/>
    </row>
    <row r="1050" spans="1:26" x14ac:dyDescent="0.3">
      <c r="A1050" t="s">
        <v>1421</v>
      </c>
      <c r="B1050" s="16" t="s">
        <v>176</v>
      </c>
      <c r="C1050" s="18" t="s">
        <v>11</v>
      </c>
      <c r="D1050" s="18" t="s">
        <v>323</v>
      </c>
      <c r="E1050" s="18">
        <v>54</v>
      </c>
      <c r="F1050" t="s">
        <v>373</v>
      </c>
      <c r="G1050" s="18" t="s">
        <v>26</v>
      </c>
      <c r="H1050" s="18" t="s">
        <v>27</v>
      </c>
      <c r="I1050" s="18">
        <v>24600</v>
      </c>
      <c r="J1050" s="18">
        <v>5</v>
      </c>
      <c r="K1050" s="19">
        <f t="shared" si="48"/>
        <v>123000</v>
      </c>
      <c r="L1050" s="20">
        <v>45561</v>
      </c>
      <c r="M1050" s="18" t="str">
        <f t="shared" si="49"/>
        <v>Thursday</v>
      </c>
      <c r="N1050" s="18" t="str">
        <f t="shared" si="50"/>
        <v>Weekday</v>
      </c>
      <c r="Q1050" s="18"/>
      <c r="R1050" s="18"/>
      <c r="S1050" s="21"/>
      <c r="T1050"/>
      <c r="U1050" s="6"/>
      <c r="W1050" s="7"/>
      <c r="Z1050" s="4"/>
    </row>
    <row r="1051" spans="1:26" x14ac:dyDescent="0.3">
      <c r="A1051" t="s">
        <v>1422</v>
      </c>
      <c r="B1051" s="22" t="s">
        <v>84</v>
      </c>
      <c r="C1051" s="24" t="s">
        <v>20</v>
      </c>
      <c r="D1051" s="24" t="s">
        <v>322</v>
      </c>
      <c r="E1051" s="24">
        <v>24</v>
      </c>
      <c r="F1051" t="s">
        <v>381</v>
      </c>
      <c r="G1051" s="24" t="s">
        <v>42</v>
      </c>
      <c r="H1051" s="24" t="s">
        <v>14</v>
      </c>
      <c r="I1051" s="24">
        <v>98400</v>
      </c>
      <c r="J1051" s="24">
        <v>5</v>
      </c>
      <c r="K1051" s="25">
        <f t="shared" si="48"/>
        <v>492000</v>
      </c>
      <c r="L1051" s="26">
        <v>45396</v>
      </c>
      <c r="M1051" s="24" t="str">
        <f t="shared" si="49"/>
        <v>Sunday</v>
      </c>
      <c r="N1051" s="24" t="str">
        <f t="shared" si="50"/>
        <v>Weekday</v>
      </c>
      <c r="Q1051" s="24"/>
      <c r="R1051" s="24"/>
      <c r="S1051" s="27"/>
      <c r="T1051"/>
      <c r="U1051" s="6"/>
      <c r="W1051" s="7"/>
      <c r="Z1051" s="4"/>
    </row>
    <row r="1052" spans="1:26" x14ac:dyDescent="0.3">
      <c r="A1052" t="s">
        <v>1423</v>
      </c>
      <c r="B1052" s="16" t="s">
        <v>257</v>
      </c>
      <c r="C1052" s="18" t="s">
        <v>11</v>
      </c>
      <c r="D1052" s="18" t="s">
        <v>325</v>
      </c>
      <c r="E1052" s="18">
        <v>39</v>
      </c>
      <c r="F1052" t="s">
        <v>381</v>
      </c>
      <c r="G1052" s="18" t="s">
        <v>17</v>
      </c>
      <c r="H1052" s="18" t="s">
        <v>18</v>
      </c>
      <c r="I1052" s="18">
        <v>12300</v>
      </c>
      <c r="J1052" s="18">
        <v>4</v>
      </c>
      <c r="K1052" s="19">
        <f t="shared" si="48"/>
        <v>49200</v>
      </c>
      <c r="L1052" s="20">
        <v>45304</v>
      </c>
      <c r="M1052" s="18" t="str">
        <f t="shared" si="49"/>
        <v>Saturday</v>
      </c>
      <c r="N1052" s="18" t="str">
        <f t="shared" si="50"/>
        <v>Weekend</v>
      </c>
      <c r="Q1052" s="18"/>
      <c r="R1052" s="18"/>
      <c r="S1052" s="21"/>
      <c r="T1052"/>
      <c r="U1052" s="6"/>
      <c r="W1052" s="7"/>
      <c r="Z1052" s="4"/>
    </row>
    <row r="1053" spans="1:26" x14ac:dyDescent="0.3">
      <c r="A1053" t="s">
        <v>1424</v>
      </c>
      <c r="B1053" s="22" t="s">
        <v>238</v>
      </c>
      <c r="C1053" s="24" t="s">
        <v>366</v>
      </c>
      <c r="D1053" s="24" t="s">
        <v>329</v>
      </c>
      <c r="E1053" s="24">
        <v>57</v>
      </c>
      <c r="F1053" t="s">
        <v>370</v>
      </c>
      <c r="G1053" s="24" t="s">
        <v>32</v>
      </c>
      <c r="H1053" s="24" t="s">
        <v>18</v>
      </c>
      <c r="I1053" s="24">
        <v>3690</v>
      </c>
      <c r="J1053" s="24">
        <v>1</v>
      </c>
      <c r="K1053" s="25">
        <f t="shared" si="48"/>
        <v>3690</v>
      </c>
      <c r="L1053" s="26">
        <v>45587</v>
      </c>
      <c r="M1053" s="24" t="str">
        <f t="shared" si="49"/>
        <v>Tuesday</v>
      </c>
      <c r="N1053" s="24" t="str">
        <f t="shared" si="50"/>
        <v>Weekday</v>
      </c>
      <c r="Q1053" s="24"/>
      <c r="R1053" s="24"/>
      <c r="S1053" s="27"/>
      <c r="T1053"/>
      <c r="U1053" s="6"/>
      <c r="W1053" s="7"/>
      <c r="Z1053" s="4"/>
    </row>
    <row r="1054" spans="1:26" x14ac:dyDescent="0.3">
      <c r="A1054" t="s">
        <v>1425</v>
      </c>
      <c r="B1054" s="16" t="s">
        <v>156</v>
      </c>
      <c r="C1054" s="18" t="s">
        <v>20</v>
      </c>
      <c r="D1054" s="18" t="s">
        <v>326</v>
      </c>
      <c r="E1054" s="18">
        <v>23</v>
      </c>
      <c r="F1054" t="s">
        <v>381</v>
      </c>
      <c r="G1054" s="18" t="s">
        <v>24</v>
      </c>
      <c r="H1054" s="18" t="s">
        <v>14</v>
      </c>
      <c r="I1054" s="18">
        <v>184500</v>
      </c>
      <c r="J1054" s="18">
        <v>2</v>
      </c>
      <c r="K1054" s="19">
        <f t="shared" si="48"/>
        <v>369000</v>
      </c>
      <c r="L1054" s="20">
        <v>45385</v>
      </c>
      <c r="M1054" s="18" t="str">
        <f t="shared" si="49"/>
        <v>Wednesday</v>
      </c>
      <c r="N1054" s="18" t="str">
        <f t="shared" si="50"/>
        <v>Weekday</v>
      </c>
      <c r="Q1054" s="18"/>
      <c r="R1054" s="18"/>
      <c r="S1054" s="21"/>
      <c r="T1054"/>
      <c r="U1054" s="6"/>
      <c r="W1054" s="7"/>
      <c r="Z1054" s="4"/>
    </row>
    <row r="1055" spans="1:26" x14ac:dyDescent="0.3">
      <c r="A1055" t="s">
        <v>1426</v>
      </c>
      <c r="B1055" s="22" t="s">
        <v>72</v>
      </c>
      <c r="C1055" s="24" t="s">
        <v>11</v>
      </c>
      <c r="D1055" s="24" t="s">
        <v>328</v>
      </c>
      <c r="E1055" s="24">
        <v>23</v>
      </c>
      <c r="F1055" t="s">
        <v>373</v>
      </c>
      <c r="G1055" s="24" t="s">
        <v>42</v>
      </c>
      <c r="H1055" s="24" t="s">
        <v>14</v>
      </c>
      <c r="I1055" s="24">
        <v>98400</v>
      </c>
      <c r="J1055" s="24">
        <v>1</v>
      </c>
      <c r="K1055" s="25">
        <f t="shared" si="48"/>
        <v>98400</v>
      </c>
      <c r="L1055" s="26">
        <v>45467</v>
      </c>
      <c r="M1055" s="24" t="str">
        <f t="shared" si="49"/>
        <v>Monday</v>
      </c>
      <c r="N1055" s="24" t="str">
        <f t="shared" si="50"/>
        <v>Weekday</v>
      </c>
      <c r="Q1055" s="24"/>
      <c r="R1055" s="24"/>
      <c r="S1055" s="27"/>
      <c r="T1055"/>
      <c r="U1055" s="6"/>
      <c r="W1055" s="7"/>
      <c r="Z1055" s="4"/>
    </row>
    <row r="1056" spans="1:26" x14ac:dyDescent="0.3">
      <c r="A1056" t="s">
        <v>1427</v>
      </c>
      <c r="B1056" s="16" t="s">
        <v>216</v>
      </c>
      <c r="C1056" s="18" t="s">
        <v>11</v>
      </c>
      <c r="D1056" s="18" t="s">
        <v>323</v>
      </c>
      <c r="E1056" s="18">
        <v>67</v>
      </c>
      <c r="F1056" t="s">
        <v>375</v>
      </c>
      <c r="G1056" s="18" t="s">
        <v>42</v>
      </c>
      <c r="H1056" s="18" t="s">
        <v>14</v>
      </c>
      <c r="I1056" s="18">
        <v>98400</v>
      </c>
      <c r="J1056" s="18">
        <v>2</v>
      </c>
      <c r="K1056" s="19">
        <f t="shared" si="48"/>
        <v>196800</v>
      </c>
      <c r="L1056" s="20">
        <v>45340</v>
      </c>
      <c r="M1056" s="18" t="str">
        <f t="shared" si="49"/>
        <v>Sunday</v>
      </c>
      <c r="N1056" s="18" t="str">
        <f t="shared" si="50"/>
        <v>Weekday</v>
      </c>
      <c r="Q1056" s="18"/>
      <c r="R1056" s="18"/>
      <c r="S1056" s="21"/>
      <c r="T1056"/>
      <c r="U1056" s="6"/>
      <c r="W1056" s="7"/>
      <c r="Z1056" s="4"/>
    </row>
    <row r="1057" spans="1:26" x14ac:dyDescent="0.3">
      <c r="A1057" t="s">
        <v>1428</v>
      </c>
      <c r="B1057" s="22" t="s">
        <v>313</v>
      </c>
      <c r="C1057" s="24" t="s">
        <v>366</v>
      </c>
      <c r="D1057" s="24" t="s">
        <v>325</v>
      </c>
      <c r="E1057" s="24">
        <v>29</v>
      </c>
      <c r="F1057" t="s">
        <v>373</v>
      </c>
      <c r="G1057" s="24" t="s">
        <v>24</v>
      </c>
      <c r="H1057" s="24" t="s">
        <v>14</v>
      </c>
      <c r="I1057" s="24">
        <v>184500</v>
      </c>
      <c r="J1057" s="24">
        <v>1</v>
      </c>
      <c r="K1057" s="25">
        <f t="shared" si="48"/>
        <v>184500</v>
      </c>
      <c r="L1057" s="26">
        <v>45657</v>
      </c>
      <c r="M1057" s="24" t="str">
        <f t="shared" si="49"/>
        <v>Tuesday</v>
      </c>
      <c r="N1057" s="24" t="str">
        <f t="shared" si="50"/>
        <v>Weekday</v>
      </c>
      <c r="Q1057" s="24"/>
      <c r="R1057" s="24"/>
      <c r="S1057" s="27"/>
      <c r="T1057"/>
      <c r="U1057" s="6"/>
      <c r="W1057" s="7"/>
      <c r="Z1057" s="4"/>
    </row>
    <row r="1058" spans="1:26" x14ac:dyDescent="0.3">
      <c r="A1058" t="s">
        <v>1429</v>
      </c>
      <c r="B1058" s="16" t="s">
        <v>242</v>
      </c>
      <c r="C1058" s="18" t="s">
        <v>20</v>
      </c>
      <c r="D1058" s="18" t="s">
        <v>322</v>
      </c>
      <c r="E1058" s="18">
        <v>27</v>
      </c>
      <c r="F1058" t="s">
        <v>373</v>
      </c>
      <c r="G1058" s="18" t="s">
        <v>42</v>
      </c>
      <c r="H1058" s="18" t="s">
        <v>14</v>
      </c>
      <c r="I1058" s="18">
        <v>98400</v>
      </c>
      <c r="J1058" s="18">
        <v>1</v>
      </c>
      <c r="K1058" s="19">
        <f t="shared" si="48"/>
        <v>98400</v>
      </c>
      <c r="L1058" s="20">
        <v>45636</v>
      </c>
      <c r="M1058" s="18" t="str">
        <f t="shared" si="49"/>
        <v>Tuesday</v>
      </c>
      <c r="N1058" s="18" t="str">
        <f t="shared" si="50"/>
        <v>Weekday</v>
      </c>
      <c r="Q1058" s="18"/>
      <c r="R1058" s="18"/>
      <c r="S1058" s="21"/>
      <c r="T1058"/>
      <c r="U1058" s="6"/>
      <c r="W1058" s="7"/>
      <c r="Z1058" s="4"/>
    </row>
    <row r="1059" spans="1:26" x14ac:dyDescent="0.3">
      <c r="A1059" t="s">
        <v>1430</v>
      </c>
      <c r="B1059" s="22" t="s">
        <v>206</v>
      </c>
      <c r="C1059" s="24" t="s">
        <v>11</v>
      </c>
      <c r="D1059" s="24" t="s">
        <v>322</v>
      </c>
      <c r="E1059" s="24">
        <v>69</v>
      </c>
      <c r="F1059" t="s">
        <v>381</v>
      </c>
      <c r="G1059" s="24" t="s">
        <v>13</v>
      </c>
      <c r="H1059" s="24" t="s">
        <v>14</v>
      </c>
      <c r="I1059" s="24">
        <v>36900</v>
      </c>
      <c r="J1059" s="24">
        <v>5</v>
      </c>
      <c r="K1059" s="25">
        <f t="shared" si="48"/>
        <v>184500</v>
      </c>
      <c r="L1059" s="26">
        <v>45557</v>
      </c>
      <c r="M1059" s="24" t="str">
        <f t="shared" si="49"/>
        <v>Sunday</v>
      </c>
      <c r="N1059" s="24" t="str">
        <f t="shared" si="50"/>
        <v>Weekday</v>
      </c>
      <c r="Q1059" s="24"/>
      <c r="R1059" s="24"/>
      <c r="S1059" s="27"/>
      <c r="T1059"/>
      <c r="U1059" s="6"/>
      <c r="W1059" s="7"/>
      <c r="Z1059" s="4"/>
    </row>
    <row r="1060" spans="1:26" x14ac:dyDescent="0.3">
      <c r="A1060" t="s">
        <v>1431</v>
      </c>
      <c r="B1060" s="16" t="s">
        <v>272</v>
      </c>
      <c r="C1060" s="18" t="s">
        <v>20</v>
      </c>
      <c r="D1060" s="18" t="s">
        <v>322</v>
      </c>
      <c r="E1060" s="18">
        <v>36</v>
      </c>
      <c r="F1060" t="s">
        <v>370</v>
      </c>
      <c r="G1060" s="18" t="s">
        <v>17</v>
      </c>
      <c r="H1060" s="18" t="s">
        <v>18</v>
      </c>
      <c r="I1060" s="18">
        <v>12300</v>
      </c>
      <c r="J1060" s="18">
        <v>1</v>
      </c>
      <c r="K1060" s="19">
        <f t="shared" si="48"/>
        <v>12300</v>
      </c>
      <c r="L1060" s="20">
        <v>45638</v>
      </c>
      <c r="M1060" s="18" t="str">
        <f t="shared" si="49"/>
        <v>Thursday</v>
      </c>
      <c r="N1060" s="18" t="str">
        <f t="shared" si="50"/>
        <v>Weekday</v>
      </c>
      <c r="Q1060" s="18"/>
      <c r="R1060" s="18"/>
      <c r="S1060" s="21"/>
      <c r="T1060"/>
      <c r="U1060" s="6"/>
      <c r="W1060" s="7"/>
      <c r="Z1060" s="4"/>
    </row>
    <row r="1061" spans="1:26" x14ac:dyDescent="0.3">
      <c r="A1061" t="s">
        <v>1432</v>
      </c>
      <c r="B1061" s="22" t="s">
        <v>84</v>
      </c>
      <c r="C1061" s="24" t="s">
        <v>20</v>
      </c>
      <c r="D1061" s="24" t="s">
        <v>322</v>
      </c>
      <c r="E1061" s="24">
        <v>24</v>
      </c>
      <c r="F1061" t="s">
        <v>375</v>
      </c>
      <c r="G1061" s="24" t="s">
        <v>42</v>
      </c>
      <c r="H1061" s="24" t="s">
        <v>14</v>
      </c>
      <c r="I1061" s="24">
        <v>98400</v>
      </c>
      <c r="J1061" s="24">
        <v>3</v>
      </c>
      <c r="K1061" s="25">
        <f t="shared" si="48"/>
        <v>295200</v>
      </c>
      <c r="L1061" s="26">
        <v>45563</v>
      </c>
      <c r="M1061" s="24" t="str">
        <f t="shared" si="49"/>
        <v>Saturday</v>
      </c>
      <c r="N1061" s="24" t="str">
        <f t="shared" si="50"/>
        <v>Weekend</v>
      </c>
      <c r="Q1061" s="24"/>
      <c r="R1061" s="24"/>
      <c r="S1061" s="27"/>
      <c r="T1061"/>
      <c r="U1061" s="6"/>
      <c r="W1061" s="7"/>
      <c r="Z1061" s="4"/>
    </row>
    <row r="1062" spans="1:26" x14ac:dyDescent="0.3">
      <c r="A1062" t="s">
        <v>1433</v>
      </c>
      <c r="B1062" s="16" t="s">
        <v>313</v>
      </c>
      <c r="C1062" s="18" t="s">
        <v>366</v>
      </c>
      <c r="D1062" s="18" t="s">
        <v>325</v>
      </c>
      <c r="E1062" s="18">
        <v>29</v>
      </c>
      <c r="F1062" t="s">
        <v>375</v>
      </c>
      <c r="G1062" s="18" t="s">
        <v>42</v>
      </c>
      <c r="H1062" s="18" t="s">
        <v>14</v>
      </c>
      <c r="I1062" s="18">
        <v>98400</v>
      </c>
      <c r="J1062" s="18">
        <v>5</v>
      </c>
      <c r="K1062" s="19">
        <f t="shared" si="48"/>
        <v>492000</v>
      </c>
      <c r="L1062" s="20">
        <v>45553</v>
      </c>
      <c r="M1062" s="18" t="str">
        <f t="shared" si="49"/>
        <v>Wednesday</v>
      </c>
      <c r="N1062" s="18" t="str">
        <f t="shared" si="50"/>
        <v>Weekday</v>
      </c>
      <c r="Q1062" s="18"/>
      <c r="R1062" s="18"/>
      <c r="S1062" s="21"/>
      <c r="T1062"/>
      <c r="U1062" s="6"/>
      <c r="W1062" s="7"/>
      <c r="Z1062" s="4"/>
    </row>
    <row r="1063" spans="1:26" x14ac:dyDescent="0.3">
      <c r="A1063" t="s">
        <v>1434</v>
      </c>
      <c r="B1063" s="22" t="s">
        <v>38</v>
      </c>
      <c r="C1063" s="24" t="s">
        <v>11</v>
      </c>
      <c r="D1063" s="24" t="s">
        <v>322</v>
      </c>
      <c r="E1063" s="24">
        <v>66</v>
      </c>
      <c r="F1063" t="s">
        <v>370</v>
      </c>
      <c r="G1063" s="24" t="s">
        <v>31</v>
      </c>
      <c r="H1063" s="24" t="s">
        <v>18</v>
      </c>
      <c r="I1063" s="24">
        <v>6150</v>
      </c>
      <c r="J1063" s="24">
        <v>3</v>
      </c>
      <c r="K1063" s="25">
        <f t="shared" si="48"/>
        <v>18450</v>
      </c>
      <c r="L1063" s="26">
        <v>45527</v>
      </c>
      <c r="M1063" s="24" t="str">
        <f t="shared" si="49"/>
        <v>Friday</v>
      </c>
      <c r="N1063" s="24" t="str">
        <f t="shared" si="50"/>
        <v>Weekend</v>
      </c>
      <c r="Q1063" s="24"/>
      <c r="R1063" s="24"/>
      <c r="S1063" s="27"/>
      <c r="T1063"/>
      <c r="U1063" s="6"/>
      <c r="W1063" s="7"/>
      <c r="Z1063" s="4"/>
    </row>
    <row r="1064" spans="1:26" x14ac:dyDescent="0.3">
      <c r="A1064" t="s">
        <v>1435</v>
      </c>
      <c r="B1064" s="16" t="s">
        <v>184</v>
      </c>
      <c r="C1064" s="18" t="s">
        <v>20</v>
      </c>
      <c r="D1064" s="18" t="s">
        <v>322</v>
      </c>
      <c r="E1064" s="18">
        <v>32</v>
      </c>
      <c r="F1064" t="s">
        <v>373</v>
      </c>
      <c r="G1064" s="18" t="s">
        <v>24</v>
      </c>
      <c r="H1064" s="18" t="s">
        <v>14</v>
      </c>
      <c r="I1064" s="18">
        <v>184500</v>
      </c>
      <c r="J1064" s="18">
        <v>3</v>
      </c>
      <c r="K1064" s="19">
        <f t="shared" si="48"/>
        <v>553500</v>
      </c>
      <c r="L1064" s="20">
        <v>45401</v>
      </c>
      <c r="M1064" s="18" t="str">
        <f t="shared" si="49"/>
        <v>Friday</v>
      </c>
      <c r="N1064" s="18" t="str">
        <f t="shared" si="50"/>
        <v>Weekend</v>
      </c>
      <c r="Q1064" s="18"/>
      <c r="R1064" s="18"/>
      <c r="S1064" s="21"/>
      <c r="T1064"/>
      <c r="U1064" s="6"/>
      <c r="W1064" s="7"/>
      <c r="Z1064" s="4"/>
    </row>
    <row r="1065" spans="1:26" x14ac:dyDescent="0.3">
      <c r="A1065" t="s">
        <v>1436</v>
      </c>
      <c r="B1065" s="22" t="s">
        <v>231</v>
      </c>
      <c r="C1065" s="24" t="s">
        <v>11</v>
      </c>
      <c r="D1065" s="24" t="s">
        <v>326</v>
      </c>
      <c r="E1065" s="24">
        <v>65</v>
      </c>
      <c r="F1065" t="s">
        <v>381</v>
      </c>
      <c r="G1065" s="24" t="s">
        <v>13</v>
      </c>
      <c r="H1065" s="24" t="s">
        <v>14</v>
      </c>
      <c r="I1065" s="24">
        <v>36900</v>
      </c>
      <c r="J1065" s="24">
        <v>2</v>
      </c>
      <c r="K1065" s="25">
        <f t="shared" si="48"/>
        <v>73800</v>
      </c>
      <c r="L1065" s="26">
        <v>45629</v>
      </c>
      <c r="M1065" s="24" t="str">
        <f t="shared" si="49"/>
        <v>Tuesday</v>
      </c>
      <c r="N1065" s="24" t="str">
        <f t="shared" si="50"/>
        <v>Weekday</v>
      </c>
      <c r="Q1065" s="24"/>
      <c r="R1065" s="24"/>
      <c r="S1065" s="27"/>
      <c r="T1065"/>
      <c r="U1065" s="6"/>
      <c r="W1065" s="7"/>
      <c r="Z1065" s="4"/>
    </row>
    <row r="1066" spans="1:26" x14ac:dyDescent="0.3">
      <c r="A1066" t="s">
        <v>1437</v>
      </c>
      <c r="B1066" s="16" t="s">
        <v>297</v>
      </c>
      <c r="C1066" s="18" t="s">
        <v>11</v>
      </c>
      <c r="D1066" s="18" t="s">
        <v>323</v>
      </c>
      <c r="E1066" s="18">
        <v>39</v>
      </c>
      <c r="F1066" t="s">
        <v>373</v>
      </c>
      <c r="G1066" s="18" t="s">
        <v>17</v>
      </c>
      <c r="H1066" s="18" t="s">
        <v>18</v>
      </c>
      <c r="I1066" s="18">
        <v>12300</v>
      </c>
      <c r="J1066" s="18">
        <v>4</v>
      </c>
      <c r="K1066" s="19">
        <f t="shared" si="48"/>
        <v>49200</v>
      </c>
      <c r="L1066" s="20">
        <v>45418</v>
      </c>
      <c r="M1066" s="18" t="str">
        <f t="shared" si="49"/>
        <v>Monday</v>
      </c>
      <c r="N1066" s="18" t="str">
        <f t="shared" si="50"/>
        <v>Weekday</v>
      </c>
      <c r="Q1066" s="18"/>
      <c r="R1066" s="18"/>
      <c r="S1066" s="21"/>
      <c r="T1066"/>
      <c r="U1066" s="6"/>
      <c r="W1066" s="7"/>
      <c r="Z1066" s="4"/>
    </row>
    <row r="1067" spans="1:26" x14ac:dyDescent="0.3">
      <c r="A1067" t="s">
        <v>1438</v>
      </c>
      <c r="B1067" s="22" t="s">
        <v>215</v>
      </c>
      <c r="C1067" s="24" t="s">
        <v>20</v>
      </c>
      <c r="D1067" s="24" t="s">
        <v>326</v>
      </c>
      <c r="E1067" s="24">
        <v>49</v>
      </c>
      <c r="F1067" t="s">
        <v>375</v>
      </c>
      <c r="G1067" s="24" t="s">
        <v>24</v>
      </c>
      <c r="H1067" s="24" t="s">
        <v>14</v>
      </c>
      <c r="I1067" s="24">
        <v>184500</v>
      </c>
      <c r="J1067" s="24">
        <v>3</v>
      </c>
      <c r="K1067" s="25">
        <f t="shared" si="48"/>
        <v>553500</v>
      </c>
      <c r="L1067" s="26">
        <v>45524</v>
      </c>
      <c r="M1067" s="24" t="str">
        <f t="shared" si="49"/>
        <v>Tuesday</v>
      </c>
      <c r="N1067" s="24" t="str">
        <f t="shared" si="50"/>
        <v>Weekday</v>
      </c>
      <c r="Q1067" s="24"/>
      <c r="R1067" s="24"/>
      <c r="S1067" s="27"/>
      <c r="T1067"/>
      <c r="U1067" s="6"/>
      <c r="W1067" s="7"/>
      <c r="Z1067" s="4"/>
    </row>
    <row r="1068" spans="1:26" x14ac:dyDescent="0.3">
      <c r="A1068" t="s">
        <v>1439</v>
      </c>
      <c r="B1068" s="16" t="s">
        <v>69</v>
      </c>
      <c r="C1068" s="18" t="s">
        <v>11</v>
      </c>
      <c r="D1068" s="18" t="s">
        <v>322</v>
      </c>
      <c r="E1068" s="18">
        <v>68</v>
      </c>
      <c r="F1068" t="s">
        <v>375</v>
      </c>
      <c r="G1068" s="18" t="s">
        <v>13</v>
      </c>
      <c r="H1068" s="18" t="s">
        <v>14</v>
      </c>
      <c r="I1068" s="18">
        <v>36900</v>
      </c>
      <c r="J1068" s="18">
        <v>2</v>
      </c>
      <c r="K1068" s="19">
        <f t="shared" si="48"/>
        <v>73800</v>
      </c>
      <c r="L1068" s="20">
        <v>45475</v>
      </c>
      <c r="M1068" s="18" t="str">
        <f t="shared" si="49"/>
        <v>Tuesday</v>
      </c>
      <c r="N1068" s="18" t="str">
        <f t="shared" si="50"/>
        <v>Weekday</v>
      </c>
      <c r="Q1068" s="18"/>
      <c r="R1068" s="18"/>
      <c r="S1068" s="21"/>
      <c r="T1068"/>
      <c r="U1068" s="6"/>
      <c r="W1068" s="7"/>
      <c r="Z1068" s="4"/>
    </row>
    <row r="1069" spans="1:26" x14ac:dyDescent="0.3">
      <c r="A1069" t="s">
        <v>1440</v>
      </c>
      <c r="B1069" s="22" t="s">
        <v>67</v>
      </c>
      <c r="C1069" s="24" t="s">
        <v>11</v>
      </c>
      <c r="D1069" s="24" t="s">
        <v>327</v>
      </c>
      <c r="E1069" s="24">
        <v>38</v>
      </c>
      <c r="F1069" t="s">
        <v>373</v>
      </c>
      <c r="G1069" s="24" t="s">
        <v>24</v>
      </c>
      <c r="H1069" s="24" t="s">
        <v>14</v>
      </c>
      <c r="I1069" s="24">
        <v>184500</v>
      </c>
      <c r="J1069" s="24">
        <v>4</v>
      </c>
      <c r="K1069" s="25">
        <f t="shared" si="48"/>
        <v>738000</v>
      </c>
      <c r="L1069" s="26">
        <v>45311</v>
      </c>
      <c r="M1069" s="24" t="str">
        <f t="shared" si="49"/>
        <v>Saturday</v>
      </c>
      <c r="N1069" s="24" t="str">
        <f t="shared" si="50"/>
        <v>Weekend</v>
      </c>
      <c r="Q1069" s="24"/>
      <c r="R1069" s="24"/>
      <c r="S1069" s="27"/>
      <c r="T1069"/>
      <c r="U1069" s="6"/>
      <c r="W1069" s="7"/>
      <c r="Z1069" s="4"/>
    </row>
    <row r="1070" spans="1:26" x14ac:dyDescent="0.3">
      <c r="A1070" t="s">
        <v>1441</v>
      </c>
      <c r="B1070" s="16" t="s">
        <v>252</v>
      </c>
      <c r="C1070" s="18" t="s">
        <v>20</v>
      </c>
      <c r="D1070" s="18" t="s">
        <v>329</v>
      </c>
      <c r="E1070" s="18">
        <v>56</v>
      </c>
      <c r="F1070" t="s">
        <v>375</v>
      </c>
      <c r="G1070" s="18" t="s">
        <v>26</v>
      </c>
      <c r="H1070" s="18" t="s">
        <v>27</v>
      </c>
      <c r="I1070" s="18">
        <v>24600</v>
      </c>
      <c r="J1070" s="18">
        <v>3</v>
      </c>
      <c r="K1070" s="19">
        <f t="shared" si="48"/>
        <v>73800</v>
      </c>
      <c r="L1070" s="20">
        <v>45295</v>
      </c>
      <c r="M1070" s="18" t="str">
        <f t="shared" si="49"/>
        <v>Thursday</v>
      </c>
      <c r="N1070" s="18" t="str">
        <f t="shared" si="50"/>
        <v>Weekday</v>
      </c>
      <c r="Q1070" s="18"/>
      <c r="R1070" s="18"/>
      <c r="S1070" s="21"/>
      <c r="T1070"/>
      <c r="U1070" s="6"/>
      <c r="W1070" s="7"/>
      <c r="Z1070" s="4"/>
    </row>
    <row r="1071" spans="1:26" x14ac:dyDescent="0.3">
      <c r="A1071" t="s">
        <v>1442</v>
      </c>
      <c r="B1071" s="22" t="s">
        <v>202</v>
      </c>
      <c r="C1071" s="24" t="s">
        <v>11</v>
      </c>
      <c r="D1071" s="24" t="s">
        <v>324</v>
      </c>
      <c r="E1071" s="24">
        <v>44</v>
      </c>
      <c r="F1071" t="s">
        <v>381</v>
      </c>
      <c r="G1071" s="24" t="s">
        <v>26</v>
      </c>
      <c r="H1071" s="24" t="s">
        <v>27</v>
      </c>
      <c r="I1071" s="24">
        <v>24600</v>
      </c>
      <c r="J1071" s="24">
        <v>1</v>
      </c>
      <c r="K1071" s="25">
        <f t="shared" si="48"/>
        <v>24600</v>
      </c>
      <c r="L1071" s="26">
        <v>45401</v>
      </c>
      <c r="M1071" s="24" t="str">
        <f t="shared" si="49"/>
        <v>Friday</v>
      </c>
      <c r="N1071" s="24" t="str">
        <f t="shared" si="50"/>
        <v>Weekend</v>
      </c>
      <c r="Q1071" s="24"/>
      <c r="R1071" s="24"/>
      <c r="S1071" s="27"/>
      <c r="T1071"/>
      <c r="U1071" s="6"/>
      <c r="W1071" s="7"/>
      <c r="Z1071" s="4"/>
    </row>
    <row r="1072" spans="1:26" x14ac:dyDescent="0.3">
      <c r="A1072" t="s">
        <v>1443</v>
      </c>
      <c r="B1072" s="16" t="s">
        <v>275</v>
      </c>
      <c r="C1072" s="18" t="s">
        <v>11</v>
      </c>
      <c r="D1072" s="18" t="s">
        <v>322</v>
      </c>
      <c r="E1072" s="18">
        <v>33</v>
      </c>
      <c r="F1072" t="s">
        <v>375</v>
      </c>
      <c r="G1072" s="18" t="s">
        <v>31</v>
      </c>
      <c r="H1072" s="18" t="s">
        <v>18</v>
      </c>
      <c r="I1072" s="18">
        <v>6150</v>
      </c>
      <c r="J1072" s="18">
        <v>3</v>
      </c>
      <c r="K1072" s="19">
        <f t="shared" si="48"/>
        <v>18450</v>
      </c>
      <c r="L1072" s="20">
        <v>45311</v>
      </c>
      <c r="M1072" s="18" t="str">
        <f t="shared" si="49"/>
        <v>Saturday</v>
      </c>
      <c r="N1072" s="18" t="str">
        <f t="shared" si="50"/>
        <v>Weekend</v>
      </c>
      <c r="Q1072" s="18"/>
      <c r="R1072" s="18"/>
      <c r="S1072" s="21"/>
      <c r="T1072"/>
      <c r="U1072" s="6"/>
      <c r="W1072" s="7"/>
      <c r="Z1072" s="4"/>
    </row>
    <row r="1073" spans="1:26" x14ac:dyDescent="0.3">
      <c r="A1073" t="s">
        <v>1444</v>
      </c>
      <c r="B1073" s="22" t="s">
        <v>54</v>
      </c>
      <c r="C1073" s="24" t="s">
        <v>11</v>
      </c>
      <c r="D1073" s="24" t="s">
        <v>322</v>
      </c>
      <c r="E1073" s="24">
        <v>57</v>
      </c>
      <c r="F1073" t="s">
        <v>381</v>
      </c>
      <c r="G1073" s="24" t="s">
        <v>13</v>
      </c>
      <c r="H1073" s="24" t="s">
        <v>14</v>
      </c>
      <c r="I1073" s="24">
        <v>36900</v>
      </c>
      <c r="J1073" s="24">
        <v>2</v>
      </c>
      <c r="K1073" s="25">
        <f t="shared" si="48"/>
        <v>73800</v>
      </c>
      <c r="L1073" s="26">
        <v>45376</v>
      </c>
      <c r="M1073" s="24" t="str">
        <f t="shared" si="49"/>
        <v>Monday</v>
      </c>
      <c r="N1073" s="24" t="str">
        <f t="shared" si="50"/>
        <v>Weekday</v>
      </c>
      <c r="Q1073" s="24"/>
      <c r="R1073" s="24"/>
      <c r="S1073" s="27"/>
      <c r="T1073"/>
      <c r="U1073" s="6"/>
      <c r="W1073" s="7"/>
      <c r="Z1073" s="4"/>
    </row>
    <row r="1074" spans="1:26" x14ac:dyDescent="0.3">
      <c r="A1074" t="s">
        <v>1445</v>
      </c>
      <c r="B1074" s="16" t="s">
        <v>96</v>
      </c>
      <c r="C1074" s="18" t="s">
        <v>11</v>
      </c>
      <c r="D1074" s="18" t="s">
        <v>322</v>
      </c>
      <c r="E1074" s="18">
        <v>45</v>
      </c>
      <c r="F1074" t="s">
        <v>373</v>
      </c>
      <c r="G1074" s="18" t="s">
        <v>42</v>
      </c>
      <c r="H1074" s="18" t="s">
        <v>14</v>
      </c>
      <c r="I1074" s="18">
        <v>98400</v>
      </c>
      <c r="J1074" s="18">
        <v>3</v>
      </c>
      <c r="K1074" s="19">
        <f t="shared" si="48"/>
        <v>295200</v>
      </c>
      <c r="L1074" s="20">
        <v>45597</v>
      </c>
      <c r="M1074" s="18" t="str">
        <f t="shared" si="49"/>
        <v>Friday</v>
      </c>
      <c r="N1074" s="18" t="str">
        <f t="shared" si="50"/>
        <v>Weekend</v>
      </c>
      <c r="Q1074" s="18"/>
      <c r="R1074" s="18"/>
      <c r="S1074" s="21"/>
      <c r="T1074"/>
      <c r="U1074" s="6"/>
      <c r="W1074" s="7"/>
      <c r="Z1074" s="4"/>
    </row>
    <row r="1075" spans="1:26" x14ac:dyDescent="0.3">
      <c r="A1075" t="s">
        <v>1446</v>
      </c>
      <c r="B1075" s="22" t="s">
        <v>280</v>
      </c>
      <c r="C1075" s="24" t="s">
        <v>11</v>
      </c>
      <c r="D1075" s="24" t="s">
        <v>322</v>
      </c>
      <c r="E1075" s="24">
        <v>50</v>
      </c>
      <c r="F1075" t="s">
        <v>373</v>
      </c>
      <c r="G1075" s="24" t="s">
        <v>32</v>
      </c>
      <c r="H1075" s="24" t="s">
        <v>18</v>
      </c>
      <c r="I1075" s="24">
        <v>3690</v>
      </c>
      <c r="J1075" s="24">
        <v>4</v>
      </c>
      <c r="K1075" s="25">
        <f t="shared" si="48"/>
        <v>14760</v>
      </c>
      <c r="L1075" s="26">
        <v>45553</v>
      </c>
      <c r="M1075" s="24" t="str">
        <f t="shared" si="49"/>
        <v>Wednesday</v>
      </c>
      <c r="N1075" s="24" t="str">
        <f t="shared" si="50"/>
        <v>Weekday</v>
      </c>
      <c r="Q1075" s="24"/>
      <c r="R1075" s="24"/>
      <c r="S1075" s="27"/>
      <c r="T1075"/>
      <c r="U1075" s="6"/>
      <c r="W1075" s="7"/>
      <c r="Z1075" s="4"/>
    </row>
    <row r="1076" spans="1:26" x14ac:dyDescent="0.3">
      <c r="A1076" t="s">
        <v>1447</v>
      </c>
      <c r="B1076" s="16" t="s">
        <v>143</v>
      </c>
      <c r="C1076" s="18" t="s">
        <v>20</v>
      </c>
      <c r="D1076" s="18" t="s">
        <v>323</v>
      </c>
      <c r="E1076" s="18">
        <v>39</v>
      </c>
      <c r="F1076" t="s">
        <v>381</v>
      </c>
      <c r="G1076" s="18" t="s">
        <v>31</v>
      </c>
      <c r="H1076" s="18" t="s">
        <v>18</v>
      </c>
      <c r="I1076" s="18">
        <v>6150</v>
      </c>
      <c r="J1076" s="18">
        <v>5</v>
      </c>
      <c r="K1076" s="19">
        <f t="shared" si="48"/>
        <v>30750</v>
      </c>
      <c r="L1076" s="20">
        <v>45415</v>
      </c>
      <c r="M1076" s="18" t="str">
        <f t="shared" si="49"/>
        <v>Friday</v>
      </c>
      <c r="N1076" s="18" t="str">
        <f t="shared" si="50"/>
        <v>Weekend</v>
      </c>
      <c r="Q1076" s="18"/>
      <c r="R1076" s="18"/>
      <c r="S1076" s="21"/>
      <c r="T1076"/>
      <c r="U1076" s="6"/>
      <c r="W1076" s="7"/>
      <c r="Z1076" s="4"/>
    </row>
    <row r="1077" spans="1:26" x14ac:dyDescent="0.3">
      <c r="A1077" t="s">
        <v>1448</v>
      </c>
      <c r="B1077" s="22" t="s">
        <v>229</v>
      </c>
      <c r="C1077" s="24" t="s">
        <v>11</v>
      </c>
      <c r="D1077" s="24" t="s">
        <v>324</v>
      </c>
      <c r="E1077" s="24">
        <v>66</v>
      </c>
      <c r="F1077" t="s">
        <v>381</v>
      </c>
      <c r="G1077" s="24" t="s">
        <v>42</v>
      </c>
      <c r="H1077" s="24" t="s">
        <v>14</v>
      </c>
      <c r="I1077" s="24">
        <v>98400</v>
      </c>
      <c r="J1077" s="24">
        <v>1</v>
      </c>
      <c r="K1077" s="25">
        <f t="shared" si="48"/>
        <v>98400</v>
      </c>
      <c r="L1077" s="26">
        <v>45595</v>
      </c>
      <c r="M1077" s="24" t="str">
        <f t="shared" si="49"/>
        <v>Wednesday</v>
      </c>
      <c r="N1077" s="24" t="str">
        <f t="shared" si="50"/>
        <v>Weekday</v>
      </c>
      <c r="Q1077" s="24"/>
      <c r="R1077" s="24"/>
      <c r="S1077" s="27"/>
      <c r="T1077"/>
      <c r="U1077" s="6"/>
      <c r="W1077" s="7"/>
      <c r="Z1077" s="4"/>
    </row>
    <row r="1078" spans="1:26" x14ac:dyDescent="0.3">
      <c r="A1078" t="s">
        <v>1449</v>
      </c>
      <c r="B1078" s="16" t="s">
        <v>65</v>
      </c>
      <c r="C1078" s="18" t="s">
        <v>11</v>
      </c>
      <c r="D1078" s="18" t="s">
        <v>326</v>
      </c>
      <c r="E1078" s="18">
        <v>61</v>
      </c>
      <c r="F1078" t="s">
        <v>381</v>
      </c>
      <c r="G1078" s="18" t="s">
        <v>42</v>
      </c>
      <c r="H1078" s="18" t="s">
        <v>14</v>
      </c>
      <c r="I1078" s="18">
        <v>98400</v>
      </c>
      <c r="J1078" s="18">
        <v>3</v>
      </c>
      <c r="K1078" s="19">
        <f t="shared" si="48"/>
        <v>295200</v>
      </c>
      <c r="L1078" s="20">
        <v>45517</v>
      </c>
      <c r="M1078" s="18" t="str">
        <f t="shared" si="49"/>
        <v>Tuesday</v>
      </c>
      <c r="N1078" s="18" t="str">
        <f t="shared" si="50"/>
        <v>Weekday</v>
      </c>
      <c r="Q1078" s="18"/>
      <c r="R1078" s="18"/>
      <c r="S1078" s="21"/>
      <c r="T1078"/>
      <c r="U1078" s="6"/>
      <c r="W1078" s="7"/>
      <c r="Z1078" s="4"/>
    </row>
    <row r="1079" spans="1:26" x14ac:dyDescent="0.3">
      <c r="A1079" t="s">
        <v>1450</v>
      </c>
      <c r="B1079" s="22" t="s">
        <v>261</v>
      </c>
      <c r="C1079" s="24" t="s">
        <v>20</v>
      </c>
      <c r="D1079" s="24" t="s">
        <v>325</v>
      </c>
      <c r="E1079" s="24">
        <v>49</v>
      </c>
      <c r="F1079" t="s">
        <v>375</v>
      </c>
      <c r="G1079" s="24" t="s">
        <v>42</v>
      </c>
      <c r="H1079" s="24" t="s">
        <v>14</v>
      </c>
      <c r="I1079" s="24">
        <v>98400</v>
      </c>
      <c r="J1079" s="24">
        <v>3</v>
      </c>
      <c r="K1079" s="25">
        <f t="shared" si="48"/>
        <v>295200</v>
      </c>
      <c r="L1079" s="26">
        <v>45359</v>
      </c>
      <c r="M1079" s="24" t="str">
        <f t="shared" si="49"/>
        <v>Friday</v>
      </c>
      <c r="N1079" s="24" t="str">
        <f t="shared" si="50"/>
        <v>Weekend</v>
      </c>
      <c r="Q1079" s="24"/>
      <c r="R1079" s="24"/>
      <c r="S1079" s="27"/>
      <c r="T1079"/>
      <c r="U1079" s="6"/>
      <c r="W1079" s="7"/>
      <c r="Z1079" s="4"/>
    </row>
    <row r="1080" spans="1:26" x14ac:dyDescent="0.3">
      <c r="A1080" t="s">
        <v>1451</v>
      </c>
      <c r="B1080" s="16" t="s">
        <v>249</v>
      </c>
      <c r="C1080" s="18" t="s">
        <v>20</v>
      </c>
      <c r="D1080" s="18" t="s">
        <v>322</v>
      </c>
      <c r="E1080" s="18">
        <v>37</v>
      </c>
      <c r="F1080" t="s">
        <v>373</v>
      </c>
      <c r="G1080" s="18" t="s">
        <v>31</v>
      </c>
      <c r="H1080" s="18" t="s">
        <v>18</v>
      </c>
      <c r="I1080" s="18">
        <v>6150</v>
      </c>
      <c r="J1080" s="18">
        <v>4</v>
      </c>
      <c r="K1080" s="19">
        <f t="shared" si="48"/>
        <v>24600</v>
      </c>
      <c r="L1080" s="20">
        <v>45593</v>
      </c>
      <c r="M1080" s="18" t="str">
        <f t="shared" si="49"/>
        <v>Monday</v>
      </c>
      <c r="N1080" s="18" t="str">
        <f t="shared" si="50"/>
        <v>Weekday</v>
      </c>
      <c r="Q1080" s="18"/>
      <c r="R1080" s="18"/>
      <c r="S1080" s="21"/>
      <c r="T1080"/>
      <c r="U1080" s="6"/>
      <c r="W1080" s="7"/>
      <c r="Z1080" s="4"/>
    </row>
    <row r="1081" spans="1:26" x14ac:dyDescent="0.3">
      <c r="A1081" t="s">
        <v>1452</v>
      </c>
      <c r="B1081" s="22" t="s">
        <v>184</v>
      </c>
      <c r="C1081" s="24" t="s">
        <v>20</v>
      </c>
      <c r="D1081" s="24" t="s">
        <v>322</v>
      </c>
      <c r="E1081" s="24">
        <v>32</v>
      </c>
      <c r="F1081" t="s">
        <v>375</v>
      </c>
      <c r="G1081" s="24" t="s">
        <v>32</v>
      </c>
      <c r="H1081" s="24" t="s">
        <v>18</v>
      </c>
      <c r="I1081" s="24">
        <v>3690</v>
      </c>
      <c r="J1081" s="24">
        <v>3</v>
      </c>
      <c r="K1081" s="25">
        <f t="shared" si="48"/>
        <v>11070</v>
      </c>
      <c r="L1081" s="26">
        <v>45602</v>
      </c>
      <c r="M1081" s="24" t="str">
        <f t="shared" si="49"/>
        <v>Wednesday</v>
      </c>
      <c r="N1081" s="24" t="str">
        <f t="shared" si="50"/>
        <v>Weekday</v>
      </c>
      <c r="Q1081" s="24"/>
      <c r="R1081" s="24"/>
      <c r="S1081" s="27"/>
      <c r="T1081"/>
      <c r="U1081" s="6"/>
      <c r="W1081" s="7"/>
      <c r="Z1081" s="4"/>
    </row>
    <row r="1082" spans="1:26" x14ac:dyDescent="0.3">
      <c r="A1082" t="s">
        <v>1453</v>
      </c>
      <c r="B1082" s="16" t="s">
        <v>65</v>
      </c>
      <c r="C1082" s="18" t="s">
        <v>11</v>
      </c>
      <c r="D1082" s="18" t="s">
        <v>326</v>
      </c>
      <c r="E1082" s="18">
        <v>61</v>
      </c>
      <c r="F1082" t="s">
        <v>375</v>
      </c>
      <c r="G1082" s="18" t="s">
        <v>31</v>
      </c>
      <c r="H1082" s="18" t="s">
        <v>18</v>
      </c>
      <c r="I1082" s="18">
        <v>6150</v>
      </c>
      <c r="J1082" s="18">
        <v>1</v>
      </c>
      <c r="K1082" s="19">
        <f t="shared" si="48"/>
        <v>6150</v>
      </c>
      <c r="L1082" s="20">
        <v>45564</v>
      </c>
      <c r="M1082" s="18" t="str">
        <f t="shared" si="49"/>
        <v>Sunday</v>
      </c>
      <c r="N1082" s="18" t="str">
        <f t="shared" si="50"/>
        <v>Weekday</v>
      </c>
      <c r="Q1082" s="18"/>
      <c r="R1082" s="18"/>
      <c r="S1082" s="21"/>
      <c r="T1082"/>
      <c r="U1082" s="6"/>
      <c r="W1082" s="7"/>
      <c r="Z1082" s="4"/>
    </row>
    <row r="1083" spans="1:26" x14ac:dyDescent="0.3">
      <c r="A1083" t="s">
        <v>1454</v>
      </c>
      <c r="B1083" s="22" t="s">
        <v>204</v>
      </c>
      <c r="C1083" s="24" t="s">
        <v>366</v>
      </c>
      <c r="D1083" s="24" t="s">
        <v>322</v>
      </c>
      <c r="E1083" s="24">
        <v>66</v>
      </c>
      <c r="F1083" t="s">
        <v>381</v>
      </c>
      <c r="G1083" s="24" t="s">
        <v>24</v>
      </c>
      <c r="H1083" s="24" t="s">
        <v>14</v>
      </c>
      <c r="I1083" s="24">
        <v>184500</v>
      </c>
      <c r="J1083" s="24">
        <v>2</v>
      </c>
      <c r="K1083" s="25">
        <f t="shared" si="48"/>
        <v>369000</v>
      </c>
      <c r="L1083" s="26">
        <v>45360</v>
      </c>
      <c r="M1083" s="24" t="str">
        <f t="shared" si="49"/>
        <v>Saturday</v>
      </c>
      <c r="N1083" s="24" t="str">
        <f t="shared" si="50"/>
        <v>Weekend</v>
      </c>
      <c r="Q1083" s="24"/>
      <c r="R1083" s="24"/>
      <c r="S1083" s="27"/>
      <c r="T1083"/>
      <c r="U1083" s="6"/>
      <c r="W1083" s="7"/>
      <c r="Z1083" s="4"/>
    </row>
    <row r="1084" spans="1:26" x14ac:dyDescent="0.3">
      <c r="A1084" t="s">
        <v>1455</v>
      </c>
      <c r="B1084" s="16" t="s">
        <v>127</v>
      </c>
      <c r="C1084" s="18" t="s">
        <v>11</v>
      </c>
      <c r="D1084" s="18" t="s">
        <v>325</v>
      </c>
      <c r="E1084" s="18">
        <v>29</v>
      </c>
      <c r="F1084" t="s">
        <v>375</v>
      </c>
      <c r="G1084" s="18" t="s">
        <v>17</v>
      </c>
      <c r="H1084" s="18" t="s">
        <v>18</v>
      </c>
      <c r="I1084" s="18">
        <v>12300</v>
      </c>
      <c r="J1084" s="18">
        <v>5</v>
      </c>
      <c r="K1084" s="19">
        <f t="shared" si="48"/>
        <v>61500</v>
      </c>
      <c r="L1084" s="20">
        <v>45586</v>
      </c>
      <c r="M1084" s="18" t="str">
        <f t="shared" si="49"/>
        <v>Monday</v>
      </c>
      <c r="N1084" s="18" t="str">
        <f t="shared" si="50"/>
        <v>Weekday</v>
      </c>
      <c r="Q1084" s="18"/>
      <c r="R1084" s="18"/>
      <c r="S1084" s="21"/>
      <c r="T1084"/>
      <c r="U1084" s="6"/>
      <c r="W1084" s="7"/>
      <c r="Z1084" s="4"/>
    </row>
    <row r="1085" spans="1:26" x14ac:dyDescent="0.3">
      <c r="A1085" t="s">
        <v>1456</v>
      </c>
      <c r="B1085" s="22" t="s">
        <v>64</v>
      </c>
      <c r="C1085" s="24" t="s">
        <v>20</v>
      </c>
      <c r="D1085" s="24" t="s">
        <v>324</v>
      </c>
      <c r="E1085" s="24">
        <v>58</v>
      </c>
      <c r="F1085" t="s">
        <v>370</v>
      </c>
      <c r="G1085" s="24" t="s">
        <v>17</v>
      </c>
      <c r="H1085" s="24" t="s">
        <v>18</v>
      </c>
      <c r="I1085" s="24">
        <v>12300</v>
      </c>
      <c r="J1085" s="24">
        <v>4</v>
      </c>
      <c r="K1085" s="25">
        <f t="shared" si="48"/>
        <v>49200</v>
      </c>
      <c r="L1085" s="26">
        <v>45651</v>
      </c>
      <c r="M1085" s="24" t="str">
        <f t="shared" si="49"/>
        <v>Wednesday</v>
      </c>
      <c r="N1085" s="24" t="str">
        <f t="shared" si="50"/>
        <v>Weekday</v>
      </c>
      <c r="Q1085" s="24"/>
      <c r="R1085" s="24"/>
      <c r="S1085" s="27"/>
      <c r="T1085"/>
      <c r="U1085" s="6"/>
      <c r="W1085" s="7"/>
      <c r="Z1085" s="4"/>
    </row>
    <row r="1086" spans="1:26" x14ac:dyDescent="0.3">
      <c r="A1086" t="s">
        <v>1457</v>
      </c>
      <c r="B1086" s="16" t="s">
        <v>255</v>
      </c>
      <c r="C1086" s="18" t="s">
        <v>20</v>
      </c>
      <c r="D1086" s="18" t="s">
        <v>322</v>
      </c>
      <c r="E1086" s="18">
        <v>56</v>
      </c>
      <c r="F1086" t="s">
        <v>370</v>
      </c>
      <c r="G1086" s="18" t="s">
        <v>32</v>
      </c>
      <c r="H1086" s="18" t="s">
        <v>18</v>
      </c>
      <c r="I1086" s="18">
        <v>3690</v>
      </c>
      <c r="J1086" s="18">
        <v>5</v>
      </c>
      <c r="K1086" s="19">
        <f t="shared" si="48"/>
        <v>18450</v>
      </c>
      <c r="L1086" s="20">
        <v>45393</v>
      </c>
      <c r="M1086" s="18" t="str">
        <f t="shared" si="49"/>
        <v>Thursday</v>
      </c>
      <c r="N1086" s="18" t="str">
        <f t="shared" si="50"/>
        <v>Weekday</v>
      </c>
      <c r="Q1086" s="18"/>
      <c r="R1086" s="18"/>
      <c r="S1086" s="21"/>
      <c r="T1086"/>
      <c r="U1086" s="6"/>
      <c r="W1086" s="7"/>
      <c r="Z1086" s="4"/>
    </row>
    <row r="1087" spans="1:26" x14ac:dyDescent="0.3">
      <c r="A1087" t="s">
        <v>1458</v>
      </c>
      <c r="B1087" s="22" t="s">
        <v>187</v>
      </c>
      <c r="C1087" s="24" t="s">
        <v>11</v>
      </c>
      <c r="D1087" s="24" t="s">
        <v>324</v>
      </c>
      <c r="E1087" s="24">
        <v>68</v>
      </c>
      <c r="F1087" t="s">
        <v>370</v>
      </c>
      <c r="G1087" s="24" t="s">
        <v>17</v>
      </c>
      <c r="H1087" s="24" t="s">
        <v>18</v>
      </c>
      <c r="I1087" s="24">
        <v>12300</v>
      </c>
      <c r="J1087" s="24">
        <v>4</v>
      </c>
      <c r="K1087" s="25">
        <f t="shared" si="48"/>
        <v>49200</v>
      </c>
      <c r="L1087" s="26">
        <v>45647</v>
      </c>
      <c r="M1087" s="24" t="str">
        <f t="shared" si="49"/>
        <v>Saturday</v>
      </c>
      <c r="N1087" s="24" t="str">
        <f t="shared" si="50"/>
        <v>Weekend</v>
      </c>
      <c r="Q1087" s="24"/>
      <c r="R1087" s="24"/>
      <c r="S1087" s="27"/>
      <c r="T1087"/>
      <c r="U1087" s="6"/>
      <c r="W1087" s="7"/>
      <c r="Z1087" s="4"/>
    </row>
    <row r="1088" spans="1:26" x14ac:dyDescent="0.3">
      <c r="A1088" t="s">
        <v>1459</v>
      </c>
      <c r="B1088" s="16" t="s">
        <v>181</v>
      </c>
      <c r="C1088" s="18" t="s">
        <v>20</v>
      </c>
      <c r="D1088" s="18" t="s">
        <v>325</v>
      </c>
      <c r="E1088" s="18">
        <v>61</v>
      </c>
      <c r="F1088" t="s">
        <v>370</v>
      </c>
      <c r="G1088" s="18" t="s">
        <v>42</v>
      </c>
      <c r="H1088" s="18" t="s">
        <v>14</v>
      </c>
      <c r="I1088" s="18">
        <v>98400</v>
      </c>
      <c r="J1088" s="18">
        <v>3</v>
      </c>
      <c r="K1088" s="19">
        <f t="shared" si="48"/>
        <v>295200</v>
      </c>
      <c r="L1088" s="20">
        <v>45552</v>
      </c>
      <c r="M1088" s="18" t="str">
        <f t="shared" si="49"/>
        <v>Tuesday</v>
      </c>
      <c r="N1088" s="18" t="str">
        <f t="shared" si="50"/>
        <v>Weekday</v>
      </c>
      <c r="Q1088" s="18"/>
      <c r="R1088" s="18"/>
      <c r="S1088" s="21"/>
      <c r="T1088"/>
      <c r="U1088" s="6"/>
      <c r="W1088" s="7"/>
      <c r="Z1088" s="4"/>
    </row>
    <row r="1089" spans="1:26" x14ac:dyDescent="0.3">
      <c r="A1089" t="s">
        <v>1460</v>
      </c>
      <c r="B1089" s="22" t="s">
        <v>63</v>
      </c>
      <c r="C1089" s="24" t="s">
        <v>20</v>
      </c>
      <c r="D1089" s="24" t="s">
        <v>322</v>
      </c>
      <c r="E1089" s="24">
        <v>61</v>
      </c>
      <c r="F1089" t="s">
        <v>370</v>
      </c>
      <c r="G1089" s="24" t="s">
        <v>24</v>
      </c>
      <c r="H1089" s="24" t="s">
        <v>14</v>
      </c>
      <c r="I1089" s="24">
        <v>184500</v>
      </c>
      <c r="J1089" s="24">
        <v>4</v>
      </c>
      <c r="K1089" s="25">
        <f t="shared" si="48"/>
        <v>738000</v>
      </c>
      <c r="L1089" s="26">
        <v>45516</v>
      </c>
      <c r="M1089" s="24" t="str">
        <f t="shared" si="49"/>
        <v>Monday</v>
      </c>
      <c r="N1089" s="24" t="str">
        <f t="shared" si="50"/>
        <v>Weekday</v>
      </c>
      <c r="Q1089" s="24"/>
      <c r="R1089" s="24"/>
      <c r="S1089" s="27"/>
      <c r="T1089"/>
      <c r="U1089" s="6"/>
      <c r="W1089" s="7"/>
      <c r="Z1089" s="4"/>
    </row>
    <row r="1090" spans="1:26" x14ac:dyDescent="0.3">
      <c r="A1090" t="s">
        <v>1461</v>
      </c>
      <c r="B1090" s="16" t="s">
        <v>172</v>
      </c>
      <c r="C1090" s="18" t="s">
        <v>20</v>
      </c>
      <c r="D1090" s="18" t="s">
        <v>327</v>
      </c>
      <c r="E1090" s="18">
        <v>57</v>
      </c>
      <c r="F1090" t="s">
        <v>381</v>
      </c>
      <c r="G1090" s="18" t="s">
        <v>13</v>
      </c>
      <c r="H1090" s="18" t="s">
        <v>14</v>
      </c>
      <c r="I1090" s="18">
        <v>36900</v>
      </c>
      <c r="J1090" s="18">
        <v>1</v>
      </c>
      <c r="K1090" s="19">
        <f t="shared" ref="K1090:K1153" si="51">I1090*J1090</f>
        <v>36900</v>
      </c>
      <c r="L1090" s="20">
        <v>45486</v>
      </c>
      <c r="M1090" s="18" t="str">
        <f t="shared" ref="M1090:M1153" si="52">TEXT(L1090, "dddd")</f>
        <v>Saturday</v>
      </c>
      <c r="N1090" s="18" t="str">
        <f t="shared" ref="N1090:N1153" si="53">IF(OR(WEEKDAY(L1090, 2)=5, WEEKDAY(L1090, 2)=6), "Weekend", "Weekday")</f>
        <v>Weekend</v>
      </c>
      <c r="Q1090" s="18"/>
      <c r="R1090" s="18"/>
      <c r="S1090" s="21"/>
      <c r="T1090"/>
      <c r="U1090" s="6"/>
      <c r="W1090" s="7"/>
      <c r="Z1090" s="4"/>
    </row>
    <row r="1091" spans="1:26" x14ac:dyDescent="0.3">
      <c r="A1091" t="s">
        <v>1462</v>
      </c>
      <c r="B1091" s="22" t="s">
        <v>262</v>
      </c>
      <c r="C1091" s="24" t="s">
        <v>20</v>
      </c>
      <c r="D1091" s="24" t="s">
        <v>324</v>
      </c>
      <c r="E1091" s="24">
        <v>35</v>
      </c>
      <c r="F1091" t="s">
        <v>375</v>
      </c>
      <c r="G1091" s="24" t="s">
        <v>31</v>
      </c>
      <c r="H1091" s="24" t="s">
        <v>18</v>
      </c>
      <c r="I1091" s="24">
        <v>6150</v>
      </c>
      <c r="J1091" s="24">
        <v>5</v>
      </c>
      <c r="K1091" s="25">
        <f t="shared" si="51"/>
        <v>30750</v>
      </c>
      <c r="L1091" s="26">
        <v>45625</v>
      </c>
      <c r="M1091" s="24" t="str">
        <f t="shared" si="52"/>
        <v>Friday</v>
      </c>
      <c r="N1091" s="24" t="str">
        <f t="shared" si="53"/>
        <v>Weekend</v>
      </c>
      <c r="Q1091" s="24"/>
      <c r="R1091" s="24"/>
      <c r="S1091" s="27"/>
      <c r="T1091"/>
      <c r="U1091" s="6"/>
      <c r="W1091" s="7"/>
      <c r="Z1091" s="4"/>
    </row>
    <row r="1092" spans="1:26" x14ac:dyDescent="0.3">
      <c r="A1092" t="s">
        <v>1463</v>
      </c>
      <c r="B1092" s="16" t="s">
        <v>47</v>
      </c>
      <c r="C1092" s="18" t="s">
        <v>20</v>
      </c>
      <c r="D1092" s="18" t="s">
        <v>324</v>
      </c>
      <c r="E1092" s="18">
        <v>52</v>
      </c>
      <c r="F1092" t="s">
        <v>375</v>
      </c>
      <c r="G1092" s="18" t="s">
        <v>26</v>
      </c>
      <c r="H1092" s="18" t="s">
        <v>27</v>
      </c>
      <c r="I1092" s="18">
        <v>24600</v>
      </c>
      <c r="J1092" s="18">
        <v>5</v>
      </c>
      <c r="K1092" s="19">
        <f t="shared" si="51"/>
        <v>123000</v>
      </c>
      <c r="L1092" s="20">
        <v>45646</v>
      </c>
      <c r="M1092" s="18" t="str">
        <f t="shared" si="52"/>
        <v>Friday</v>
      </c>
      <c r="N1092" s="18" t="str">
        <f t="shared" si="53"/>
        <v>Weekend</v>
      </c>
      <c r="Q1092" s="18"/>
      <c r="R1092" s="18"/>
      <c r="S1092" s="21"/>
      <c r="T1092"/>
      <c r="U1092" s="6"/>
      <c r="W1092" s="7"/>
      <c r="Z1092" s="4"/>
    </row>
    <row r="1093" spans="1:26" x14ac:dyDescent="0.3">
      <c r="A1093" t="s">
        <v>1464</v>
      </c>
      <c r="B1093" s="22" t="s">
        <v>269</v>
      </c>
      <c r="C1093" s="24" t="s">
        <v>11</v>
      </c>
      <c r="D1093" s="24" t="s">
        <v>327</v>
      </c>
      <c r="E1093" s="24">
        <v>19</v>
      </c>
      <c r="F1093" t="s">
        <v>370</v>
      </c>
      <c r="G1093" s="24" t="s">
        <v>31</v>
      </c>
      <c r="H1093" s="24" t="s">
        <v>18</v>
      </c>
      <c r="I1093" s="24">
        <v>6150</v>
      </c>
      <c r="J1093" s="24">
        <v>2</v>
      </c>
      <c r="K1093" s="25">
        <f t="shared" si="51"/>
        <v>12300</v>
      </c>
      <c r="L1093" s="26">
        <v>45447</v>
      </c>
      <c r="M1093" s="24" t="str">
        <f t="shared" si="52"/>
        <v>Tuesday</v>
      </c>
      <c r="N1093" s="24" t="str">
        <f t="shared" si="53"/>
        <v>Weekday</v>
      </c>
      <c r="Q1093" s="24"/>
      <c r="R1093" s="24"/>
      <c r="S1093" s="27"/>
      <c r="T1093"/>
      <c r="U1093" s="6"/>
      <c r="W1093" s="7"/>
      <c r="Z1093" s="4"/>
    </row>
    <row r="1094" spans="1:26" x14ac:dyDescent="0.3">
      <c r="A1094" t="s">
        <v>1465</v>
      </c>
      <c r="B1094" s="16" t="s">
        <v>201</v>
      </c>
      <c r="C1094" s="18" t="s">
        <v>20</v>
      </c>
      <c r="D1094" s="18" t="s">
        <v>322</v>
      </c>
      <c r="E1094" s="18">
        <v>50</v>
      </c>
      <c r="F1094" t="s">
        <v>375</v>
      </c>
      <c r="G1094" s="18" t="s">
        <v>32</v>
      </c>
      <c r="H1094" s="18" t="s">
        <v>18</v>
      </c>
      <c r="I1094" s="18">
        <v>3690</v>
      </c>
      <c r="J1094" s="18">
        <v>1</v>
      </c>
      <c r="K1094" s="19">
        <f t="shared" si="51"/>
        <v>3690</v>
      </c>
      <c r="L1094" s="20">
        <v>45414</v>
      </c>
      <c r="M1094" s="18" t="str">
        <f t="shared" si="52"/>
        <v>Thursday</v>
      </c>
      <c r="N1094" s="18" t="str">
        <f t="shared" si="53"/>
        <v>Weekday</v>
      </c>
      <c r="Q1094" s="18"/>
      <c r="R1094" s="18"/>
      <c r="S1094" s="21"/>
      <c r="T1094"/>
      <c r="U1094" s="6"/>
      <c r="W1094" s="7"/>
      <c r="Z1094" s="4"/>
    </row>
    <row r="1095" spans="1:26" x14ac:dyDescent="0.3">
      <c r="A1095" t="s">
        <v>1466</v>
      </c>
      <c r="B1095" s="22" t="s">
        <v>152</v>
      </c>
      <c r="C1095" s="24" t="s">
        <v>20</v>
      </c>
      <c r="D1095" s="24" t="s">
        <v>327</v>
      </c>
      <c r="E1095" s="24">
        <v>36</v>
      </c>
      <c r="F1095" t="s">
        <v>370</v>
      </c>
      <c r="G1095" s="24" t="s">
        <v>32</v>
      </c>
      <c r="H1095" s="24" t="s">
        <v>18</v>
      </c>
      <c r="I1095" s="24">
        <v>3690</v>
      </c>
      <c r="J1095" s="24">
        <v>4</v>
      </c>
      <c r="K1095" s="25">
        <f t="shared" si="51"/>
        <v>14760</v>
      </c>
      <c r="L1095" s="26">
        <v>45552</v>
      </c>
      <c r="M1095" s="24" t="str">
        <f t="shared" si="52"/>
        <v>Tuesday</v>
      </c>
      <c r="N1095" s="24" t="str">
        <f t="shared" si="53"/>
        <v>Weekday</v>
      </c>
      <c r="Q1095" s="24"/>
      <c r="R1095" s="24"/>
      <c r="S1095" s="27"/>
      <c r="T1095"/>
      <c r="U1095" s="6"/>
      <c r="W1095" s="7"/>
      <c r="Z1095" s="4"/>
    </row>
    <row r="1096" spans="1:26" x14ac:dyDescent="0.3">
      <c r="A1096" t="s">
        <v>1467</v>
      </c>
      <c r="B1096" s="16" t="s">
        <v>107</v>
      </c>
      <c r="C1096" s="18" t="s">
        <v>11</v>
      </c>
      <c r="D1096" s="18" t="s">
        <v>322</v>
      </c>
      <c r="E1096" s="18">
        <v>18</v>
      </c>
      <c r="F1096" t="s">
        <v>375</v>
      </c>
      <c r="G1096" s="18" t="s">
        <v>24</v>
      </c>
      <c r="H1096" s="18" t="s">
        <v>14</v>
      </c>
      <c r="I1096" s="18">
        <v>184500</v>
      </c>
      <c r="J1096" s="18">
        <v>3</v>
      </c>
      <c r="K1096" s="19">
        <f t="shared" si="51"/>
        <v>553500</v>
      </c>
      <c r="L1096" s="20">
        <v>45396</v>
      </c>
      <c r="M1096" s="18" t="str">
        <f t="shared" si="52"/>
        <v>Sunday</v>
      </c>
      <c r="N1096" s="18" t="str">
        <f t="shared" si="53"/>
        <v>Weekday</v>
      </c>
      <c r="Q1096" s="18"/>
      <c r="R1096" s="18"/>
      <c r="S1096" s="21"/>
      <c r="T1096"/>
      <c r="U1096" s="6"/>
      <c r="W1096" s="7"/>
      <c r="Z1096" s="4"/>
    </row>
    <row r="1097" spans="1:26" x14ac:dyDescent="0.3">
      <c r="A1097" t="s">
        <v>1468</v>
      </c>
      <c r="B1097" s="22" t="s">
        <v>199</v>
      </c>
      <c r="C1097" s="24" t="s">
        <v>20</v>
      </c>
      <c r="D1097" s="24" t="s">
        <v>323</v>
      </c>
      <c r="E1097" s="24">
        <v>45</v>
      </c>
      <c r="F1097" t="s">
        <v>381</v>
      </c>
      <c r="G1097" s="24" t="s">
        <v>32</v>
      </c>
      <c r="H1097" s="24" t="s">
        <v>18</v>
      </c>
      <c r="I1097" s="24">
        <v>3690</v>
      </c>
      <c r="J1097" s="24">
        <v>5</v>
      </c>
      <c r="K1097" s="25">
        <f t="shared" si="51"/>
        <v>18450</v>
      </c>
      <c r="L1097" s="26">
        <v>45617</v>
      </c>
      <c r="M1097" s="24" t="str">
        <f t="shared" si="52"/>
        <v>Thursday</v>
      </c>
      <c r="N1097" s="24" t="str">
        <f t="shared" si="53"/>
        <v>Weekday</v>
      </c>
      <c r="Q1097" s="24"/>
      <c r="R1097" s="24"/>
      <c r="S1097" s="27"/>
      <c r="T1097"/>
      <c r="U1097" s="6"/>
      <c r="W1097" s="7"/>
      <c r="Z1097" s="4"/>
    </row>
    <row r="1098" spans="1:26" x14ac:dyDescent="0.3">
      <c r="A1098" t="s">
        <v>1469</v>
      </c>
      <c r="B1098" s="16" t="s">
        <v>197</v>
      </c>
      <c r="C1098" s="18" t="s">
        <v>20</v>
      </c>
      <c r="D1098" s="18" t="s">
        <v>323</v>
      </c>
      <c r="E1098" s="18">
        <v>51</v>
      </c>
      <c r="F1098" t="s">
        <v>373</v>
      </c>
      <c r="G1098" s="18" t="s">
        <v>13</v>
      </c>
      <c r="H1098" s="18" t="s">
        <v>14</v>
      </c>
      <c r="I1098" s="18">
        <v>36900</v>
      </c>
      <c r="J1098" s="18">
        <v>3</v>
      </c>
      <c r="K1098" s="19">
        <f t="shared" si="51"/>
        <v>110700</v>
      </c>
      <c r="L1098" s="20">
        <v>45395</v>
      </c>
      <c r="M1098" s="18" t="str">
        <f t="shared" si="52"/>
        <v>Saturday</v>
      </c>
      <c r="N1098" s="18" t="str">
        <f t="shared" si="53"/>
        <v>Weekend</v>
      </c>
      <c r="Q1098" s="18"/>
      <c r="R1098" s="18"/>
      <c r="S1098" s="21"/>
      <c r="T1098"/>
      <c r="U1098" s="6"/>
      <c r="W1098" s="7"/>
      <c r="Z1098" s="4"/>
    </row>
    <row r="1099" spans="1:26" x14ac:dyDescent="0.3">
      <c r="A1099" t="s">
        <v>1470</v>
      </c>
      <c r="B1099" s="22" t="s">
        <v>171</v>
      </c>
      <c r="C1099" s="24" t="s">
        <v>11</v>
      </c>
      <c r="D1099" s="24" t="s">
        <v>324</v>
      </c>
      <c r="E1099" s="24">
        <v>51</v>
      </c>
      <c r="F1099" t="s">
        <v>370</v>
      </c>
      <c r="G1099" s="24" t="s">
        <v>24</v>
      </c>
      <c r="H1099" s="24" t="s">
        <v>14</v>
      </c>
      <c r="I1099" s="24">
        <v>184500</v>
      </c>
      <c r="J1099" s="24">
        <v>5</v>
      </c>
      <c r="K1099" s="25">
        <f t="shared" si="51"/>
        <v>922500</v>
      </c>
      <c r="L1099" s="26">
        <v>45354</v>
      </c>
      <c r="M1099" s="24" t="str">
        <f t="shared" si="52"/>
        <v>Sunday</v>
      </c>
      <c r="N1099" s="24" t="str">
        <f t="shared" si="53"/>
        <v>Weekday</v>
      </c>
      <c r="Q1099" s="24"/>
      <c r="R1099" s="24"/>
      <c r="S1099" s="27"/>
      <c r="T1099"/>
      <c r="U1099" s="6"/>
      <c r="W1099" s="7"/>
      <c r="Z1099" s="4"/>
    </row>
    <row r="1100" spans="1:26" x14ac:dyDescent="0.3">
      <c r="A1100" t="s">
        <v>1471</v>
      </c>
      <c r="B1100" s="16" t="s">
        <v>98</v>
      </c>
      <c r="C1100" s="18" t="s">
        <v>11</v>
      </c>
      <c r="D1100" s="18" t="s">
        <v>323</v>
      </c>
      <c r="E1100" s="18">
        <v>64</v>
      </c>
      <c r="F1100" t="s">
        <v>381</v>
      </c>
      <c r="G1100" s="18" t="s">
        <v>24</v>
      </c>
      <c r="H1100" s="18" t="s">
        <v>14</v>
      </c>
      <c r="I1100" s="18">
        <v>184500</v>
      </c>
      <c r="J1100" s="18">
        <v>3</v>
      </c>
      <c r="K1100" s="19">
        <f t="shared" si="51"/>
        <v>553500</v>
      </c>
      <c r="L1100" s="20">
        <v>45557</v>
      </c>
      <c r="M1100" s="18" t="str">
        <f t="shared" si="52"/>
        <v>Sunday</v>
      </c>
      <c r="N1100" s="18" t="str">
        <f t="shared" si="53"/>
        <v>Weekday</v>
      </c>
      <c r="Q1100" s="18"/>
      <c r="R1100" s="18"/>
      <c r="S1100" s="21"/>
      <c r="T1100"/>
      <c r="U1100" s="6"/>
      <c r="W1100" s="7"/>
      <c r="Z1100" s="4"/>
    </row>
    <row r="1101" spans="1:26" x14ac:dyDescent="0.3">
      <c r="A1101" t="s">
        <v>1472</v>
      </c>
      <c r="B1101" s="22" t="s">
        <v>226</v>
      </c>
      <c r="C1101" s="24" t="s">
        <v>366</v>
      </c>
      <c r="D1101" s="24" t="s">
        <v>329</v>
      </c>
      <c r="E1101" s="24">
        <v>34</v>
      </c>
      <c r="F1101" t="s">
        <v>381</v>
      </c>
      <c r="G1101" s="24" t="s">
        <v>17</v>
      </c>
      <c r="H1101" s="24" t="s">
        <v>18</v>
      </c>
      <c r="I1101" s="24">
        <v>12300</v>
      </c>
      <c r="J1101" s="24">
        <v>5</v>
      </c>
      <c r="K1101" s="25">
        <f t="shared" si="51"/>
        <v>61500</v>
      </c>
      <c r="L1101" s="26">
        <v>45453</v>
      </c>
      <c r="M1101" s="24" t="str">
        <f t="shared" si="52"/>
        <v>Monday</v>
      </c>
      <c r="N1101" s="24" t="str">
        <f t="shared" si="53"/>
        <v>Weekday</v>
      </c>
      <c r="Q1101" s="24"/>
      <c r="R1101" s="24"/>
      <c r="S1101" s="27"/>
      <c r="T1101"/>
      <c r="U1101" s="6"/>
      <c r="W1101" s="7"/>
      <c r="Z1101" s="4"/>
    </row>
    <row r="1102" spans="1:26" x14ac:dyDescent="0.3">
      <c r="A1102" t="s">
        <v>1473</v>
      </c>
      <c r="B1102" s="16" t="s">
        <v>312</v>
      </c>
      <c r="C1102" s="18" t="s">
        <v>20</v>
      </c>
      <c r="D1102" s="18" t="s">
        <v>323</v>
      </c>
      <c r="E1102" s="18">
        <v>29</v>
      </c>
      <c r="F1102" t="s">
        <v>370</v>
      </c>
      <c r="G1102" s="18" t="s">
        <v>26</v>
      </c>
      <c r="H1102" s="18" t="s">
        <v>27</v>
      </c>
      <c r="I1102" s="18">
        <v>24600</v>
      </c>
      <c r="J1102" s="18">
        <v>3</v>
      </c>
      <c r="K1102" s="19">
        <f t="shared" si="51"/>
        <v>73800</v>
      </c>
      <c r="L1102" s="20">
        <v>45345</v>
      </c>
      <c r="M1102" s="18" t="str">
        <f t="shared" si="52"/>
        <v>Friday</v>
      </c>
      <c r="N1102" s="18" t="str">
        <f t="shared" si="53"/>
        <v>Weekend</v>
      </c>
      <c r="Q1102" s="18"/>
      <c r="R1102" s="18"/>
      <c r="S1102" s="21"/>
      <c r="T1102"/>
      <c r="U1102" s="6"/>
      <c r="W1102" s="7"/>
      <c r="Z1102" s="4"/>
    </row>
    <row r="1103" spans="1:26" x14ac:dyDescent="0.3">
      <c r="A1103" t="s">
        <v>1474</v>
      </c>
      <c r="B1103" s="22" t="s">
        <v>184</v>
      </c>
      <c r="C1103" s="24" t="s">
        <v>20</v>
      </c>
      <c r="D1103" s="24" t="s">
        <v>322</v>
      </c>
      <c r="E1103" s="24">
        <v>32</v>
      </c>
      <c r="F1103" t="s">
        <v>370</v>
      </c>
      <c r="G1103" s="24" t="s">
        <v>17</v>
      </c>
      <c r="H1103" s="24" t="s">
        <v>18</v>
      </c>
      <c r="I1103" s="24">
        <v>12300</v>
      </c>
      <c r="J1103" s="24">
        <v>2</v>
      </c>
      <c r="K1103" s="25">
        <f t="shared" si="51"/>
        <v>24600</v>
      </c>
      <c r="L1103" s="26">
        <v>45520</v>
      </c>
      <c r="M1103" s="24" t="str">
        <f t="shared" si="52"/>
        <v>Friday</v>
      </c>
      <c r="N1103" s="24" t="str">
        <f t="shared" si="53"/>
        <v>Weekend</v>
      </c>
      <c r="Q1103" s="24"/>
      <c r="R1103" s="24"/>
      <c r="S1103" s="27"/>
      <c r="T1103"/>
      <c r="U1103" s="6"/>
      <c r="W1103" s="7"/>
      <c r="Z1103" s="4"/>
    </row>
    <row r="1104" spans="1:26" x14ac:dyDescent="0.3">
      <c r="A1104" t="s">
        <v>1475</v>
      </c>
      <c r="B1104" s="16" t="s">
        <v>124</v>
      </c>
      <c r="C1104" s="18" t="s">
        <v>20</v>
      </c>
      <c r="D1104" s="18" t="s">
        <v>326</v>
      </c>
      <c r="E1104" s="18">
        <v>19</v>
      </c>
      <c r="F1104" t="s">
        <v>381</v>
      </c>
      <c r="G1104" s="18" t="s">
        <v>17</v>
      </c>
      <c r="H1104" s="18" t="s">
        <v>18</v>
      </c>
      <c r="I1104" s="18">
        <v>12300</v>
      </c>
      <c r="J1104" s="18">
        <v>2</v>
      </c>
      <c r="K1104" s="19">
        <f t="shared" si="51"/>
        <v>24600</v>
      </c>
      <c r="L1104" s="20">
        <v>45350</v>
      </c>
      <c r="M1104" s="18" t="str">
        <f t="shared" si="52"/>
        <v>Wednesday</v>
      </c>
      <c r="N1104" s="18" t="str">
        <f t="shared" si="53"/>
        <v>Weekday</v>
      </c>
      <c r="Q1104" s="18"/>
      <c r="R1104" s="18"/>
      <c r="S1104" s="21"/>
      <c r="T1104"/>
      <c r="U1104" s="6"/>
      <c r="W1104" s="7"/>
      <c r="Z1104" s="4"/>
    </row>
    <row r="1105" spans="1:26" x14ac:dyDescent="0.3">
      <c r="A1105" t="s">
        <v>1476</v>
      </c>
      <c r="B1105" s="22" t="s">
        <v>77</v>
      </c>
      <c r="C1105" s="24" t="s">
        <v>366</v>
      </c>
      <c r="D1105" s="24" t="s">
        <v>322</v>
      </c>
      <c r="E1105" s="24">
        <v>49</v>
      </c>
      <c r="F1105" t="s">
        <v>370</v>
      </c>
      <c r="G1105" s="24" t="s">
        <v>31</v>
      </c>
      <c r="H1105" s="24" t="s">
        <v>18</v>
      </c>
      <c r="I1105" s="24">
        <v>6150</v>
      </c>
      <c r="J1105" s="24">
        <v>5</v>
      </c>
      <c r="K1105" s="25">
        <f t="shared" si="51"/>
        <v>30750</v>
      </c>
      <c r="L1105" s="26">
        <v>45628</v>
      </c>
      <c r="M1105" s="24" t="str">
        <f t="shared" si="52"/>
        <v>Monday</v>
      </c>
      <c r="N1105" s="24" t="str">
        <f t="shared" si="53"/>
        <v>Weekday</v>
      </c>
      <c r="Q1105" s="24"/>
      <c r="R1105" s="24"/>
      <c r="S1105" s="27"/>
      <c r="T1105"/>
      <c r="U1105" s="6"/>
      <c r="W1105" s="7"/>
      <c r="Z1105" s="4"/>
    </row>
    <row r="1106" spans="1:26" x14ac:dyDescent="0.3">
      <c r="A1106" t="s">
        <v>1477</v>
      </c>
      <c r="B1106" s="16" t="s">
        <v>198</v>
      </c>
      <c r="C1106" s="18" t="s">
        <v>366</v>
      </c>
      <c r="D1106" s="18" t="s">
        <v>324</v>
      </c>
      <c r="E1106" s="18">
        <v>66</v>
      </c>
      <c r="F1106" t="s">
        <v>370</v>
      </c>
      <c r="G1106" s="18" t="s">
        <v>42</v>
      </c>
      <c r="H1106" s="18" t="s">
        <v>14</v>
      </c>
      <c r="I1106" s="18">
        <v>98400</v>
      </c>
      <c r="J1106" s="18">
        <v>5</v>
      </c>
      <c r="K1106" s="19">
        <f t="shared" si="51"/>
        <v>492000</v>
      </c>
      <c r="L1106" s="20">
        <v>45540</v>
      </c>
      <c r="M1106" s="18" t="str">
        <f t="shared" si="52"/>
        <v>Thursday</v>
      </c>
      <c r="N1106" s="18" t="str">
        <f t="shared" si="53"/>
        <v>Weekday</v>
      </c>
      <c r="Q1106" s="18"/>
      <c r="R1106" s="18"/>
      <c r="S1106" s="21"/>
      <c r="T1106"/>
      <c r="U1106" s="6"/>
      <c r="W1106" s="7"/>
      <c r="Z1106" s="4"/>
    </row>
    <row r="1107" spans="1:26" x14ac:dyDescent="0.3">
      <c r="A1107" t="s">
        <v>1478</v>
      </c>
      <c r="B1107" s="22" t="s">
        <v>109</v>
      </c>
      <c r="C1107" s="24" t="s">
        <v>366</v>
      </c>
      <c r="D1107" s="24" t="s">
        <v>324</v>
      </c>
      <c r="E1107" s="24">
        <v>26</v>
      </c>
      <c r="F1107" t="s">
        <v>373</v>
      </c>
      <c r="G1107" s="24" t="s">
        <v>17</v>
      </c>
      <c r="H1107" s="24" t="s">
        <v>18</v>
      </c>
      <c r="I1107" s="24">
        <v>12300</v>
      </c>
      <c r="J1107" s="24">
        <v>5</v>
      </c>
      <c r="K1107" s="25">
        <f t="shared" si="51"/>
        <v>61500</v>
      </c>
      <c r="L1107" s="26">
        <v>45620</v>
      </c>
      <c r="M1107" s="24" t="str">
        <f t="shared" si="52"/>
        <v>Sunday</v>
      </c>
      <c r="N1107" s="24" t="str">
        <f t="shared" si="53"/>
        <v>Weekday</v>
      </c>
      <c r="Q1107" s="24"/>
      <c r="R1107" s="24"/>
      <c r="S1107" s="27"/>
      <c r="T1107"/>
      <c r="U1107" s="6"/>
      <c r="W1107" s="7"/>
      <c r="Z1107" s="4"/>
    </row>
    <row r="1108" spans="1:26" x14ac:dyDescent="0.3">
      <c r="A1108" t="s">
        <v>1479</v>
      </c>
      <c r="B1108" s="16" t="s">
        <v>250</v>
      </c>
      <c r="C1108" s="18" t="s">
        <v>11</v>
      </c>
      <c r="D1108" s="18" t="s">
        <v>326</v>
      </c>
      <c r="E1108" s="18">
        <v>50</v>
      </c>
      <c r="F1108" t="s">
        <v>373</v>
      </c>
      <c r="G1108" s="18" t="s">
        <v>13</v>
      </c>
      <c r="H1108" s="18" t="s">
        <v>14</v>
      </c>
      <c r="I1108" s="18">
        <v>36900</v>
      </c>
      <c r="J1108" s="18">
        <v>4</v>
      </c>
      <c r="K1108" s="19">
        <f t="shared" si="51"/>
        <v>147600</v>
      </c>
      <c r="L1108" s="20">
        <v>45604</v>
      </c>
      <c r="M1108" s="18" t="str">
        <f t="shared" si="52"/>
        <v>Friday</v>
      </c>
      <c r="N1108" s="18" t="str">
        <f t="shared" si="53"/>
        <v>Weekend</v>
      </c>
      <c r="Q1108" s="18"/>
      <c r="R1108" s="18"/>
      <c r="S1108" s="21"/>
      <c r="T1108"/>
      <c r="U1108" s="6"/>
      <c r="W1108" s="7"/>
      <c r="Z1108" s="4"/>
    </row>
    <row r="1109" spans="1:26" x14ac:dyDescent="0.3">
      <c r="A1109" t="s">
        <v>1480</v>
      </c>
      <c r="B1109" s="22" t="s">
        <v>253</v>
      </c>
      <c r="C1109" s="24" t="s">
        <v>366</v>
      </c>
      <c r="D1109" s="24" t="s">
        <v>323</v>
      </c>
      <c r="E1109" s="24">
        <v>51</v>
      </c>
      <c r="F1109" t="s">
        <v>370</v>
      </c>
      <c r="G1109" s="24" t="s">
        <v>31</v>
      </c>
      <c r="H1109" s="24" t="s">
        <v>18</v>
      </c>
      <c r="I1109" s="24">
        <v>6150</v>
      </c>
      <c r="J1109" s="24">
        <v>3</v>
      </c>
      <c r="K1109" s="25">
        <f t="shared" si="51"/>
        <v>18450</v>
      </c>
      <c r="L1109" s="26">
        <v>45634</v>
      </c>
      <c r="M1109" s="24" t="str">
        <f t="shared" si="52"/>
        <v>Sunday</v>
      </c>
      <c r="N1109" s="24" t="str">
        <f t="shared" si="53"/>
        <v>Weekday</v>
      </c>
      <c r="Q1109" s="24"/>
      <c r="R1109" s="24"/>
      <c r="S1109" s="27"/>
      <c r="T1109"/>
      <c r="U1109" s="6"/>
      <c r="W1109" s="7"/>
      <c r="Z1109" s="4"/>
    </row>
    <row r="1110" spans="1:26" x14ac:dyDescent="0.3">
      <c r="A1110" t="s">
        <v>1481</v>
      </c>
      <c r="B1110" s="16" t="s">
        <v>299</v>
      </c>
      <c r="C1110" s="18" t="s">
        <v>366</v>
      </c>
      <c r="D1110" s="18" t="s">
        <v>329</v>
      </c>
      <c r="E1110" s="18">
        <v>44</v>
      </c>
      <c r="F1110" t="s">
        <v>381</v>
      </c>
      <c r="G1110" s="18" t="s">
        <v>17</v>
      </c>
      <c r="H1110" s="18" t="s">
        <v>18</v>
      </c>
      <c r="I1110" s="18">
        <v>12300</v>
      </c>
      <c r="J1110" s="18">
        <v>3</v>
      </c>
      <c r="K1110" s="19">
        <f t="shared" si="51"/>
        <v>36900</v>
      </c>
      <c r="L1110" s="20">
        <v>45351</v>
      </c>
      <c r="M1110" s="18" t="str">
        <f t="shared" si="52"/>
        <v>Thursday</v>
      </c>
      <c r="N1110" s="18" t="str">
        <f t="shared" si="53"/>
        <v>Weekday</v>
      </c>
      <c r="Q1110" s="18"/>
      <c r="R1110" s="18"/>
      <c r="S1110" s="21"/>
      <c r="T1110"/>
      <c r="U1110" s="6"/>
      <c r="W1110" s="7"/>
      <c r="Z1110" s="4"/>
    </row>
    <row r="1111" spans="1:26" x14ac:dyDescent="0.3">
      <c r="A1111" t="s">
        <v>1482</v>
      </c>
      <c r="B1111" s="22" t="s">
        <v>170</v>
      </c>
      <c r="C1111" s="24" t="s">
        <v>20</v>
      </c>
      <c r="D1111" s="24" t="s">
        <v>326</v>
      </c>
      <c r="E1111" s="24">
        <v>42</v>
      </c>
      <c r="F1111" t="s">
        <v>375</v>
      </c>
      <c r="G1111" s="24" t="s">
        <v>42</v>
      </c>
      <c r="H1111" s="24" t="s">
        <v>14</v>
      </c>
      <c r="I1111" s="24">
        <v>98400</v>
      </c>
      <c r="J1111" s="24">
        <v>4</v>
      </c>
      <c r="K1111" s="25">
        <f t="shared" si="51"/>
        <v>393600</v>
      </c>
      <c r="L1111" s="26">
        <v>45541</v>
      </c>
      <c r="M1111" s="24" t="str">
        <f t="shared" si="52"/>
        <v>Friday</v>
      </c>
      <c r="N1111" s="24" t="str">
        <f t="shared" si="53"/>
        <v>Weekend</v>
      </c>
      <c r="Q1111" s="24"/>
      <c r="R1111" s="24"/>
      <c r="S1111" s="27"/>
      <c r="T1111"/>
      <c r="U1111" s="6"/>
      <c r="W1111" s="7"/>
      <c r="Z1111" s="4"/>
    </row>
    <row r="1112" spans="1:26" x14ac:dyDescent="0.3">
      <c r="A1112" t="s">
        <v>1483</v>
      </c>
      <c r="B1112" s="16" t="s">
        <v>128</v>
      </c>
      <c r="C1112" s="18" t="s">
        <v>11</v>
      </c>
      <c r="D1112" s="18" t="s">
        <v>323</v>
      </c>
      <c r="E1112" s="18">
        <v>50</v>
      </c>
      <c r="F1112" t="s">
        <v>370</v>
      </c>
      <c r="G1112" s="18" t="s">
        <v>42</v>
      </c>
      <c r="H1112" s="18" t="s">
        <v>14</v>
      </c>
      <c r="I1112" s="18">
        <v>98400</v>
      </c>
      <c r="J1112" s="18">
        <v>5</v>
      </c>
      <c r="K1112" s="19">
        <f t="shared" si="51"/>
        <v>492000</v>
      </c>
      <c r="L1112" s="20">
        <v>45475</v>
      </c>
      <c r="M1112" s="18" t="str">
        <f t="shared" si="52"/>
        <v>Tuesday</v>
      </c>
      <c r="N1112" s="18" t="str">
        <f t="shared" si="53"/>
        <v>Weekday</v>
      </c>
      <c r="Q1112" s="18"/>
      <c r="R1112" s="18"/>
      <c r="S1112" s="21"/>
      <c r="T1112"/>
      <c r="U1112" s="6"/>
      <c r="W1112" s="7"/>
      <c r="Z1112" s="4"/>
    </row>
    <row r="1113" spans="1:26" x14ac:dyDescent="0.3">
      <c r="A1113" t="s">
        <v>1484</v>
      </c>
      <c r="B1113" s="22" t="s">
        <v>272</v>
      </c>
      <c r="C1113" s="24" t="s">
        <v>20</v>
      </c>
      <c r="D1113" s="24" t="s">
        <v>322</v>
      </c>
      <c r="E1113" s="24">
        <v>36</v>
      </c>
      <c r="F1113" t="s">
        <v>370</v>
      </c>
      <c r="G1113" s="24" t="s">
        <v>42</v>
      </c>
      <c r="H1113" s="24" t="s">
        <v>14</v>
      </c>
      <c r="I1113" s="24">
        <v>98400</v>
      </c>
      <c r="J1113" s="24">
        <v>3</v>
      </c>
      <c r="K1113" s="25">
        <f t="shared" si="51"/>
        <v>295200</v>
      </c>
      <c r="L1113" s="26">
        <v>45405</v>
      </c>
      <c r="M1113" s="24" t="str">
        <f t="shared" si="52"/>
        <v>Tuesday</v>
      </c>
      <c r="N1113" s="24" t="str">
        <f t="shared" si="53"/>
        <v>Weekday</v>
      </c>
      <c r="Q1113" s="24"/>
      <c r="R1113" s="24"/>
      <c r="S1113" s="27"/>
      <c r="T1113"/>
      <c r="U1113" s="6"/>
      <c r="W1113" s="7"/>
      <c r="Z1113" s="4"/>
    </row>
    <row r="1114" spans="1:26" x14ac:dyDescent="0.3">
      <c r="A1114" t="s">
        <v>1485</v>
      </c>
      <c r="B1114" s="16" t="s">
        <v>290</v>
      </c>
      <c r="C1114" s="18" t="s">
        <v>366</v>
      </c>
      <c r="D1114" s="18" t="s">
        <v>326</v>
      </c>
      <c r="E1114" s="18">
        <v>66</v>
      </c>
      <c r="F1114" t="s">
        <v>375</v>
      </c>
      <c r="G1114" s="18" t="s">
        <v>42</v>
      </c>
      <c r="H1114" s="18" t="s">
        <v>14</v>
      </c>
      <c r="I1114" s="18">
        <v>98400</v>
      </c>
      <c r="J1114" s="18">
        <v>1</v>
      </c>
      <c r="K1114" s="19">
        <f t="shared" si="51"/>
        <v>98400</v>
      </c>
      <c r="L1114" s="20">
        <v>45510</v>
      </c>
      <c r="M1114" s="18" t="str">
        <f t="shared" si="52"/>
        <v>Tuesday</v>
      </c>
      <c r="N1114" s="18" t="str">
        <f t="shared" si="53"/>
        <v>Weekday</v>
      </c>
      <c r="Q1114" s="18"/>
      <c r="R1114" s="18"/>
      <c r="S1114" s="21"/>
      <c r="T1114"/>
      <c r="U1114" s="6"/>
      <c r="W1114" s="7"/>
      <c r="Z1114" s="4"/>
    </row>
    <row r="1115" spans="1:26" x14ac:dyDescent="0.3">
      <c r="A1115" t="s">
        <v>1486</v>
      </c>
      <c r="B1115" s="22" t="s">
        <v>165</v>
      </c>
      <c r="C1115" s="24" t="s">
        <v>11</v>
      </c>
      <c r="D1115" s="24" t="s">
        <v>324</v>
      </c>
      <c r="E1115" s="24">
        <v>21</v>
      </c>
      <c r="F1115" t="s">
        <v>375</v>
      </c>
      <c r="G1115" s="24" t="s">
        <v>26</v>
      </c>
      <c r="H1115" s="24" t="s">
        <v>27</v>
      </c>
      <c r="I1115" s="24">
        <v>24600</v>
      </c>
      <c r="J1115" s="24">
        <v>5</v>
      </c>
      <c r="K1115" s="25">
        <f t="shared" si="51"/>
        <v>123000</v>
      </c>
      <c r="L1115" s="26">
        <v>45354</v>
      </c>
      <c r="M1115" s="24" t="str">
        <f t="shared" si="52"/>
        <v>Sunday</v>
      </c>
      <c r="N1115" s="24" t="str">
        <f t="shared" si="53"/>
        <v>Weekday</v>
      </c>
      <c r="Q1115" s="24"/>
      <c r="R1115" s="24"/>
      <c r="S1115" s="27"/>
      <c r="T1115"/>
      <c r="U1115" s="6"/>
      <c r="W1115" s="7"/>
      <c r="Z1115" s="4"/>
    </row>
    <row r="1116" spans="1:26" x14ac:dyDescent="0.3">
      <c r="A1116" t="s">
        <v>1487</v>
      </c>
      <c r="B1116" s="16" t="s">
        <v>139</v>
      </c>
      <c r="C1116" s="18" t="s">
        <v>366</v>
      </c>
      <c r="D1116" s="18" t="s">
        <v>324</v>
      </c>
      <c r="E1116" s="18">
        <v>27</v>
      </c>
      <c r="F1116" t="s">
        <v>375</v>
      </c>
      <c r="G1116" s="18" t="s">
        <v>42</v>
      </c>
      <c r="H1116" s="18" t="s">
        <v>14</v>
      </c>
      <c r="I1116" s="18">
        <v>98400</v>
      </c>
      <c r="J1116" s="18">
        <v>4</v>
      </c>
      <c r="K1116" s="19">
        <f t="shared" si="51"/>
        <v>393600</v>
      </c>
      <c r="L1116" s="20">
        <v>45640</v>
      </c>
      <c r="M1116" s="18" t="str">
        <f t="shared" si="52"/>
        <v>Saturday</v>
      </c>
      <c r="N1116" s="18" t="str">
        <f t="shared" si="53"/>
        <v>Weekend</v>
      </c>
      <c r="Q1116" s="18"/>
      <c r="R1116" s="18"/>
      <c r="S1116" s="21"/>
      <c r="T1116"/>
      <c r="U1116" s="6"/>
      <c r="W1116" s="7"/>
      <c r="Z1116" s="4"/>
    </row>
    <row r="1117" spans="1:26" x14ac:dyDescent="0.3">
      <c r="A1117" t="s">
        <v>1488</v>
      </c>
      <c r="B1117" s="22" t="s">
        <v>53</v>
      </c>
      <c r="C1117" s="24" t="s">
        <v>11</v>
      </c>
      <c r="D1117" s="24" t="s">
        <v>322</v>
      </c>
      <c r="E1117" s="24">
        <v>28</v>
      </c>
      <c r="F1117" t="s">
        <v>373</v>
      </c>
      <c r="G1117" s="24" t="s">
        <v>26</v>
      </c>
      <c r="H1117" s="24" t="s">
        <v>27</v>
      </c>
      <c r="I1117" s="24">
        <v>24600</v>
      </c>
      <c r="J1117" s="24">
        <v>5</v>
      </c>
      <c r="K1117" s="25">
        <f t="shared" si="51"/>
        <v>123000</v>
      </c>
      <c r="L1117" s="26">
        <v>45446</v>
      </c>
      <c r="M1117" s="24" t="str">
        <f t="shared" si="52"/>
        <v>Monday</v>
      </c>
      <c r="N1117" s="24" t="str">
        <f t="shared" si="53"/>
        <v>Weekday</v>
      </c>
      <c r="Q1117" s="24"/>
      <c r="R1117" s="24"/>
      <c r="S1117" s="27"/>
      <c r="T1117"/>
      <c r="U1117" s="6"/>
      <c r="W1117" s="7"/>
      <c r="Z1117" s="4"/>
    </row>
    <row r="1118" spans="1:26" x14ac:dyDescent="0.3">
      <c r="A1118" t="s">
        <v>1489</v>
      </c>
      <c r="B1118" s="16" t="s">
        <v>217</v>
      </c>
      <c r="C1118" s="18" t="s">
        <v>11</v>
      </c>
      <c r="D1118" s="18" t="s">
        <v>324</v>
      </c>
      <c r="E1118" s="18">
        <v>62</v>
      </c>
      <c r="F1118" t="s">
        <v>373</v>
      </c>
      <c r="G1118" s="18" t="s">
        <v>17</v>
      </c>
      <c r="H1118" s="18" t="s">
        <v>18</v>
      </c>
      <c r="I1118" s="18">
        <v>12300</v>
      </c>
      <c r="J1118" s="18">
        <v>1</v>
      </c>
      <c r="K1118" s="19">
        <f t="shared" si="51"/>
        <v>12300</v>
      </c>
      <c r="L1118" s="20">
        <v>45592</v>
      </c>
      <c r="M1118" s="18" t="str">
        <f t="shared" si="52"/>
        <v>Sunday</v>
      </c>
      <c r="N1118" s="18" t="str">
        <f t="shared" si="53"/>
        <v>Weekday</v>
      </c>
      <c r="Q1118" s="18"/>
      <c r="R1118" s="18"/>
      <c r="S1118" s="21"/>
      <c r="T1118"/>
      <c r="U1118" s="6"/>
      <c r="W1118" s="7"/>
      <c r="Z1118" s="4"/>
    </row>
    <row r="1119" spans="1:26" x14ac:dyDescent="0.3">
      <c r="A1119" t="s">
        <v>1490</v>
      </c>
      <c r="B1119" s="22" t="s">
        <v>197</v>
      </c>
      <c r="C1119" s="24" t="s">
        <v>20</v>
      </c>
      <c r="D1119" s="24" t="s">
        <v>323</v>
      </c>
      <c r="E1119" s="24">
        <v>51</v>
      </c>
      <c r="F1119" t="s">
        <v>373</v>
      </c>
      <c r="G1119" s="24" t="s">
        <v>42</v>
      </c>
      <c r="H1119" s="24" t="s">
        <v>14</v>
      </c>
      <c r="I1119" s="24">
        <v>98400</v>
      </c>
      <c r="J1119" s="24">
        <v>2</v>
      </c>
      <c r="K1119" s="25">
        <f t="shared" si="51"/>
        <v>196800</v>
      </c>
      <c r="L1119" s="26">
        <v>45656</v>
      </c>
      <c r="M1119" s="24" t="str">
        <f t="shared" si="52"/>
        <v>Monday</v>
      </c>
      <c r="N1119" s="24" t="str">
        <f t="shared" si="53"/>
        <v>Weekday</v>
      </c>
      <c r="Q1119" s="24"/>
      <c r="R1119" s="24"/>
      <c r="S1119" s="27"/>
      <c r="T1119"/>
      <c r="U1119" s="6"/>
      <c r="W1119" s="7"/>
      <c r="Z1119" s="4"/>
    </row>
    <row r="1120" spans="1:26" x14ac:dyDescent="0.3">
      <c r="A1120" t="s">
        <v>1491</v>
      </c>
      <c r="B1120" s="16" t="s">
        <v>267</v>
      </c>
      <c r="C1120" s="18" t="s">
        <v>366</v>
      </c>
      <c r="D1120" s="18" t="s">
        <v>325</v>
      </c>
      <c r="E1120" s="18">
        <v>67</v>
      </c>
      <c r="F1120" t="s">
        <v>381</v>
      </c>
      <c r="G1120" s="18" t="s">
        <v>32</v>
      </c>
      <c r="H1120" s="18" t="s">
        <v>18</v>
      </c>
      <c r="I1120" s="18">
        <v>3690</v>
      </c>
      <c r="J1120" s="18">
        <v>2</v>
      </c>
      <c r="K1120" s="19">
        <f t="shared" si="51"/>
        <v>7380</v>
      </c>
      <c r="L1120" s="20">
        <v>45580</v>
      </c>
      <c r="M1120" s="18" t="str">
        <f t="shared" si="52"/>
        <v>Tuesday</v>
      </c>
      <c r="N1120" s="18" t="str">
        <f t="shared" si="53"/>
        <v>Weekday</v>
      </c>
      <c r="Q1120" s="18"/>
      <c r="R1120" s="18"/>
      <c r="S1120" s="21"/>
      <c r="T1120"/>
      <c r="U1120" s="6"/>
      <c r="W1120" s="7"/>
      <c r="Z1120" s="4"/>
    </row>
    <row r="1121" spans="1:26" x14ac:dyDescent="0.3">
      <c r="A1121" t="s">
        <v>1492</v>
      </c>
      <c r="B1121" s="22" t="s">
        <v>19</v>
      </c>
      <c r="C1121" s="24" t="s">
        <v>20</v>
      </c>
      <c r="D1121" s="24" t="s">
        <v>323</v>
      </c>
      <c r="E1121" s="24">
        <v>54</v>
      </c>
      <c r="F1121" t="s">
        <v>370</v>
      </c>
      <c r="G1121" s="24" t="s">
        <v>13</v>
      </c>
      <c r="H1121" s="24" t="s">
        <v>14</v>
      </c>
      <c r="I1121" s="24">
        <v>36900</v>
      </c>
      <c r="J1121" s="24">
        <v>1</v>
      </c>
      <c r="K1121" s="25">
        <f t="shared" si="51"/>
        <v>36900</v>
      </c>
      <c r="L1121" s="26">
        <v>45583</v>
      </c>
      <c r="M1121" s="24" t="str">
        <f t="shared" si="52"/>
        <v>Friday</v>
      </c>
      <c r="N1121" s="24" t="str">
        <f t="shared" si="53"/>
        <v>Weekend</v>
      </c>
      <c r="Q1121" s="24"/>
      <c r="R1121" s="24"/>
      <c r="S1121" s="27"/>
      <c r="T1121"/>
      <c r="U1121" s="6"/>
      <c r="W1121" s="7"/>
      <c r="Z1121" s="4"/>
    </row>
    <row r="1122" spans="1:26" x14ac:dyDescent="0.3">
      <c r="A1122" t="s">
        <v>1493</v>
      </c>
      <c r="B1122" s="16" t="s">
        <v>296</v>
      </c>
      <c r="C1122" s="18" t="s">
        <v>20</v>
      </c>
      <c r="D1122" s="18" t="s">
        <v>322</v>
      </c>
      <c r="E1122" s="18">
        <v>49</v>
      </c>
      <c r="F1122" t="s">
        <v>373</v>
      </c>
      <c r="G1122" s="18" t="s">
        <v>26</v>
      </c>
      <c r="H1122" s="18" t="s">
        <v>27</v>
      </c>
      <c r="I1122" s="18">
        <v>24600</v>
      </c>
      <c r="J1122" s="18">
        <v>1</v>
      </c>
      <c r="K1122" s="19">
        <f t="shared" si="51"/>
        <v>24600</v>
      </c>
      <c r="L1122" s="20">
        <v>45636</v>
      </c>
      <c r="M1122" s="18" t="str">
        <f t="shared" si="52"/>
        <v>Tuesday</v>
      </c>
      <c r="N1122" s="18" t="str">
        <f t="shared" si="53"/>
        <v>Weekday</v>
      </c>
      <c r="Q1122" s="18"/>
      <c r="R1122" s="18"/>
      <c r="S1122" s="21"/>
      <c r="T1122"/>
      <c r="U1122" s="6"/>
      <c r="W1122" s="7"/>
      <c r="Z1122" s="4"/>
    </row>
    <row r="1123" spans="1:26" x14ac:dyDescent="0.3">
      <c r="A1123" t="s">
        <v>1494</v>
      </c>
      <c r="B1123" s="22" t="s">
        <v>88</v>
      </c>
      <c r="C1123" s="24" t="s">
        <v>20</v>
      </c>
      <c r="D1123" s="24" t="s">
        <v>323</v>
      </c>
      <c r="E1123" s="24">
        <v>61</v>
      </c>
      <c r="F1123" t="s">
        <v>381</v>
      </c>
      <c r="G1123" s="24" t="s">
        <v>13</v>
      </c>
      <c r="H1123" s="24" t="s">
        <v>14</v>
      </c>
      <c r="I1123" s="24">
        <v>36900</v>
      </c>
      <c r="J1123" s="24">
        <v>2</v>
      </c>
      <c r="K1123" s="25">
        <f t="shared" si="51"/>
        <v>73800</v>
      </c>
      <c r="L1123" s="26">
        <v>45397</v>
      </c>
      <c r="M1123" s="24" t="str">
        <f t="shared" si="52"/>
        <v>Monday</v>
      </c>
      <c r="N1123" s="24" t="str">
        <f t="shared" si="53"/>
        <v>Weekday</v>
      </c>
      <c r="Q1123" s="24"/>
      <c r="R1123" s="24"/>
      <c r="S1123" s="27"/>
      <c r="T1123"/>
      <c r="U1123" s="6"/>
      <c r="W1123" s="7"/>
      <c r="Z1123" s="4"/>
    </row>
    <row r="1124" spans="1:26" x14ac:dyDescent="0.3">
      <c r="A1124" t="s">
        <v>1495</v>
      </c>
      <c r="B1124" s="16" t="s">
        <v>58</v>
      </c>
      <c r="C1124" s="18" t="s">
        <v>366</v>
      </c>
      <c r="D1124" s="18" t="s">
        <v>322</v>
      </c>
      <c r="E1124" s="18">
        <v>35</v>
      </c>
      <c r="F1124" t="s">
        <v>381</v>
      </c>
      <c r="G1124" s="18" t="s">
        <v>13</v>
      </c>
      <c r="H1124" s="18" t="s">
        <v>14</v>
      </c>
      <c r="I1124" s="18">
        <v>36900</v>
      </c>
      <c r="J1124" s="18">
        <v>4</v>
      </c>
      <c r="K1124" s="19">
        <f t="shared" si="51"/>
        <v>147600</v>
      </c>
      <c r="L1124" s="20">
        <v>45464</v>
      </c>
      <c r="M1124" s="18" t="str">
        <f t="shared" si="52"/>
        <v>Friday</v>
      </c>
      <c r="N1124" s="18" t="str">
        <f t="shared" si="53"/>
        <v>Weekend</v>
      </c>
      <c r="Q1124" s="18"/>
      <c r="R1124" s="18"/>
      <c r="S1124" s="21"/>
      <c r="T1124"/>
      <c r="U1124" s="6"/>
      <c r="W1124" s="7"/>
      <c r="Z1124" s="4"/>
    </row>
    <row r="1125" spans="1:26" x14ac:dyDescent="0.3">
      <c r="A1125" t="s">
        <v>1496</v>
      </c>
      <c r="B1125" s="22" t="s">
        <v>289</v>
      </c>
      <c r="C1125" s="24" t="s">
        <v>20</v>
      </c>
      <c r="D1125" s="24" t="s">
        <v>327</v>
      </c>
      <c r="E1125" s="24">
        <v>20</v>
      </c>
      <c r="F1125" t="s">
        <v>375</v>
      </c>
      <c r="G1125" s="24" t="s">
        <v>31</v>
      </c>
      <c r="H1125" s="24" t="s">
        <v>18</v>
      </c>
      <c r="I1125" s="24">
        <v>6150</v>
      </c>
      <c r="J1125" s="24">
        <v>2</v>
      </c>
      <c r="K1125" s="25">
        <f t="shared" si="51"/>
        <v>12300</v>
      </c>
      <c r="L1125" s="26">
        <v>45610</v>
      </c>
      <c r="M1125" s="24" t="str">
        <f t="shared" si="52"/>
        <v>Thursday</v>
      </c>
      <c r="N1125" s="24" t="str">
        <f t="shared" si="53"/>
        <v>Weekday</v>
      </c>
      <c r="Q1125" s="24"/>
      <c r="R1125" s="24"/>
      <c r="S1125" s="27"/>
      <c r="T1125"/>
      <c r="U1125" s="6"/>
      <c r="W1125" s="7"/>
      <c r="Z1125" s="4"/>
    </row>
    <row r="1126" spans="1:26" x14ac:dyDescent="0.3">
      <c r="A1126" t="s">
        <v>1497</v>
      </c>
      <c r="B1126" s="16" t="s">
        <v>10</v>
      </c>
      <c r="C1126" s="18" t="s">
        <v>11</v>
      </c>
      <c r="D1126" s="18" t="s">
        <v>322</v>
      </c>
      <c r="E1126" s="18">
        <v>21</v>
      </c>
      <c r="F1126" t="s">
        <v>375</v>
      </c>
      <c r="G1126" s="18" t="s">
        <v>31</v>
      </c>
      <c r="H1126" s="18" t="s">
        <v>18</v>
      </c>
      <c r="I1126" s="18">
        <v>6150</v>
      </c>
      <c r="J1126" s="18">
        <v>3</v>
      </c>
      <c r="K1126" s="19">
        <f t="shared" si="51"/>
        <v>18450</v>
      </c>
      <c r="L1126" s="20">
        <v>45388</v>
      </c>
      <c r="M1126" s="18" t="str">
        <f t="shared" si="52"/>
        <v>Saturday</v>
      </c>
      <c r="N1126" s="18" t="str">
        <f t="shared" si="53"/>
        <v>Weekend</v>
      </c>
      <c r="Q1126" s="18"/>
      <c r="R1126" s="18"/>
      <c r="S1126" s="21"/>
      <c r="T1126"/>
      <c r="U1126" s="6"/>
      <c r="W1126" s="7"/>
      <c r="Z1126" s="4"/>
    </row>
    <row r="1127" spans="1:26" x14ac:dyDescent="0.3">
      <c r="A1127" t="s">
        <v>1498</v>
      </c>
      <c r="B1127" s="22" t="s">
        <v>69</v>
      </c>
      <c r="C1127" s="24" t="s">
        <v>11</v>
      </c>
      <c r="D1127" s="24" t="s">
        <v>322</v>
      </c>
      <c r="E1127" s="24">
        <v>68</v>
      </c>
      <c r="F1127" t="s">
        <v>373</v>
      </c>
      <c r="G1127" s="24" t="s">
        <v>31</v>
      </c>
      <c r="H1127" s="24" t="s">
        <v>18</v>
      </c>
      <c r="I1127" s="24">
        <v>6150</v>
      </c>
      <c r="J1127" s="24">
        <v>3</v>
      </c>
      <c r="K1127" s="25">
        <f t="shared" si="51"/>
        <v>18450</v>
      </c>
      <c r="L1127" s="26">
        <v>45614</v>
      </c>
      <c r="M1127" s="24" t="str">
        <f t="shared" si="52"/>
        <v>Monday</v>
      </c>
      <c r="N1127" s="24" t="str">
        <f t="shared" si="53"/>
        <v>Weekday</v>
      </c>
      <c r="Q1127" s="24"/>
      <c r="R1127" s="24"/>
      <c r="S1127" s="27"/>
      <c r="T1127"/>
      <c r="U1127" s="6"/>
      <c r="W1127" s="7"/>
      <c r="Z1127" s="4"/>
    </row>
    <row r="1128" spans="1:26" x14ac:dyDescent="0.3">
      <c r="A1128" t="s">
        <v>1499</v>
      </c>
      <c r="B1128" s="16" t="s">
        <v>285</v>
      </c>
      <c r="C1128" s="18" t="s">
        <v>11</v>
      </c>
      <c r="D1128" s="18" t="s">
        <v>322</v>
      </c>
      <c r="E1128" s="18">
        <v>21</v>
      </c>
      <c r="F1128" t="s">
        <v>370</v>
      </c>
      <c r="G1128" s="18" t="s">
        <v>42</v>
      </c>
      <c r="H1128" s="18" t="s">
        <v>14</v>
      </c>
      <c r="I1128" s="18">
        <v>98400</v>
      </c>
      <c r="J1128" s="18">
        <v>5</v>
      </c>
      <c r="K1128" s="19">
        <f t="shared" si="51"/>
        <v>492000</v>
      </c>
      <c r="L1128" s="20">
        <v>45319</v>
      </c>
      <c r="M1128" s="18" t="str">
        <f t="shared" si="52"/>
        <v>Sunday</v>
      </c>
      <c r="N1128" s="18" t="str">
        <f t="shared" si="53"/>
        <v>Weekday</v>
      </c>
      <c r="Q1128" s="18"/>
      <c r="R1128" s="18"/>
      <c r="S1128" s="21"/>
      <c r="T1128"/>
      <c r="U1128" s="6"/>
      <c r="W1128" s="7"/>
      <c r="Z1128" s="4"/>
    </row>
    <row r="1129" spans="1:26" x14ac:dyDescent="0.3">
      <c r="A1129" t="s">
        <v>1500</v>
      </c>
      <c r="B1129" s="22" t="s">
        <v>266</v>
      </c>
      <c r="C1129" s="24" t="s">
        <v>20</v>
      </c>
      <c r="D1129" s="24" t="s">
        <v>322</v>
      </c>
      <c r="E1129" s="24">
        <v>64</v>
      </c>
      <c r="F1129" t="s">
        <v>370</v>
      </c>
      <c r="G1129" s="24" t="s">
        <v>13</v>
      </c>
      <c r="H1129" s="24" t="s">
        <v>14</v>
      </c>
      <c r="I1129" s="24">
        <v>36900</v>
      </c>
      <c r="J1129" s="24">
        <v>4</v>
      </c>
      <c r="K1129" s="25">
        <f t="shared" si="51"/>
        <v>147600</v>
      </c>
      <c r="L1129" s="26">
        <v>45315</v>
      </c>
      <c r="M1129" s="24" t="str">
        <f t="shared" si="52"/>
        <v>Wednesday</v>
      </c>
      <c r="N1129" s="24" t="str">
        <f t="shared" si="53"/>
        <v>Weekday</v>
      </c>
      <c r="Q1129" s="24"/>
      <c r="R1129" s="24"/>
      <c r="S1129" s="27"/>
      <c r="T1129"/>
      <c r="U1129" s="6"/>
      <c r="W1129" s="7"/>
      <c r="Z1129" s="4"/>
    </row>
    <row r="1130" spans="1:26" x14ac:dyDescent="0.3">
      <c r="A1130" t="s">
        <v>1501</v>
      </c>
      <c r="B1130" s="16" t="s">
        <v>33</v>
      </c>
      <c r="C1130" s="18" t="s">
        <v>11</v>
      </c>
      <c r="D1130" s="18" t="s">
        <v>323</v>
      </c>
      <c r="E1130" s="18">
        <v>29</v>
      </c>
      <c r="F1130" t="s">
        <v>370</v>
      </c>
      <c r="G1130" s="18" t="s">
        <v>24</v>
      </c>
      <c r="H1130" s="18" t="s">
        <v>14</v>
      </c>
      <c r="I1130" s="18">
        <v>184500</v>
      </c>
      <c r="J1130" s="18">
        <v>1</v>
      </c>
      <c r="K1130" s="19">
        <f t="shared" si="51"/>
        <v>184500</v>
      </c>
      <c r="L1130" s="20">
        <v>45557</v>
      </c>
      <c r="M1130" s="18" t="str">
        <f t="shared" si="52"/>
        <v>Sunday</v>
      </c>
      <c r="N1130" s="18" t="str">
        <f t="shared" si="53"/>
        <v>Weekday</v>
      </c>
      <c r="Q1130" s="18"/>
      <c r="R1130" s="18"/>
      <c r="S1130" s="21"/>
      <c r="T1130"/>
      <c r="U1130" s="6"/>
      <c r="W1130" s="7"/>
      <c r="Z1130" s="4"/>
    </row>
    <row r="1131" spans="1:26" x14ac:dyDescent="0.3">
      <c r="A1131" t="s">
        <v>1502</v>
      </c>
      <c r="B1131" s="22" t="s">
        <v>79</v>
      </c>
      <c r="C1131" s="24" t="s">
        <v>11</v>
      </c>
      <c r="D1131" s="24" t="s">
        <v>324</v>
      </c>
      <c r="E1131" s="24">
        <v>54</v>
      </c>
      <c r="F1131" t="s">
        <v>381</v>
      </c>
      <c r="G1131" s="24" t="s">
        <v>42</v>
      </c>
      <c r="H1131" s="24" t="s">
        <v>14</v>
      </c>
      <c r="I1131" s="24">
        <v>98400</v>
      </c>
      <c r="J1131" s="24">
        <v>5</v>
      </c>
      <c r="K1131" s="25">
        <f t="shared" si="51"/>
        <v>492000</v>
      </c>
      <c r="L1131" s="26">
        <v>45448</v>
      </c>
      <c r="M1131" s="24" t="str">
        <f t="shared" si="52"/>
        <v>Wednesday</v>
      </c>
      <c r="N1131" s="24" t="str">
        <f t="shared" si="53"/>
        <v>Weekday</v>
      </c>
      <c r="Q1131" s="24"/>
      <c r="R1131" s="24"/>
      <c r="S1131" s="27"/>
      <c r="T1131"/>
      <c r="U1131" s="6"/>
      <c r="W1131" s="7"/>
      <c r="Z1131" s="4"/>
    </row>
    <row r="1132" spans="1:26" x14ac:dyDescent="0.3">
      <c r="A1132" t="s">
        <v>1503</v>
      </c>
      <c r="B1132" s="16" t="s">
        <v>48</v>
      </c>
      <c r="C1132" s="18" t="s">
        <v>11</v>
      </c>
      <c r="D1132" s="18" t="s">
        <v>323</v>
      </c>
      <c r="E1132" s="18">
        <v>58</v>
      </c>
      <c r="F1132" t="s">
        <v>381</v>
      </c>
      <c r="G1132" s="18" t="s">
        <v>24</v>
      </c>
      <c r="H1132" s="18" t="s">
        <v>14</v>
      </c>
      <c r="I1132" s="18">
        <v>184500</v>
      </c>
      <c r="J1132" s="18">
        <v>5</v>
      </c>
      <c r="K1132" s="19">
        <f t="shared" si="51"/>
        <v>922500</v>
      </c>
      <c r="L1132" s="20">
        <v>45418</v>
      </c>
      <c r="M1132" s="18" t="str">
        <f t="shared" si="52"/>
        <v>Monday</v>
      </c>
      <c r="N1132" s="18" t="str">
        <f t="shared" si="53"/>
        <v>Weekday</v>
      </c>
      <c r="Q1132" s="18"/>
      <c r="R1132" s="18"/>
      <c r="S1132" s="21"/>
      <c r="T1132"/>
      <c r="U1132" s="6"/>
      <c r="W1132" s="7"/>
      <c r="Z1132" s="4"/>
    </row>
    <row r="1133" spans="1:26" x14ac:dyDescent="0.3">
      <c r="A1133" t="s">
        <v>1504</v>
      </c>
      <c r="B1133" s="22" t="s">
        <v>263</v>
      </c>
      <c r="C1133" s="24" t="s">
        <v>366</v>
      </c>
      <c r="D1133" s="24" t="s">
        <v>322</v>
      </c>
      <c r="E1133" s="24">
        <v>26</v>
      </c>
      <c r="F1133" t="s">
        <v>381</v>
      </c>
      <c r="G1133" s="24" t="s">
        <v>32</v>
      </c>
      <c r="H1133" s="24" t="s">
        <v>18</v>
      </c>
      <c r="I1133" s="24">
        <v>3690</v>
      </c>
      <c r="J1133" s="24">
        <v>4</v>
      </c>
      <c r="K1133" s="25">
        <f t="shared" si="51"/>
        <v>14760</v>
      </c>
      <c r="L1133" s="26">
        <v>45415</v>
      </c>
      <c r="M1133" s="24" t="str">
        <f t="shared" si="52"/>
        <v>Friday</v>
      </c>
      <c r="N1133" s="24" t="str">
        <f t="shared" si="53"/>
        <v>Weekend</v>
      </c>
      <c r="Q1133" s="24"/>
      <c r="R1133" s="24"/>
      <c r="S1133" s="27"/>
      <c r="T1133"/>
      <c r="U1133" s="6"/>
      <c r="W1133" s="7"/>
      <c r="Z1133" s="4"/>
    </row>
    <row r="1134" spans="1:26" x14ac:dyDescent="0.3">
      <c r="A1134" t="s">
        <v>1505</v>
      </c>
      <c r="B1134" s="16" t="s">
        <v>260</v>
      </c>
      <c r="C1134" s="18" t="s">
        <v>11</v>
      </c>
      <c r="D1134" s="18" t="s">
        <v>322</v>
      </c>
      <c r="E1134" s="18">
        <v>55</v>
      </c>
      <c r="F1134" t="s">
        <v>381</v>
      </c>
      <c r="G1134" s="18" t="s">
        <v>13</v>
      </c>
      <c r="H1134" s="18" t="s">
        <v>14</v>
      </c>
      <c r="I1134" s="18">
        <v>36900</v>
      </c>
      <c r="J1134" s="18">
        <v>3</v>
      </c>
      <c r="K1134" s="19">
        <f t="shared" si="51"/>
        <v>110700</v>
      </c>
      <c r="L1134" s="20">
        <v>45351</v>
      </c>
      <c r="M1134" s="18" t="str">
        <f t="shared" si="52"/>
        <v>Thursday</v>
      </c>
      <c r="N1134" s="18" t="str">
        <f t="shared" si="53"/>
        <v>Weekday</v>
      </c>
      <c r="Q1134" s="18"/>
      <c r="R1134" s="18"/>
      <c r="S1134" s="21"/>
      <c r="T1134"/>
      <c r="U1134" s="6"/>
      <c r="W1134" s="7"/>
      <c r="Z1134" s="4"/>
    </row>
    <row r="1135" spans="1:26" x14ac:dyDescent="0.3">
      <c r="A1135" t="s">
        <v>1506</v>
      </c>
      <c r="B1135" s="22" t="s">
        <v>47</v>
      </c>
      <c r="C1135" s="24" t="s">
        <v>20</v>
      </c>
      <c r="D1135" s="24" t="s">
        <v>324</v>
      </c>
      <c r="E1135" s="24">
        <v>52</v>
      </c>
      <c r="F1135" t="s">
        <v>370</v>
      </c>
      <c r="G1135" s="24" t="s">
        <v>24</v>
      </c>
      <c r="H1135" s="24" t="s">
        <v>14</v>
      </c>
      <c r="I1135" s="24">
        <v>184500</v>
      </c>
      <c r="J1135" s="24">
        <v>3</v>
      </c>
      <c r="K1135" s="25">
        <f t="shared" si="51"/>
        <v>553500</v>
      </c>
      <c r="L1135" s="26">
        <v>45581</v>
      </c>
      <c r="M1135" s="24" t="str">
        <f t="shared" si="52"/>
        <v>Wednesday</v>
      </c>
      <c r="N1135" s="24" t="str">
        <f t="shared" si="53"/>
        <v>Weekday</v>
      </c>
      <c r="Q1135" s="24"/>
      <c r="R1135" s="24"/>
      <c r="S1135" s="27"/>
      <c r="T1135"/>
      <c r="U1135" s="6"/>
      <c r="W1135" s="7"/>
      <c r="Z1135" s="4"/>
    </row>
    <row r="1136" spans="1:26" x14ac:dyDescent="0.3">
      <c r="A1136" t="s">
        <v>1507</v>
      </c>
      <c r="B1136" s="16" t="s">
        <v>155</v>
      </c>
      <c r="C1136" s="18" t="s">
        <v>11</v>
      </c>
      <c r="D1136" s="18" t="s">
        <v>328</v>
      </c>
      <c r="E1136" s="18">
        <v>43</v>
      </c>
      <c r="F1136" t="s">
        <v>370</v>
      </c>
      <c r="G1136" s="18" t="s">
        <v>13</v>
      </c>
      <c r="H1136" s="18" t="s">
        <v>14</v>
      </c>
      <c r="I1136" s="18">
        <v>36900</v>
      </c>
      <c r="J1136" s="18">
        <v>2</v>
      </c>
      <c r="K1136" s="19">
        <f t="shared" si="51"/>
        <v>73800</v>
      </c>
      <c r="L1136" s="20">
        <v>45384</v>
      </c>
      <c r="M1136" s="18" t="str">
        <f t="shared" si="52"/>
        <v>Tuesday</v>
      </c>
      <c r="N1136" s="18" t="str">
        <f t="shared" si="53"/>
        <v>Weekday</v>
      </c>
      <c r="Q1136" s="18"/>
      <c r="R1136" s="18"/>
      <c r="S1136" s="21"/>
      <c r="T1136"/>
      <c r="U1136" s="6"/>
      <c r="W1136" s="7"/>
      <c r="Z1136" s="4"/>
    </row>
    <row r="1137" spans="1:26" x14ac:dyDescent="0.3">
      <c r="A1137" t="s">
        <v>1508</v>
      </c>
      <c r="B1137" s="22" t="s">
        <v>195</v>
      </c>
      <c r="C1137" s="24" t="s">
        <v>20</v>
      </c>
      <c r="D1137" s="24" t="s">
        <v>323</v>
      </c>
      <c r="E1137" s="24">
        <v>52</v>
      </c>
      <c r="F1137" t="s">
        <v>375</v>
      </c>
      <c r="G1137" s="24" t="s">
        <v>24</v>
      </c>
      <c r="H1137" s="24" t="s">
        <v>14</v>
      </c>
      <c r="I1137" s="24">
        <v>184500</v>
      </c>
      <c r="J1137" s="24">
        <v>1</v>
      </c>
      <c r="K1137" s="25">
        <f t="shared" si="51"/>
        <v>184500</v>
      </c>
      <c r="L1137" s="26">
        <v>45441</v>
      </c>
      <c r="M1137" s="24" t="str">
        <f t="shared" si="52"/>
        <v>Wednesday</v>
      </c>
      <c r="N1137" s="24" t="str">
        <f t="shared" si="53"/>
        <v>Weekday</v>
      </c>
      <c r="Q1137" s="24"/>
      <c r="R1137" s="24"/>
      <c r="S1137" s="27"/>
      <c r="T1137"/>
      <c r="U1137" s="6"/>
      <c r="W1137" s="7"/>
      <c r="Z1137" s="4"/>
    </row>
    <row r="1138" spans="1:26" x14ac:dyDescent="0.3">
      <c r="A1138" t="s">
        <v>1509</v>
      </c>
      <c r="B1138" s="16" t="s">
        <v>230</v>
      </c>
      <c r="C1138" s="18" t="s">
        <v>11</v>
      </c>
      <c r="D1138" s="18" t="s">
        <v>328</v>
      </c>
      <c r="E1138" s="18">
        <v>22</v>
      </c>
      <c r="F1138" t="s">
        <v>370</v>
      </c>
      <c r="G1138" s="18" t="s">
        <v>32</v>
      </c>
      <c r="H1138" s="18" t="s">
        <v>18</v>
      </c>
      <c r="I1138" s="18">
        <v>3690</v>
      </c>
      <c r="J1138" s="18">
        <v>4</v>
      </c>
      <c r="K1138" s="19">
        <f t="shared" si="51"/>
        <v>14760</v>
      </c>
      <c r="L1138" s="20">
        <v>45484</v>
      </c>
      <c r="M1138" s="18" t="str">
        <f t="shared" si="52"/>
        <v>Thursday</v>
      </c>
      <c r="N1138" s="18" t="str">
        <f t="shared" si="53"/>
        <v>Weekday</v>
      </c>
      <c r="Q1138" s="18"/>
      <c r="R1138" s="18"/>
      <c r="S1138" s="21"/>
      <c r="T1138"/>
      <c r="U1138" s="6"/>
      <c r="W1138" s="7"/>
      <c r="Z1138" s="4"/>
    </row>
    <row r="1139" spans="1:26" x14ac:dyDescent="0.3">
      <c r="A1139" t="s">
        <v>1510</v>
      </c>
      <c r="B1139" s="22" t="s">
        <v>121</v>
      </c>
      <c r="C1139" s="24" t="s">
        <v>20</v>
      </c>
      <c r="D1139" s="24" t="s">
        <v>327</v>
      </c>
      <c r="E1139" s="24">
        <v>18</v>
      </c>
      <c r="F1139" t="s">
        <v>381</v>
      </c>
      <c r="G1139" s="24" t="s">
        <v>26</v>
      </c>
      <c r="H1139" s="24" t="s">
        <v>27</v>
      </c>
      <c r="I1139" s="24">
        <v>24600</v>
      </c>
      <c r="J1139" s="24">
        <v>4</v>
      </c>
      <c r="K1139" s="25">
        <f t="shared" si="51"/>
        <v>98400</v>
      </c>
      <c r="L1139" s="26">
        <v>45300</v>
      </c>
      <c r="M1139" s="24" t="str">
        <f t="shared" si="52"/>
        <v>Tuesday</v>
      </c>
      <c r="N1139" s="24" t="str">
        <f t="shared" si="53"/>
        <v>Weekday</v>
      </c>
      <c r="Q1139" s="24"/>
      <c r="R1139" s="24"/>
      <c r="S1139" s="27"/>
      <c r="T1139"/>
      <c r="U1139" s="6"/>
      <c r="W1139" s="7"/>
      <c r="Z1139" s="4"/>
    </row>
    <row r="1140" spans="1:26" x14ac:dyDescent="0.3">
      <c r="A1140" t="s">
        <v>1511</v>
      </c>
      <c r="B1140" s="16" t="s">
        <v>68</v>
      </c>
      <c r="C1140" s="18" t="s">
        <v>11</v>
      </c>
      <c r="D1140" s="18" t="s">
        <v>323</v>
      </c>
      <c r="E1140" s="18">
        <v>44</v>
      </c>
      <c r="F1140" t="s">
        <v>381</v>
      </c>
      <c r="G1140" s="18" t="s">
        <v>32</v>
      </c>
      <c r="H1140" s="18" t="s">
        <v>18</v>
      </c>
      <c r="I1140" s="18">
        <v>3690</v>
      </c>
      <c r="J1140" s="18">
        <v>4</v>
      </c>
      <c r="K1140" s="19">
        <f t="shared" si="51"/>
        <v>14760</v>
      </c>
      <c r="L1140" s="20">
        <v>45531</v>
      </c>
      <c r="M1140" s="18" t="str">
        <f t="shared" si="52"/>
        <v>Tuesday</v>
      </c>
      <c r="N1140" s="18" t="str">
        <f t="shared" si="53"/>
        <v>Weekday</v>
      </c>
      <c r="Q1140" s="18"/>
      <c r="R1140" s="18"/>
      <c r="S1140" s="21"/>
      <c r="T1140"/>
      <c r="U1140" s="6"/>
      <c r="W1140" s="7"/>
      <c r="Z1140" s="4"/>
    </row>
    <row r="1141" spans="1:26" x14ac:dyDescent="0.3">
      <c r="A1141" t="s">
        <v>1512</v>
      </c>
      <c r="B1141" s="22" t="s">
        <v>118</v>
      </c>
      <c r="C1141" s="24" t="s">
        <v>20</v>
      </c>
      <c r="D1141" s="24" t="s">
        <v>323</v>
      </c>
      <c r="E1141" s="24">
        <v>20</v>
      </c>
      <c r="F1141" t="s">
        <v>373</v>
      </c>
      <c r="G1141" s="24" t="s">
        <v>31</v>
      </c>
      <c r="H1141" s="24" t="s">
        <v>18</v>
      </c>
      <c r="I1141" s="24">
        <v>6150</v>
      </c>
      <c r="J1141" s="24">
        <v>3</v>
      </c>
      <c r="K1141" s="25">
        <f t="shared" si="51"/>
        <v>18450</v>
      </c>
      <c r="L1141" s="26">
        <v>45423</v>
      </c>
      <c r="M1141" s="24" t="str">
        <f t="shared" si="52"/>
        <v>Saturday</v>
      </c>
      <c r="N1141" s="24" t="str">
        <f t="shared" si="53"/>
        <v>Weekend</v>
      </c>
      <c r="Q1141" s="24"/>
      <c r="R1141" s="24"/>
      <c r="S1141" s="27"/>
      <c r="T1141"/>
      <c r="U1141" s="6"/>
      <c r="W1141" s="7"/>
      <c r="Z1141" s="4"/>
    </row>
    <row r="1142" spans="1:26" x14ac:dyDescent="0.3">
      <c r="A1142" t="s">
        <v>1513</v>
      </c>
      <c r="B1142" s="16" t="s">
        <v>177</v>
      </c>
      <c r="C1142" s="18" t="s">
        <v>11</v>
      </c>
      <c r="D1142" s="18" t="s">
        <v>324</v>
      </c>
      <c r="E1142" s="18">
        <v>58</v>
      </c>
      <c r="F1142" t="s">
        <v>370</v>
      </c>
      <c r="G1142" s="18" t="s">
        <v>24</v>
      </c>
      <c r="H1142" s="18" t="s">
        <v>14</v>
      </c>
      <c r="I1142" s="18">
        <v>184500</v>
      </c>
      <c r="J1142" s="18">
        <v>4</v>
      </c>
      <c r="K1142" s="19">
        <f t="shared" si="51"/>
        <v>738000</v>
      </c>
      <c r="L1142" s="20">
        <v>45357</v>
      </c>
      <c r="M1142" s="18" t="str">
        <f t="shared" si="52"/>
        <v>Wednesday</v>
      </c>
      <c r="N1142" s="18" t="str">
        <f t="shared" si="53"/>
        <v>Weekday</v>
      </c>
      <c r="Q1142" s="18"/>
      <c r="R1142" s="18"/>
      <c r="S1142" s="21"/>
      <c r="T1142"/>
      <c r="U1142" s="6"/>
      <c r="W1142" s="7"/>
      <c r="Z1142" s="4"/>
    </row>
    <row r="1143" spans="1:26" x14ac:dyDescent="0.3">
      <c r="A1143" t="s">
        <v>1514</v>
      </c>
      <c r="B1143" s="22" t="s">
        <v>253</v>
      </c>
      <c r="C1143" s="24" t="s">
        <v>366</v>
      </c>
      <c r="D1143" s="24" t="s">
        <v>323</v>
      </c>
      <c r="E1143" s="24">
        <v>51</v>
      </c>
      <c r="F1143" t="s">
        <v>370</v>
      </c>
      <c r="G1143" s="24" t="s">
        <v>24</v>
      </c>
      <c r="H1143" s="24" t="s">
        <v>14</v>
      </c>
      <c r="I1143" s="24">
        <v>184500</v>
      </c>
      <c r="J1143" s="24">
        <v>4</v>
      </c>
      <c r="K1143" s="25">
        <f t="shared" si="51"/>
        <v>738000</v>
      </c>
      <c r="L1143" s="26">
        <v>45524</v>
      </c>
      <c r="M1143" s="24" t="str">
        <f t="shared" si="52"/>
        <v>Tuesday</v>
      </c>
      <c r="N1143" s="24" t="str">
        <f t="shared" si="53"/>
        <v>Weekday</v>
      </c>
      <c r="Q1143" s="24"/>
      <c r="R1143" s="24"/>
      <c r="S1143" s="27"/>
      <c r="T1143"/>
      <c r="U1143" s="6"/>
      <c r="W1143" s="7"/>
      <c r="Z1143" s="4"/>
    </row>
    <row r="1144" spans="1:26" x14ac:dyDescent="0.3">
      <c r="A1144" t="s">
        <v>1515</v>
      </c>
      <c r="B1144" s="16" t="s">
        <v>248</v>
      </c>
      <c r="C1144" s="18" t="s">
        <v>366</v>
      </c>
      <c r="D1144" s="18" t="s">
        <v>322</v>
      </c>
      <c r="E1144" s="18">
        <v>54</v>
      </c>
      <c r="F1144" t="s">
        <v>375</v>
      </c>
      <c r="G1144" s="18" t="s">
        <v>24</v>
      </c>
      <c r="H1144" s="18" t="s">
        <v>14</v>
      </c>
      <c r="I1144" s="18">
        <v>184500</v>
      </c>
      <c r="J1144" s="18">
        <v>1</v>
      </c>
      <c r="K1144" s="19">
        <f t="shared" si="51"/>
        <v>184500</v>
      </c>
      <c r="L1144" s="20">
        <v>45335</v>
      </c>
      <c r="M1144" s="18" t="str">
        <f t="shared" si="52"/>
        <v>Tuesday</v>
      </c>
      <c r="N1144" s="18" t="str">
        <f t="shared" si="53"/>
        <v>Weekday</v>
      </c>
      <c r="Q1144" s="18"/>
      <c r="R1144" s="18"/>
      <c r="S1144" s="21"/>
      <c r="T1144"/>
      <c r="U1144" s="6"/>
      <c r="W1144" s="7"/>
      <c r="Z1144" s="4"/>
    </row>
    <row r="1145" spans="1:26" x14ac:dyDescent="0.3">
      <c r="A1145" t="s">
        <v>1516</v>
      </c>
      <c r="B1145" s="22" t="s">
        <v>212</v>
      </c>
      <c r="C1145" s="24" t="s">
        <v>20</v>
      </c>
      <c r="D1145" s="24" t="s">
        <v>322</v>
      </c>
      <c r="E1145" s="24">
        <v>54</v>
      </c>
      <c r="F1145" t="s">
        <v>375</v>
      </c>
      <c r="G1145" s="24" t="s">
        <v>31</v>
      </c>
      <c r="H1145" s="24" t="s">
        <v>18</v>
      </c>
      <c r="I1145" s="24">
        <v>6150</v>
      </c>
      <c r="J1145" s="24">
        <v>2</v>
      </c>
      <c r="K1145" s="25">
        <f t="shared" si="51"/>
        <v>12300</v>
      </c>
      <c r="L1145" s="26">
        <v>45563</v>
      </c>
      <c r="M1145" s="24" t="str">
        <f t="shared" si="52"/>
        <v>Saturday</v>
      </c>
      <c r="N1145" s="24" t="str">
        <f t="shared" si="53"/>
        <v>Weekend</v>
      </c>
      <c r="Q1145" s="24"/>
      <c r="R1145" s="24"/>
      <c r="S1145" s="27"/>
      <c r="T1145"/>
      <c r="U1145" s="6"/>
      <c r="W1145" s="7"/>
      <c r="Z1145" s="4"/>
    </row>
    <row r="1146" spans="1:26" x14ac:dyDescent="0.3">
      <c r="A1146" t="s">
        <v>1517</v>
      </c>
      <c r="B1146" s="16" t="s">
        <v>250</v>
      </c>
      <c r="C1146" s="18" t="s">
        <v>11</v>
      </c>
      <c r="D1146" s="18" t="s">
        <v>326</v>
      </c>
      <c r="E1146" s="18">
        <v>50</v>
      </c>
      <c r="F1146" t="s">
        <v>381</v>
      </c>
      <c r="G1146" s="18" t="s">
        <v>13</v>
      </c>
      <c r="H1146" s="18" t="s">
        <v>14</v>
      </c>
      <c r="I1146" s="18">
        <v>36900</v>
      </c>
      <c r="J1146" s="18">
        <v>2</v>
      </c>
      <c r="K1146" s="19">
        <f t="shared" si="51"/>
        <v>73800</v>
      </c>
      <c r="L1146" s="20">
        <v>45403</v>
      </c>
      <c r="M1146" s="18" t="str">
        <f t="shared" si="52"/>
        <v>Sunday</v>
      </c>
      <c r="N1146" s="18" t="str">
        <f t="shared" si="53"/>
        <v>Weekday</v>
      </c>
      <c r="Q1146" s="18"/>
      <c r="R1146" s="18"/>
      <c r="S1146" s="21"/>
      <c r="T1146"/>
      <c r="U1146" s="6"/>
      <c r="W1146" s="7"/>
      <c r="Z1146" s="4"/>
    </row>
    <row r="1147" spans="1:26" x14ac:dyDescent="0.3">
      <c r="A1147" t="s">
        <v>1518</v>
      </c>
      <c r="B1147" s="22" t="s">
        <v>213</v>
      </c>
      <c r="C1147" s="24" t="s">
        <v>11</v>
      </c>
      <c r="D1147" s="24" t="s">
        <v>326</v>
      </c>
      <c r="E1147" s="24">
        <v>66</v>
      </c>
      <c r="F1147" t="s">
        <v>373</v>
      </c>
      <c r="G1147" s="24" t="s">
        <v>24</v>
      </c>
      <c r="H1147" s="24" t="s">
        <v>14</v>
      </c>
      <c r="I1147" s="24">
        <v>184500</v>
      </c>
      <c r="J1147" s="24">
        <v>4</v>
      </c>
      <c r="K1147" s="25">
        <f t="shared" si="51"/>
        <v>738000</v>
      </c>
      <c r="L1147" s="26">
        <v>45463</v>
      </c>
      <c r="M1147" s="24" t="str">
        <f t="shared" si="52"/>
        <v>Thursday</v>
      </c>
      <c r="N1147" s="24" t="str">
        <f t="shared" si="53"/>
        <v>Weekday</v>
      </c>
      <c r="Q1147" s="24"/>
      <c r="R1147" s="24"/>
      <c r="S1147" s="27"/>
      <c r="T1147"/>
      <c r="U1147" s="6"/>
      <c r="W1147" s="7"/>
      <c r="Z1147" s="4"/>
    </row>
    <row r="1148" spans="1:26" x14ac:dyDescent="0.3">
      <c r="A1148" t="s">
        <v>1519</v>
      </c>
      <c r="B1148" s="16" t="s">
        <v>104</v>
      </c>
      <c r="C1148" s="18" t="s">
        <v>366</v>
      </c>
      <c r="D1148" s="18" t="s">
        <v>326</v>
      </c>
      <c r="E1148" s="18">
        <v>30</v>
      </c>
      <c r="F1148" t="s">
        <v>370</v>
      </c>
      <c r="G1148" s="18" t="s">
        <v>32</v>
      </c>
      <c r="H1148" s="18" t="s">
        <v>18</v>
      </c>
      <c r="I1148" s="18">
        <v>3690</v>
      </c>
      <c r="J1148" s="18">
        <v>4</v>
      </c>
      <c r="K1148" s="19">
        <f t="shared" si="51"/>
        <v>14760</v>
      </c>
      <c r="L1148" s="20">
        <v>45641</v>
      </c>
      <c r="M1148" s="18" t="str">
        <f t="shared" si="52"/>
        <v>Sunday</v>
      </c>
      <c r="N1148" s="18" t="str">
        <f t="shared" si="53"/>
        <v>Weekday</v>
      </c>
      <c r="Q1148" s="18"/>
      <c r="R1148" s="18"/>
      <c r="S1148" s="21"/>
      <c r="T1148"/>
      <c r="U1148" s="6"/>
      <c r="W1148" s="7"/>
      <c r="Z1148" s="4"/>
    </row>
    <row r="1149" spans="1:26" x14ac:dyDescent="0.3">
      <c r="A1149" t="s">
        <v>1520</v>
      </c>
      <c r="B1149" s="22" t="s">
        <v>65</v>
      </c>
      <c r="C1149" s="24" t="s">
        <v>11</v>
      </c>
      <c r="D1149" s="24" t="s">
        <v>326</v>
      </c>
      <c r="E1149" s="24">
        <v>61</v>
      </c>
      <c r="F1149" t="s">
        <v>370</v>
      </c>
      <c r="G1149" s="24" t="s">
        <v>31</v>
      </c>
      <c r="H1149" s="24" t="s">
        <v>18</v>
      </c>
      <c r="I1149" s="24">
        <v>6150</v>
      </c>
      <c r="J1149" s="24">
        <v>2</v>
      </c>
      <c r="K1149" s="25">
        <f t="shared" si="51"/>
        <v>12300</v>
      </c>
      <c r="L1149" s="26">
        <v>45302</v>
      </c>
      <c r="M1149" s="24" t="str">
        <f t="shared" si="52"/>
        <v>Thursday</v>
      </c>
      <c r="N1149" s="24" t="str">
        <f t="shared" si="53"/>
        <v>Weekday</v>
      </c>
      <c r="Q1149" s="24"/>
      <c r="R1149" s="24"/>
      <c r="S1149" s="27"/>
      <c r="T1149"/>
      <c r="U1149" s="6"/>
      <c r="W1149" s="7"/>
      <c r="Z1149" s="4"/>
    </row>
    <row r="1150" spans="1:26" x14ac:dyDescent="0.3">
      <c r="A1150" t="s">
        <v>1521</v>
      </c>
      <c r="B1150" s="16" t="s">
        <v>168</v>
      </c>
      <c r="C1150" s="18" t="s">
        <v>11</v>
      </c>
      <c r="D1150" s="18" t="s">
        <v>324</v>
      </c>
      <c r="E1150" s="18">
        <v>43</v>
      </c>
      <c r="F1150" t="s">
        <v>373</v>
      </c>
      <c r="G1150" s="18" t="s">
        <v>17</v>
      </c>
      <c r="H1150" s="18" t="s">
        <v>18</v>
      </c>
      <c r="I1150" s="18">
        <v>12300</v>
      </c>
      <c r="J1150" s="18">
        <v>1</v>
      </c>
      <c r="K1150" s="19">
        <f t="shared" si="51"/>
        <v>12300</v>
      </c>
      <c r="L1150" s="20">
        <v>45459</v>
      </c>
      <c r="M1150" s="18" t="str">
        <f t="shared" si="52"/>
        <v>Sunday</v>
      </c>
      <c r="N1150" s="18" t="str">
        <f t="shared" si="53"/>
        <v>Weekday</v>
      </c>
      <c r="Q1150" s="18"/>
      <c r="R1150" s="18"/>
      <c r="S1150" s="21"/>
      <c r="T1150"/>
      <c r="U1150" s="6"/>
      <c r="W1150" s="7"/>
      <c r="Z1150" s="4"/>
    </row>
    <row r="1151" spans="1:26" x14ac:dyDescent="0.3">
      <c r="A1151" t="s">
        <v>1522</v>
      </c>
      <c r="B1151" s="22" t="s">
        <v>291</v>
      </c>
      <c r="C1151" s="24" t="s">
        <v>11</v>
      </c>
      <c r="D1151" s="24" t="s">
        <v>324</v>
      </c>
      <c r="E1151" s="24">
        <v>67</v>
      </c>
      <c r="F1151" t="s">
        <v>370</v>
      </c>
      <c r="G1151" s="24" t="s">
        <v>26</v>
      </c>
      <c r="H1151" s="24" t="s">
        <v>27</v>
      </c>
      <c r="I1151" s="24">
        <v>24600</v>
      </c>
      <c r="J1151" s="24">
        <v>5</v>
      </c>
      <c r="K1151" s="25">
        <f t="shared" si="51"/>
        <v>123000</v>
      </c>
      <c r="L1151" s="26">
        <v>45513</v>
      </c>
      <c r="M1151" s="24" t="str">
        <f t="shared" si="52"/>
        <v>Friday</v>
      </c>
      <c r="N1151" s="24" t="str">
        <f t="shared" si="53"/>
        <v>Weekend</v>
      </c>
      <c r="Q1151" s="24"/>
      <c r="R1151" s="24"/>
      <c r="S1151" s="27"/>
      <c r="T1151"/>
      <c r="U1151" s="6"/>
      <c r="W1151" s="7"/>
      <c r="Z1151" s="4"/>
    </row>
    <row r="1152" spans="1:26" x14ac:dyDescent="0.3">
      <c r="A1152" t="s">
        <v>1523</v>
      </c>
      <c r="B1152" s="16" t="s">
        <v>254</v>
      </c>
      <c r="C1152" s="18" t="s">
        <v>20</v>
      </c>
      <c r="D1152" s="18" t="s">
        <v>325</v>
      </c>
      <c r="E1152" s="18">
        <v>55</v>
      </c>
      <c r="F1152" t="s">
        <v>375</v>
      </c>
      <c r="G1152" s="18" t="s">
        <v>17</v>
      </c>
      <c r="H1152" s="18" t="s">
        <v>18</v>
      </c>
      <c r="I1152" s="18">
        <v>12300</v>
      </c>
      <c r="J1152" s="18">
        <v>5</v>
      </c>
      <c r="K1152" s="19">
        <f t="shared" si="51"/>
        <v>61500</v>
      </c>
      <c r="L1152" s="20">
        <v>45298</v>
      </c>
      <c r="M1152" s="18" t="str">
        <f t="shared" si="52"/>
        <v>Sunday</v>
      </c>
      <c r="N1152" s="18" t="str">
        <f t="shared" si="53"/>
        <v>Weekday</v>
      </c>
      <c r="Q1152" s="18"/>
      <c r="R1152" s="18"/>
      <c r="S1152" s="21"/>
      <c r="T1152"/>
      <c r="U1152" s="6"/>
      <c r="W1152" s="7"/>
      <c r="Z1152" s="4"/>
    </row>
    <row r="1153" spans="1:26" x14ac:dyDescent="0.3">
      <c r="A1153" t="s">
        <v>1524</v>
      </c>
      <c r="B1153" s="22" t="s">
        <v>88</v>
      </c>
      <c r="C1153" s="24" t="s">
        <v>20</v>
      </c>
      <c r="D1153" s="24" t="s">
        <v>323</v>
      </c>
      <c r="E1153" s="24">
        <v>61</v>
      </c>
      <c r="F1153" t="s">
        <v>373</v>
      </c>
      <c r="G1153" s="24" t="s">
        <v>17</v>
      </c>
      <c r="H1153" s="24" t="s">
        <v>18</v>
      </c>
      <c r="I1153" s="24">
        <v>12300</v>
      </c>
      <c r="J1153" s="24">
        <v>1</v>
      </c>
      <c r="K1153" s="25">
        <f t="shared" si="51"/>
        <v>12300</v>
      </c>
      <c r="L1153" s="26">
        <v>45611</v>
      </c>
      <c r="M1153" s="24" t="str">
        <f t="shared" si="52"/>
        <v>Friday</v>
      </c>
      <c r="N1153" s="24" t="str">
        <f t="shared" si="53"/>
        <v>Weekend</v>
      </c>
      <c r="Q1153" s="24"/>
      <c r="R1153" s="24"/>
      <c r="S1153" s="27"/>
      <c r="T1153"/>
      <c r="U1153" s="6"/>
      <c r="W1153" s="7"/>
      <c r="Z1153" s="4"/>
    </row>
    <row r="1154" spans="1:26" x14ac:dyDescent="0.3">
      <c r="A1154" t="s">
        <v>1525</v>
      </c>
      <c r="B1154" s="16" t="s">
        <v>70</v>
      </c>
      <c r="C1154" s="18" t="s">
        <v>11</v>
      </c>
      <c r="D1154" s="18" t="s">
        <v>329</v>
      </c>
      <c r="E1154" s="18">
        <v>44</v>
      </c>
      <c r="F1154" t="s">
        <v>370</v>
      </c>
      <c r="G1154" s="18" t="s">
        <v>42</v>
      </c>
      <c r="H1154" s="18" t="s">
        <v>14</v>
      </c>
      <c r="I1154" s="18">
        <v>98400</v>
      </c>
      <c r="J1154" s="18">
        <v>3</v>
      </c>
      <c r="K1154" s="19">
        <f t="shared" ref="K1154:K1217" si="54">I1154*J1154</f>
        <v>295200</v>
      </c>
      <c r="L1154" s="20">
        <v>45476</v>
      </c>
      <c r="M1154" s="18" t="str">
        <f t="shared" ref="M1154:M1217" si="55">TEXT(L1154, "dddd")</f>
        <v>Wednesday</v>
      </c>
      <c r="N1154" s="18" t="str">
        <f t="shared" ref="N1154:N1217" si="56">IF(OR(WEEKDAY(L1154, 2)=5, WEEKDAY(L1154, 2)=6), "Weekend", "Weekday")</f>
        <v>Weekday</v>
      </c>
      <c r="Q1154" s="18"/>
      <c r="R1154" s="18"/>
      <c r="S1154" s="21"/>
      <c r="T1154"/>
      <c r="U1154" s="6"/>
      <c r="W1154" s="7"/>
      <c r="Z1154" s="4"/>
    </row>
    <row r="1155" spans="1:26" x14ac:dyDescent="0.3">
      <c r="A1155" t="s">
        <v>1526</v>
      </c>
      <c r="B1155" s="22" t="s">
        <v>307</v>
      </c>
      <c r="C1155" s="24" t="s">
        <v>11</v>
      </c>
      <c r="D1155" s="24" t="s">
        <v>322</v>
      </c>
      <c r="E1155" s="24">
        <v>24</v>
      </c>
      <c r="F1155" t="s">
        <v>375</v>
      </c>
      <c r="G1155" s="24" t="s">
        <v>31</v>
      </c>
      <c r="H1155" s="24" t="s">
        <v>18</v>
      </c>
      <c r="I1155" s="24">
        <v>6150</v>
      </c>
      <c r="J1155" s="24">
        <v>3</v>
      </c>
      <c r="K1155" s="25">
        <f t="shared" si="54"/>
        <v>18450</v>
      </c>
      <c r="L1155" s="26">
        <v>45558</v>
      </c>
      <c r="M1155" s="24" t="str">
        <f t="shared" si="55"/>
        <v>Monday</v>
      </c>
      <c r="N1155" s="24" t="str">
        <f t="shared" si="56"/>
        <v>Weekday</v>
      </c>
      <c r="Q1155" s="24"/>
      <c r="R1155" s="24"/>
      <c r="S1155" s="27"/>
      <c r="T1155"/>
      <c r="U1155" s="6"/>
      <c r="W1155" s="7"/>
      <c r="Z1155" s="4"/>
    </row>
    <row r="1156" spans="1:26" x14ac:dyDescent="0.3">
      <c r="A1156" t="s">
        <v>1527</v>
      </c>
      <c r="B1156" s="16" t="s">
        <v>115</v>
      </c>
      <c r="C1156" s="18" t="s">
        <v>366</v>
      </c>
      <c r="D1156" s="18" t="s">
        <v>323</v>
      </c>
      <c r="E1156" s="18">
        <v>63</v>
      </c>
      <c r="F1156" t="s">
        <v>375</v>
      </c>
      <c r="G1156" s="18" t="s">
        <v>42</v>
      </c>
      <c r="H1156" s="18" t="s">
        <v>14</v>
      </c>
      <c r="I1156" s="18">
        <v>98400</v>
      </c>
      <c r="J1156" s="18">
        <v>3</v>
      </c>
      <c r="K1156" s="19">
        <f t="shared" si="54"/>
        <v>295200</v>
      </c>
      <c r="L1156" s="20">
        <v>45511</v>
      </c>
      <c r="M1156" s="18" t="str">
        <f t="shared" si="55"/>
        <v>Wednesday</v>
      </c>
      <c r="N1156" s="18" t="str">
        <f t="shared" si="56"/>
        <v>Weekday</v>
      </c>
      <c r="Q1156" s="18"/>
      <c r="R1156" s="18"/>
      <c r="S1156" s="21"/>
      <c r="T1156"/>
      <c r="U1156" s="6"/>
      <c r="W1156" s="7"/>
      <c r="Z1156" s="4"/>
    </row>
    <row r="1157" spans="1:26" x14ac:dyDescent="0.3">
      <c r="A1157" t="s">
        <v>1528</v>
      </c>
      <c r="B1157" s="22" t="s">
        <v>97</v>
      </c>
      <c r="C1157" s="24" t="s">
        <v>20</v>
      </c>
      <c r="D1157" s="24" t="s">
        <v>322</v>
      </c>
      <c r="E1157" s="24">
        <v>33</v>
      </c>
      <c r="F1157" t="s">
        <v>381</v>
      </c>
      <c r="G1157" s="24" t="s">
        <v>17</v>
      </c>
      <c r="H1157" s="24" t="s">
        <v>18</v>
      </c>
      <c r="I1157" s="24">
        <v>12300</v>
      </c>
      <c r="J1157" s="24">
        <v>4</v>
      </c>
      <c r="K1157" s="25">
        <f t="shared" si="54"/>
        <v>49200</v>
      </c>
      <c r="L1157" s="26">
        <v>45341</v>
      </c>
      <c r="M1157" s="24" t="str">
        <f t="shared" si="55"/>
        <v>Monday</v>
      </c>
      <c r="N1157" s="24" t="str">
        <f t="shared" si="56"/>
        <v>Weekday</v>
      </c>
      <c r="Q1157" s="24"/>
      <c r="R1157" s="24"/>
      <c r="S1157" s="27"/>
      <c r="T1157"/>
      <c r="U1157" s="6"/>
      <c r="W1157" s="7"/>
      <c r="Z1157" s="4"/>
    </row>
    <row r="1158" spans="1:26" x14ac:dyDescent="0.3">
      <c r="A1158" t="s">
        <v>1529</v>
      </c>
      <c r="B1158" s="16" t="s">
        <v>214</v>
      </c>
      <c r="C1158" s="18" t="s">
        <v>11</v>
      </c>
      <c r="D1158" s="18" t="s">
        <v>325</v>
      </c>
      <c r="E1158" s="18">
        <v>67</v>
      </c>
      <c r="F1158" t="s">
        <v>370</v>
      </c>
      <c r="G1158" s="18" t="s">
        <v>26</v>
      </c>
      <c r="H1158" s="18" t="s">
        <v>27</v>
      </c>
      <c r="I1158" s="18">
        <v>24600</v>
      </c>
      <c r="J1158" s="18">
        <v>5</v>
      </c>
      <c r="K1158" s="19">
        <f t="shared" si="54"/>
        <v>123000</v>
      </c>
      <c r="L1158" s="20">
        <v>45354</v>
      </c>
      <c r="M1158" s="18" t="str">
        <f t="shared" si="55"/>
        <v>Sunday</v>
      </c>
      <c r="N1158" s="18" t="str">
        <f t="shared" si="56"/>
        <v>Weekday</v>
      </c>
      <c r="Q1158" s="18"/>
      <c r="R1158" s="18"/>
      <c r="S1158" s="21"/>
      <c r="T1158"/>
      <c r="U1158" s="6"/>
      <c r="W1158" s="7"/>
      <c r="Z1158" s="4"/>
    </row>
    <row r="1159" spans="1:26" x14ac:dyDescent="0.3">
      <c r="A1159" t="s">
        <v>1530</v>
      </c>
      <c r="B1159" s="22" t="s">
        <v>184</v>
      </c>
      <c r="C1159" s="24" t="s">
        <v>20</v>
      </c>
      <c r="D1159" s="24" t="s">
        <v>322</v>
      </c>
      <c r="E1159" s="24">
        <v>32</v>
      </c>
      <c r="F1159" t="s">
        <v>373</v>
      </c>
      <c r="G1159" s="24" t="s">
        <v>26</v>
      </c>
      <c r="H1159" s="24" t="s">
        <v>27</v>
      </c>
      <c r="I1159" s="24">
        <v>24600</v>
      </c>
      <c r="J1159" s="24">
        <v>4</v>
      </c>
      <c r="K1159" s="25">
        <f t="shared" si="54"/>
        <v>98400</v>
      </c>
      <c r="L1159" s="26">
        <v>45640</v>
      </c>
      <c r="M1159" s="24" t="str">
        <f t="shared" si="55"/>
        <v>Saturday</v>
      </c>
      <c r="N1159" s="24" t="str">
        <f t="shared" si="56"/>
        <v>Weekend</v>
      </c>
      <c r="Q1159" s="24"/>
      <c r="R1159" s="24"/>
      <c r="S1159" s="27"/>
      <c r="T1159"/>
      <c r="U1159" s="6"/>
      <c r="W1159" s="7"/>
      <c r="Z1159" s="4"/>
    </row>
    <row r="1160" spans="1:26" x14ac:dyDescent="0.3">
      <c r="A1160" t="s">
        <v>1531</v>
      </c>
      <c r="B1160" s="16" t="s">
        <v>63</v>
      </c>
      <c r="C1160" s="18" t="s">
        <v>20</v>
      </c>
      <c r="D1160" s="18" t="s">
        <v>322</v>
      </c>
      <c r="E1160" s="18">
        <v>61</v>
      </c>
      <c r="F1160" t="s">
        <v>375</v>
      </c>
      <c r="G1160" s="18" t="s">
        <v>17</v>
      </c>
      <c r="H1160" s="18" t="s">
        <v>18</v>
      </c>
      <c r="I1160" s="18">
        <v>12300</v>
      </c>
      <c r="J1160" s="18">
        <v>3</v>
      </c>
      <c r="K1160" s="19">
        <f t="shared" si="54"/>
        <v>36900</v>
      </c>
      <c r="L1160" s="20">
        <v>45488</v>
      </c>
      <c r="M1160" s="18" t="str">
        <f t="shared" si="55"/>
        <v>Monday</v>
      </c>
      <c r="N1160" s="18" t="str">
        <f t="shared" si="56"/>
        <v>Weekday</v>
      </c>
      <c r="Q1160" s="18"/>
      <c r="R1160" s="18"/>
      <c r="S1160" s="21"/>
      <c r="T1160"/>
      <c r="U1160" s="6"/>
      <c r="W1160" s="7"/>
      <c r="Z1160" s="4"/>
    </row>
    <row r="1161" spans="1:26" x14ac:dyDescent="0.3">
      <c r="A1161" t="s">
        <v>1532</v>
      </c>
      <c r="B1161" s="22" t="s">
        <v>290</v>
      </c>
      <c r="C1161" s="24" t="s">
        <v>366</v>
      </c>
      <c r="D1161" s="24" t="s">
        <v>326</v>
      </c>
      <c r="E1161" s="24">
        <v>66</v>
      </c>
      <c r="F1161" t="s">
        <v>375</v>
      </c>
      <c r="G1161" s="24" t="s">
        <v>24</v>
      </c>
      <c r="H1161" s="24" t="s">
        <v>14</v>
      </c>
      <c r="I1161" s="24">
        <v>184500</v>
      </c>
      <c r="J1161" s="24">
        <v>2</v>
      </c>
      <c r="K1161" s="25">
        <f t="shared" si="54"/>
        <v>369000</v>
      </c>
      <c r="L1161" s="26">
        <v>45644</v>
      </c>
      <c r="M1161" s="24" t="str">
        <f t="shared" si="55"/>
        <v>Wednesday</v>
      </c>
      <c r="N1161" s="24" t="str">
        <f t="shared" si="56"/>
        <v>Weekday</v>
      </c>
      <c r="Q1161" s="24"/>
      <c r="R1161" s="24"/>
      <c r="S1161" s="27"/>
      <c r="T1161"/>
      <c r="U1161" s="6"/>
      <c r="W1161" s="7"/>
      <c r="Z1161" s="4"/>
    </row>
    <row r="1162" spans="1:26" x14ac:dyDescent="0.3">
      <c r="A1162" t="s">
        <v>1533</v>
      </c>
      <c r="B1162" s="16" t="s">
        <v>119</v>
      </c>
      <c r="C1162" s="18" t="s">
        <v>11</v>
      </c>
      <c r="D1162" s="18" t="s">
        <v>323</v>
      </c>
      <c r="E1162" s="18">
        <v>29</v>
      </c>
      <c r="F1162" t="s">
        <v>381</v>
      </c>
      <c r="G1162" s="18" t="s">
        <v>42</v>
      </c>
      <c r="H1162" s="18" t="s">
        <v>14</v>
      </c>
      <c r="I1162" s="18">
        <v>98400</v>
      </c>
      <c r="J1162" s="18">
        <v>2</v>
      </c>
      <c r="K1162" s="19">
        <f t="shared" si="54"/>
        <v>196800</v>
      </c>
      <c r="L1162" s="20">
        <v>45349</v>
      </c>
      <c r="M1162" s="18" t="str">
        <f t="shared" si="55"/>
        <v>Tuesday</v>
      </c>
      <c r="N1162" s="18" t="str">
        <f t="shared" si="56"/>
        <v>Weekday</v>
      </c>
      <c r="Q1162" s="18"/>
      <c r="R1162" s="18"/>
      <c r="S1162" s="21"/>
      <c r="T1162"/>
      <c r="U1162" s="6"/>
      <c r="W1162" s="7"/>
      <c r="Z1162" s="4"/>
    </row>
    <row r="1163" spans="1:26" x14ac:dyDescent="0.3">
      <c r="A1163" t="s">
        <v>1534</v>
      </c>
      <c r="B1163" s="22" t="s">
        <v>89</v>
      </c>
      <c r="C1163" s="24" t="s">
        <v>366</v>
      </c>
      <c r="D1163" s="24" t="s">
        <v>326</v>
      </c>
      <c r="E1163" s="24">
        <v>21</v>
      </c>
      <c r="F1163" t="s">
        <v>373</v>
      </c>
      <c r="G1163" s="24" t="s">
        <v>31</v>
      </c>
      <c r="H1163" s="24" t="s">
        <v>18</v>
      </c>
      <c r="I1163" s="24">
        <v>6150</v>
      </c>
      <c r="J1163" s="24">
        <v>2</v>
      </c>
      <c r="K1163" s="25">
        <f t="shared" si="54"/>
        <v>12300</v>
      </c>
      <c r="L1163" s="26">
        <v>45362</v>
      </c>
      <c r="M1163" s="24" t="str">
        <f t="shared" si="55"/>
        <v>Monday</v>
      </c>
      <c r="N1163" s="24" t="str">
        <f t="shared" si="56"/>
        <v>Weekday</v>
      </c>
      <c r="Q1163" s="24"/>
      <c r="R1163" s="24"/>
      <c r="S1163" s="27"/>
      <c r="T1163"/>
      <c r="U1163" s="6"/>
      <c r="W1163" s="7"/>
      <c r="Z1163" s="4"/>
    </row>
    <row r="1164" spans="1:26" x14ac:dyDescent="0.3">
      <c r="A1164" t="s">
        <v>1535</v>
      </c>
      <c r="B1164" s="16" t="s">
        <v>141</v>
      </c>
      <c r="C1164" s="18" t="s">
        <v>366</v>
      </c>
      <c r="D1164" s="18" t="s">
        <v>323</v>
      </c>
      <c r="E1164" s="18">
        <v>35</v>
      </c>
      <c r="F1164" t="s">
        <v>381</v>
      </c>
      <c r="G1164" s="18" t="s">
        <v>24</v>
      </c>
      <c r="H1164" s="18" t="s">
        <v>14</v>
      </c>
      <c r="I1164" s="18">
        <v>184500</v>
      </c>
      <c r="J1164" s="18">
        <v>5</v>
      </c>
      <c r="K1164" s="19">
        <f t="shared" si="54"/>
        <v>922500</v>
      </c>
      <c r="L1164" s="20">
        <v>45391</v>
      </c>
      <c r="M1164" s="18" t="str">
        <f t="shared" si="55"/>
        <v>Tuesday</v>
      </c>
      <c r="N1164" s="18" t="str">
        <f t="shared" si="56"/>
        <v>Weekday</v>
      </c>
      <c r="Q1164" s="18"/>
      <c r="R1164" s="18"/>
      <c r="S1164" s="21"/>
      <c r="T1164"/>
      <c r="U1164" s="6"/>
      <c r="W1164" s="7"/>
      <c r="Z1164" s="4"/>
    </row>
    <row r="1165" spans="1:26" x14ac:dyDescent="0.3">
      <c r="A1165" t="s">
        <v>1536</v>
      </c>
      <c r="B1165" s="22" t="s">
        <v>126</v>
      </c>
      <c r="C1165" s="24" t="s">
        <v>11</v>
      </c>
      <c r="D1165" s="24" t="s">
        <v>329</v>
      </c>
      <c r="E1165" s="24">
        <v>61</v>
      </c>
      <c r="F1165" t="s">
        <v>375</v>
      </c>
      <c r="G1165" s="24" t="s">
        <v>32</v>
      </c>
      <c r="H1165" s="24" t="s">
        <v>18</v>
      </c>
      <c r="I1165" s="24">
        <v>3690</v>
      </c>
      <c r="J1165" s="24">
        <v>5</v>
      </c>
      <c r="K1165" s="25">
        <f t="shared" si="54"/>
        <v>18450</v>
      </c>
      <c r="L1165" s="26">
        <v>45483</v>
      </c>
      <c r="M1165" s="24" t="str">
        <f t="shared" si="55"/>
        <v>Wednesday</v>
      </c>
      <c r="N1165" s="24" t="str">
        <f t="shared" si="56"/>
        <v>Weekday</v>
      </c>
      <c r="Q1165" s="24"/>
      <c r="R1165" s="24"/>
      <c r="S1165" s="27"/>
      <c r="T1165"/>
      <c r="U1165" s="6"/>
      <c r="W1165" s="7"/>
      <c r="Z1165" s="4"/>
    </row>
    <row r="1166" spans="1:26" x14ac:dyDescent="0.3">
      <c r="A1166" t="s">
        <v>1537</v>
      </c>
      <c r="B1166" s="16" t="s">
        <v>299</v>
      </c>
      <c r="C1166" s="18" t="s">
        <v>366</v>
      </c>
      <c r="D1166" s="18" t="s">
        <v>329</v>
      </c>
      <c r="E1166" s="18">
        <v>44</v>
      </c>
      <c r="F1166" t="s">
        <v>370</v>
      </c>
      <c r="G1166" s="18" t="s">
        <v>13</v>
      </c>
      <c r="H1166" s="18" t="s">
        <v>14</v>
      </c>
      <c r="I1166" s="18">
        <v>36900</v>
      </c>
      <c r="J1166" s="18">
        <v>5</v>
      </c>
      <c r="K1166" s="19">
        <f t="shared" si="54"/>
        <v>184500</v>
      </c>
      <c r="L1166" s="20">
        <v>45615</v>
      </c>
      <c r="M1166" s="18" t="str">
        <f t="shared" si="55"/>
        <v>Tuesday</v>
      </c>
      <c r="N1166" s="18" t="str">
        <f t="shared" si="56"/>
        <v>Weekday</v>
      </c>
      <c r="Q1166" s="18"/>
      <c r="R1166" s="18"/>
      <c r="S1166" s="21"/>
      <c r="T1166"/>
      <c r="U1166" s="6"/>
      <c r="W1166" s="7"/>
      <c r="Z1166" s="4"/>
    </row>
    <row r="1167" spans="1:26" x14ac:dyDescent="0.3">
      <c r="A1167" t="s">
        <v>1538</v>
      </c>
      <c r="B1167" s="22" t="s">
        <v>104</v>
      </c>
      <c r="C1167" s="24" t="s">
        <v>366</v>
      </c>
      <c r="D1167" s="24" t="s">
        <v>326</v>
      </c>
      <c r="E1167" s="24">
        <v>30</v>
      </c>
      <c r="F1167" t="s">
        <v>373</v>
      </c>
      <c r="G1167" s="24" t="s">
        <v>17</v>
      </c>
      <c r="H1167" s="24" t="s">
        <v>18</v>
      </c>
      <c r="I1167" s="24">
        <v>12300</v>
      </c>
      <c r="J1167" s="24">
        <v>5</v>
      </c>
      <c r="K1167" s="25">
        <f t="shared" si="54"/>
        <v>61500</v>
      </c>
      <c r="L1167" s="26">
        <v>45637</v>
      </c>
      <c r="M1167" s="24" t="str">
        <f t="shared" si="55"/>
        <v>Wednesday</v>
      </c>
      <c r="N1167" s="24" t="str">
        <f t="shared" si="56"/>
        <v>Weekday</v>
      </c>
      <c r="Q1167" s="24"/>
      <c r="R1167" s="24"/>
      <c r="S1167" s="27"/>
      <c r="T1167"/>
      <c r="U1167" s="6"/>
      <c r="W1167" s="7"/>
      <c r="Z1167" s="4"/>
    </row>
    <row r="1168" spans="1:26" x14ac:dyDescent="0.3">
      <c r="A1168" t="s">
        <v>1539</v>
      </c>
      <c r="B1168" s="16" t="s">
        <v>314</v>
      </c>
      <c r="C1168" s="18" t="s">
        <v>11</v>
      </c>
      <c r="D1168" s="18" t="s">
        <v>322</v>
      </c>
      <c r="E1168" s="18">
        <v>63</v>
      </c>
      <c r="F1168" t="s">
        <v>370</v>
      </c>
      <c r="G1168" s="18" t="s">
        <v>13</v>
      </c>
      <c r="H1168" s="18" t="s">
        <v>14</v>
      </c>
      <c r="I1168" s="18">
        <v>36900</v>
      </c>
      <c r="J1168" s="18">
        <v>1</v>
      </c>
      <c r="K1168" s="19">
        <f t="shared" si="54"/>
        <v>36900</v>
      </c>
      <c r="L1168" s="20">
        <v>45468</v>
      </c>
      <c r="M1168" s="18" t="str">
        <f t="shared" si="55"/>
        <v>Tuesday</v>
      </c>
      <c r="N1168" s="18" t="str">
        <f t="shared" si="56"/>
        <v>Weekday</v>
      </c>
      <c r="Q1168" s="18"/>
      <c r="R1168" s="18"/>
      <c r="S1168" s="21"/>
      <c r="T1168"/>
      <c r="U1168" s="6"/>
      <c r="W1168" s="7"/>
      <c r="Z1168" s="4"/>
    </row>
    <row r="1169" spans="1:26" x14ac:dyDescent="0.3">
      <c r="A1169" t="s">
        <v>1540</v>
      </c>
      <c r="B1169" s="22" t="s">
        <v>161</v>
      </c>
      <c r="C1169" s="24" t="s">
        <v>11</v>
      </c>
      <c r="D1169" s="24" t="s">
        <v>322</v>
      </c>
      <c r="E1169" s="24">
        <v>26</v>
      </c>
      <c r="F1169" t="s">
        <v>370</v>
      </c>
      <c r="G1169" s="24" t="s">
        <v>32</v>
      </c>
      <c r="H1169" s="24" t="s">
        <v>18</v>
      </c>
      <c r="I1169" s="24">
        <v>3690</v>
      </c>
      <c r="J1169" s="24">
        <v>2</v>
      </c>
      <c r="K1169" s="25">
        <f t="shared" si="54"/>
        <v>7380</v>
      </c>
      <c r="L1169" s="26">
        <v>45585</v>
      </c>
      <c r="M1169" s="24" t="str">
        <f t="shared" si="55"/>
        <v>Sunday</v>
      </c>
      <c r="N1169" s="24" t="str">
        <f t="shared" si="56"/>
        <v>Weekday</v>
      </c>
      <c r="Q1169" s="24"/>
      <c r="R1169" s="24"/>
      <c r="S1169" s="27"/>
      <c r="T1169"/>
      <c r="U1169" s="6"/>
      <c r="W1169" s="7"/>
      <c r="Z1169" s="4"/>
    </row>
    <row r="1170" spans="1:26" x14ac:dyDescent="0.3">
      <c r="A1170" t="s">
        <v>1541</v>
      </c>
      <c r="B1170" s="16" t="s">
        <v>40</v>
      </c>
      <c r="C1170" s="18" t="s">
        <v>11</v>
      </c>
      <c r="D1170" s="18" t="s">
        <v>323</v>
      </c>
      <c r="E1170" s="18">
        <v>57</v>
      </c>
      <c r="F1170" t="s">
        <v>381</v>
      </c>
      <c r="G1170" s="18" t="s">
        <v>26</v>
      </c>
      <c r="H1170" s="18" t="s">
        <v>27</v>
      </c>
      <c r="I1170" s="18">
        <v>24600</v>
      </c>
      <c r="J1170" s="18">
        <v>5</v>
      </c>
      <c r="K1170" s="19">
        <f t="shared" si="54"/>
        <v>123000</v>
      </c>
      <c r="L1170" s="20">
        <v>45428</v>
      </c>
      <c r="M1170" s="18" t="str">
        <f t="shared" si="55"/>
        <v>Thursday</v>
      </c>
      <c r="N1170" s="18" t="str">
        <f t="shared" si="56"/>
        <v>Weekday</v>
      </c>
      <c r="Q1170" s="18"/>
      <c r="R1170" s="18"/>
      <c r="S1170" s="21"/>
      <c r="T1170"/>
      <c r="U1170" s="6"/>
      <c r="W1170" s="7"/>
      <c r="Z1170" s="4"/>
    </row>
    <row r="1171" spans="1:26" x14ac:dyDescent="0.3">
      <c r="A1171" t="s">
        <v>1542</v>
      </c>
      <c r="B1171" s="22" t="s">
        <v>151</v>
      </c>
      <c r="C1171" s="24" t="s">
        <v>11</v>
      </c>
      <c r="D1171" s="24" t="s">
        <v>329</v>
      </c>
      <c r="E1171" s="24">
        <v>59</v>
      </c>
      <c r="F1171" t="s">
        <v>375</v>
      </c>
      <c r="G1171" s="24" t="s">
        <v>42</v>
      </c>
      <c r="H1171" s="24" t="s">
        <v>14</v>
      </c>
      <c r="I1171" s="24">
        <v>98400</v>
      </c>
      <c r="J1171" s="24">
        <v>4</v>
      </c>
      <c r="K1171" s="25">
        <f t="shared" si="54"/>
        <v>393600</v>
      </c>
      <c r="L1171" s="26">
        <v>45405</v>
      </c>
      <c r="M1171" s="24" t="str">
        <f t="shared" si="55"/>
        <v>Tuesday</v>
      </c>
      <c r="N1171" s="24" t="str">
        <f t="shared" si="56"/>
        <v>Weekday</v>
      </c>
      <c r="Q1171" s="24"/>
      <c r="R1171" s="24"/>
      <c r="S1171" s="27"/>
      <c r="T1171"/>
      <c r="U1171" s="6"/>
      <c r="W1171" s="7"/>
      <c r="Z1171" s="4"/>
    </row>
    <row r="1172" spans="1:26" x14ac:dyDescent="0.3">
      <c r="A1172" t="s">
        <v>1543</v>
      </c>
      <c r="B1172" s="16" t="s">
        <v>56</v>
      </c>
      <c r="C1172" s="18" t="s">
        <v>20</v>
      </c>
      <c r="D1172" s="18" t="s">
        <v>329</v>
      </c>
      <c r="E1172" s="18">
        <v>53</v>
      </c>
      <c r="F1172" t="s">
        <v>370</v>
      </c>
      <c r="G1172" s="18" t="s">
        <v>17</v>
      </c>
      <c r="H1172" s="18" t="s">
        <v>18</v>
      </c>
      <c r="I1172" s="18">
        <v>12300</v>
      </c>
      <c r="J1172" s="18">
        <v>4</v>
      </c>
      <c r="K1172" s="19">
        <f t="shared" si="54"/>
        <v>49200</v>
      </c>
      <c r="L1172" s="20">
        <v>45419</v>
      </c>
      <c r="M1172" s="18" t="str">
        <f t="shared" si="55"/>
        <v>Tuesday</v>
      </c>
      <c r="N1172" s="18" t="str">
        <f t="shared" si="56"/>
        <v>Weekday</v>
      </c>
      <c r="Q1172" s="18"/>
      <c r="R1172" s="18"/>
      <c r="S1172" s="21"/>
      <c r="T1172"/>
      <c r="U1172" s="6"/>
      <c r="W1172" s="7"/>
      <c r="Z1172" s="4"/>
    </row>
    <row r="1173" spans="1:26" x14ac:dyDescent="0.3">
      <c r="A1173" t="s">
        <v>1544</v>
      </c>
      <c r="B1173" s="22" t="s">
        <v>200</v>
      </c>
      <c r="C1173" s="24" t="s">
        <v>366</v>
      </c>
      <c r="D1173" s="24" t="s">
        <v>322</v>
      </c>
      <c r="E1173" s="24">
        <v>46</v>
      </c>
      <c r="F1173" t="s">
        <v>373</v>
      </c>
      <c r="G1173" s="24" t="s">
        <v>31</v>
      </c>
      <c r="H1173" s="24" t="s">
        <v>18</v>
      </c>
      <c r="I1173" s="24">
        <v>6150</v>
      </c>
      <c r="J1173" s="24">
        <v>2</v>
      </c>
      <c r="K1173" s="25">
        <f t="shared" si="54"/>
        <v>12300</v>
      </c>
      <c r="L1173" s="26">
        <v>45362</v>
      </c>
      <c r="M1173" s="24" t="str">
        <f t="shared" si="55"/>
        <v>Monday</v>
      </c>
      <c r="N1173" s="24" t="str">
        <f t="shared" si="56"/>
        <v>Weekday</v>
      </c>
      <c r="Q1173" s="24"/>
      <c r="R1173" s="24"/>
      <c r="S1173" s="27"/>
      <c r="T1173"/>
      <c r="U1173" s="6"/>
      <c r="W1173" s="7"/>
      <c r="Z1173" s="4"/>
    </row>
    <row r="1174" spans="1:26" x14ac:dyDescent="0.3">
      <c r="A1174" t="s">
        <v>1545</v>
      </c>
      <c r="B1174" s="16" t="s">
        <v>202</v>
      </c>
      <c r="C1174" s="18" t="s">
        <v>11</v>
      </c>
      <c r="D1174" s="18" t="s">
        <v>324</v>
      </c>
      <c r="E1174" s="18">
        <v>44</v>
      </c>
      <c r="F1174" t="s">
        <v>381</v>
      </c>
      <c r="G1174" s="18" t="s">
        <v>26</v>
      </c>
      <c r="H1174" s="18" t="s">
        <v>27</v>
      </c>
      <c r="I1174" s="18">
        <v>24600</v>
      </c>
      <c r="J1174" s="18">
        <v>2</v>
      </c>
      <c r="K1174" s="19">
        <f t="shared" si="54"/>
        <v>49200</v>
      </c>
      <c r="L1174" s="20">
        <v>45644</v>
      </c>
      <c r="M1174" s="18" t="str">
        <f t="shared" si="55"/>
        <v>Wednesday</v>
      </c>
      <c r="N1174" s="18" t="str">
        <f t="shared" si="56"/>
        <v>Weekday</v>
      </c>
      <c r="Q1174" s="18"/>
      <c r="R1174" s="18"/>
      <c r="S1174" s="21"/>
      <c r="T1174"/>
      <c r="U1174" s="6"/>
      <c r="W1174" s="7"/>
      <c r="Z1174" s="4"/>
    </row>
    <row r="1175" spans="1:26" x14ac:dyDescent="0.3">
      <c r="A1175" t="s">
        <v>1546</v>
      </c>
      <c r="B1175" s="22" t="s">
        <v>80</v>
      </c>
      <c r="C1175" s="24" t="s">
        <v>366</v>
      </c>
      <c r="D1175" s="24" t="s">
        <v>325</v>
      </c>
      <c r="E1175" s="24">
        <v>67</v>
      </c>
      <c r="F1175" t="s">
        <v>373</v>
      </c>
      <c r="G1175" s="24" t="s">
        <v>24</v>
      </c>
      <c r="H1175" s="24" t="s">
        <v>14</v>
      </c>
      <c r="I1175" s="24">
        <v>184500</v>
      </c>
      <c r="J1175" s="24">
        <v>2</v>
      </c>
      <c r="K1175" s="25">
        <f t="shared" si="54"/>
        <v>369000</v>
      </c>
      <c r="L1175" s="26">
        <v>45306</v>
      </c>
      <c r="M1175" s="24" t="str">
        <f t="shared" si="55"/>
        <v>Monday</v>
      </c>
      <c r="N1175" s="24" t="str">
        <f t="shared" si="56"/>
        <v>Weekday</v>
      </c>
      <c r="Q1175" s="24"/>
      <c r="R1175" s="24"/>
      <c r="S1175" s="27"/>
      <c r="T1175"/>
      <c r="U1175" s="6"/>
      <c r="W1175" s="7"/>
      <c r="Z1175" s="4"/>
    </row>
    <row r="1176" spans="1:26" x14ac:dyDescent="0.3">
      <c r="A1176" t="s">
        <v>1547</v>
      </c>
      <c r="B1176" s="16" t="s">
        <v>152</v>
      </c>
      <c r="C1176" s="18" t="s">
        <v>20</v>
      </c>
      <c r="D1176" s="18" t="s">
        <v>327</v>
      </c>
      <c r="E1176" s="18">
        <v>36</v>
      </c>
      <c r="F1176" t="s">
        <v>370</v>
      </c>
      <c r="G1176" s="18" t="s">
        <v>17</v>
      </c>
      <c r="H1176" s="18" t="s">
        <v>18</v>
      </c>
      <c r="I1176" s="18">
        <v>12300</v>
      </c>
      <c r="J1176" s="18">
        <v>1</v>
      </c>
      <c r="K1176" s="19">
        <f t="shared" si="54"/>
        <v>12300</v>
      </c>
      <c r="L1176" s="20">
        <v>45471</v>
      </c>
      <c r="M1176" s="18" t="str">
        <f t="shared" si="55"/>
        <v>Friday</v>
      </c>
      <c r="N1176" s="18" t="str">
        <f t="shared" si="56"/>
        <v>Weekend</v>
      </c>
      <c r="Q1176" s="18"/>
      <c r="R1176" s="18"/>
      <c r="S1176" s="21"/>
      <c r="T1176"/>
      <c r="U1176" s="6"/>
      <c r="W1176" s="7"/>
      <c r="Z1176" s="4"/>
    </row>
    <row r="1177" spans="1:26" x14ac:dyDescent="0.3">
      <c r="A1177" t="s">
        <v>1548</v>
      </c>
      <c r="B1177" s="22" t="s">
        <v>240</v>
      </c>
      <c r="C1177" s="24" t="s">
        <v>20</v>
      </c>
      <c r="D1177" s="24" t="s">
        <v>323</v>
      </c>
      <c r="E1177" s="24">
        <v>58</v>
      </c>
      <c r="F1177" t="s">
        <v>373</v>
      </c>
      <c r="G1177" s="24" t="s">
        <v>17</v>
      </c>
      <c r="H1177" s="24" t="s">
        <v>18</v>
      </c>
      <c r="I1177" s="24">
        <v>12300</v>
      </c>
      <c r="J1177" s="24">
        <v>2</v>
      </c>
      <c r="K1177" s="25">
        <f t="shared" si="54"/>
        <v>24600</v>
      </c>
      <c r="L1177" s="26">
        <v>45467</v>
      </c>
      <c r="M1177" s="24" t="str">
        <f t="shared" si="55"/>
        <v>Monday</v>
      </c>
      <c r="N1177" s="24" t="str">
        <f t="shared" si="56"/>
        <v>Weekday</v>
      </c>
      <c r="Q1177" s="24"/>
      <c r="R1177" s="24"/>
      <c r="S1177" s="27"/>
      <c r="T1177"/>
      <c r="U1177" s="6"/>
      <c r="W1177" s="7"/>
      <c r="Z1177" s="4"/>
    </row>
    <row r="1178" spans="1:26" x14ac:dyDescent="0.3">
      <c r="A1178" t="s">
        <v>1549</v>
      </c>
      <c r="B1178" s="16" t="s">
        <v>186</v>
      </c>
      <c r="C1178" s="18" t="s">
        <v>20</v>
      </c>
      <c r="D1178" s="18" t="s">
        <v>324</v>
      </c>
      <c r="E1178" s="18">
        <v>51</v>
      </c>
      <c r="F1178" t="s">
        <v>381</v>
      </c>
      <c r="G1178" s="18" t="s">
        <v>17</v>
      </c>
      <c r="H1178" s="18" t="s">
        <v>18</v>
      </c>
      <c r="I1178" s="18">
        <v>12300</v>
      </c>
      <c r="J1178" s="18">
        <v>2</v>
      </c>
      <c r="K1178" s="19">
        <f t="shared" si="54"/>
        <v>24600</v>
      </c>
      <c r="L1178" s="20">
        <v>45488</v>
      </c>
      <c r="M1178" s="18" t="str">
        <f t="shared" si="55"/>
        <v>Monday</v>
      </c>
      <c r="N1178" s="18" t="str">
        <f t="shared" si="56"/>
        <v>Weekday</v>
      </c>
      <c r="Q1178" s="18"/>
      <c r="R1178" s="18"/>
      <c r="S1178" s="21"/>
      <c r="T1178"/>
      <c r="U1178" s="6"/>
      <c r="W1178" s="7"/>
      <c r="Z1178" s="4"/>
    </row>
    <row r="1179" spans="1:26" x14ac:dyDescent="0.3">
      <c r="A1179" t="s">
        <v>1550</v>
      </c>
      <c r="B1179" s="22" t="s">
        <v>281</v>
      </c>
      <c r="C1179" s="24" t="s">
        <v>366</v>
      </c>
      <c r="D1179" s="24" t="s">
        <v>323</v>
      </c>
      <c r="E1179" s="24">
        <v>38</v>
      </c>
      <c r="F1179" t="s">
        <v>381</v>
      </c>
      <c r="G1179" s="24" t="s">
        <v>24</v>
      </c>
      <c r="H1179" s="24" t="s">
        <v>14</v>
      </c>
      <c r="I1179" s="24">
        <v>184500</v>
      </c>
      <c r="J1179" s="24">
        <v>4</v>
      </c>
      <c r="K1179" s="25">
        <f t="shared" si="54"/>
        <v>738000</v>
      </c>
      <c r="L1179" s="26">
        <v>45490</v>
      </c>
      <c r="M1179" s="24" t="str">
        <f t="shared" si="55"/>
        <v>Wednesday</v>
      </c>
      <c r="N1179" s="24" t="str">
        <f t="shared" si="56"/>
        <v>Weekday</v>
      </c>
      <c r="Q1179" s="24"/>
      <c r="R1179" s="24"/>
      <c r="S1179" s="27"/>
      <c r="T1179"/>
      <c r="U1179" s="6"/>
      <c r="W1179" s="7"/>
      <c r="Z1179" s="4"/>
    </row>
    <row r="1180" spans="1:26" x14ac:dyDescent="0.3">
      <c r="A1180" t="s">
        <v>1551</v>
      </c>
      <c r="B1180" s="16" t="s">
        <v>260</v>
      </c>
      <c r="C1180" s="18" t="s">
        <v>11</v>
      </c>
      <c r="D1180" s="18" t="s">
        <v>322</v>
      </c>
      <c r="E1180" s="18">
        <v>55</v>
      </c>
      <c r="F1180" t="s">
        <v>375</v>
      </c>
      <c r="G1180" s="18" t="s">
        <v>17</v>
      </c>
      <c r="H1180" s="18" t="s">
        <v>18</v>
      </c>
      <c r="I1180" s="18">
        <v>12300</v>
      </c>
      <c r="J1180" s="18">
        <v>2</v>
      </c>
      <c r="K1180" s="19">
        <f t="shared" si="54"/>
        <v>24600</v>
      </c>
      <c r="L1180" s="20">
        <v>45628</v>
      </c>
      <c r="M1180" s="18" t="str">
        <f t="shared" si="55"/>
        <v>Monday</v>
      </c>
      <c r="N1180" s="18" t="str">
        <f t="shared" si="56"/>
        <v>Weekday</v>
      </c>
      <c r="Q1180" s="18"/>
      <c r="R1180" s="18"/>
      <c r="S1180" s="21"/>
      <c r="T1180"/>
      <c r="U1180" s="6"/>
      <c r="W1180" s="7"/>
      <c r="Z1180" s="4"/>
    </row>
    <row r="1181" spans="1:26" x14ac:dyDescent="0.3">
      <c r="A1181" t="s">
        <v>1552</v>
      </c>
      <c r="B1181" s="22" t="s">
        <v>170</v>
      </c>
      <c r="C1181" s="24" t="s">
        <v>20</v>
      </c>
      <c r="D1181" s="24" t="s">
        <v>326</v>
      </c>
      <c r="E1181" s="24">
        <v>42</v>
      </c>
      <c r="F1181" t="s">
        <v>373</v>
      </c>
      <c r="G1181" s="24" t="s">
        <v>26</v>
      </c>
      <c r="H1181" s="24" t="s">
        <v>27</v>
      </c>
      <c r="I1181" s="24">
        <v>24600</v>
      </c>
      <c r="J1181" s="24">
        <v>5</v>
      </c>
      <c r="K1181" s="25">
        <f t="shared" si="54"/>
        <v>123000</v>
      </c>
      <c r="L1181" s="26">
        <v>45404</v>
      </c>
      <c r="M1181" s="24" t="str">
        <f t="shared" si="55"/>
        <v>Monday</v>
      </c>
      <c r="N1181" s="24" t="str">
        <f t="shared" si="56"/>
        <v>Weekday</v>
      </c>
      <c r="Q1181" s="24"/>
      <c r="R1181" s="24"/>
      <c r="S1181" s="27"/>
      <c r="T1181"/>
      <c r="U1181" s="6"/>
      <c r="W1181" s="7"/>
      <c r="Z1181" s="4"/>
    </row>
    <row r="1182" spans="1:26" x14ac:dyDescent="0.3">
      <c r="A1182" t="s">
        <v>1553</v>
      </c>
      <c r="B1182" s="16" t="s">
        <v>266</v>
      </c>
      <c r="C1182" s="18" t="s">
        <v>20</v>
      </c>
      <c r="D1182" s="18" t="s">
        <v>322</v>
      </c>
      <c r="E1182" s="18">
        <v>64</v>
      </c>
      <c r="F1182" t="s">
        <v>381</v>
      </c>
      <c r="G1182" s="18" t="s">
        <v>24</v>
      </c>
      <c r="H1182" s="18" t="s">
        <v>14</v>
      </c>
      <c r="I1182" s="18">
        <v>184500</v>
      </c>
      <c r="J1182" s="18">
        <v>5</v>
      </c>
      <c r="K1182" s="19">
        <f t="shared" si="54"/>
        <v>922500</v>
      </c>
      <c r="L1182" s="20">
        <v>45396</v>
      </c>
      <c r="M1182" s="18" t="str">
        <f t="shared" si="55"/>
        <v>Sunday</v>
      </c>
      <c r="N1182" s="18" t="str">
        <f t="shared" si="56"/>
        <v>Weekday</v>
      </c>
      <c r="Q1182" s="18"/>
      <c r="R1182" s="18"/>
      <c r="S1182" s="21"/>
      <c r="T1182"/>
      <c r="U1182" s="6"/>
      <c r="W1182" s="7"/>
      <c r="Z1182" s="4"/>
    </row>
    <row r="1183" spans="1:26" x14ac:dyDescent="0.3">
      <c r="A1183" t="s">
        <v>1554</v>
      </c>
      <c r="B1183" s="22" t="s">
        <v>94</v>
      </c>
      <c r="C1183" s="24" t="s">
        <v>11</v>
      </c>
      <c r="D1183" s="24" t="s">
        <v>326</v>
      </c>
      <c r="E1183" s="24">
        <v>63</v>
      </c>
      <c r="F1183" t="s">
        <v>381</v>
      </c>
      <c r="G1183" s="24" t="s">
        <v>24</v>
      </c>
      <c r="H1183" s="24" t="s">
        <v>14</v>
      </c>
      <c r="I1183" s="24">
        <v>184500</v>
      </c>
      <c r="J1183" s="24">
        <v>3</v>
      </c>
      <c r="K1183" s="25">
        <f t="shared" si="54"/>
        <v>553500</v>
      </c>
      <c r="L1183" s="26">
        <v>45567</v>
      </c>
      <c r="M1183" s="24" t="str">
        <f t="shared" si="55"/>
        <v>Wednesday</v>
      </c>
      <c r="N1183" s="24" t="str">
        <f t="shared" si="56"/>
        <v>Weekday</v>
      </c>
      <c r="Q1183" s="24"/>
      <c r="R1183" s="24"/>
      <c r="S1183" s="27"/>
      <c r="T1183"/>
      <c r="U1183" s="6"/>
      <c r="W1183" s="7"/>
      <c r="Z1183" s="4"/>
    </row>
    <row r="1184" spans="1:26" x14ac:dyDescent="0.3">
      <c r="A1184" t="s">
        <v>1555</v>
      </c>
      <c r="B1184" s="16" t="s">
        <v>231</v>
      </c>
      <c r="C1184" s="18" t="s">
        <v>11</v>
      </c>
      <c r="D1184" s="18" t="s">
        <v>326</v>
      </c>
      <c r="E1184" s="18">
        <v>65</v>
      </c>
      <c r="F1184" t="s">
        <v>375</v>
      </c>
      <c r="G1184" s="18" t="s">
        <v>13</v>
      </c>
      <c r="H1184" s="18" t="s">
        <v>14</v>
      </c>
      <c r="I1184" s="18">
        <v>36900</v>
      </c>
      <c r="J1184" s="18">
        <v>5</v>
      </c>
      <c r="K1184" s="19">
        <f t="shared" si="54"/>
        <v>184500</v>
      </c>
      <c r="L1184" s="20">
        <v>45461</v>
      </c>
      <c r="M1184" s="18" t="str">
        <f t="shared" si="55"/>
        <v>Tuesday</v>
      </c>
      <c r="N1184" s="18" t="str">
        <f t="shared" si="56"/>
        <v>Weekday</v>
      </c>
      <c r="Q1184" s="18"/>
      <c r="R1184" s="18"/>
      <c r="S1184" s="21"/>
      <c r="T1184"/>
      <c r="U1184" s="6"/>
      <c r="W1184" s="7"/>
      <c r="Z1184" s="4"/>
    </row>
    <row r="1185" spans="1:26" x14ac:dyDescent="0.3">
      <c r="A1185" t="s">
        <v>1556</v>
      </c>
      <c r="B1185" s="22" t="s">
        <v>173</v>
      </c>
      <c r="C1185" s="24" t="s">
        <v>20</v>
      </c>
      <c r="D1185" s="24" t="s">
        <v>325</v>
      </c>
      <c r="E1185" s="24">
        <v>55</v>
      </c>
      <c r="F1185" t="s">
        <v>381</v>
      </c>
      <c r="G1185" s="24" t="s">
        <v>13</v>
      </c>
      <c r="H1185" s="24" t="s">
        <v>14</v>
      </c>
      <c r="I1185" s="24">
        <v>36900</v>
      </c>
      <c r="J1185" s="24">
        <v>4</v>
      </c>
      <c r="K1185" s="25">
        <f t="shared" si="54"/>
        <v>147600</v>
      </c>
      <c r="L1185" s="26">
        <v>45340</v>
      </c>
      <c r="M1185" s="24" t="str">
        <f t="shared" si="55"/>
        <v>Sunday</v>
      </c>
      <c r="N1185" s="24" t="str">
        <f t="shared" si="56"/>
        <v>Weekday</v>
      </c>
      <c r="Q1185" s="24"/>
      <c r="R1185" s="24"/>
      <c r="S1185" s="27"/>
      <c r="T1185"/>
      <c r="U1185" s="6"/>
      <c r="W1185" s="7"/>
      <c r="Z1185" s="4"/>
    </row>
    <row r="1186" spans="1:26" x14ac:dyDescent="0.3">
      <c r="A1186" t="s">
        <v>1557</v>
      </c>
      <c r="B1186" s="16" t="s">
        <v>169</v>
      </c>
      <c r="C1186" s="18" t="s">
        <v>366</v>
      </c>
      <c r="D1186" s="18" t="s">
        <v>328</v>
      </c>
      <c r="E1186" s="18">
        <v>64</v>
      </c>
      <c r="F1186" t="s">
        <v>370</v>
      </c>
      <c r="G1186" s="18" t="s">
        <v>42</v>
      </c>
      <c r="H1186" s="18" t="s">
        <v>14</v>
      </c>
      <c r="I1186" s="18">
        <v>98400</v>
      </c>
      <c r="J1186" s="18">
        <v>5</v>
      </c>
      <c r="K1186" s="19">
        <f t="shared" si="54"/>
        <v>492000</v>
      </c>
      <c r="L1186" s="20">
        <v>45509</v>
      </c>
      <c r="M1186" s="18" t="str">
        <f t="shared" si="55"/>
        <v>Monday</v>
      </c>
      <c r="N1186" s="18" t="str">
        <f t="shared" si="56"/>
        <v>Weekday</v>
      </c>
      <c r="Q1186" s="18"/>
      <c r="R1186" s="18"/>
      <c r="S1186" s="21"/>
      <c r="T1186"/>
      <c r="U1186" s="6"/>
      <c r="W1186" s="7"/>
      <c r="Z1186" s="4"/>
    </row>
    <row r="1187" spans="1:26" x14ac:dyDescent="0.3">
      <c r="A1187" t="s">
        <v>1558</v>
      </c>
      <c r="B1187" s="22" t="s">
        <v>75</v>
      </c>
      <c r="C1187" s="24" t="s">
        <v>11</v>
      </c>
      <c r="D1187" s="24" t="s">
        <v>322</v>
      </c>
      <c r="E1187" s="24">
        <v>51</v>
      </c>
      <c r="F1187" t="s">
        <v>373</v>
      </c>
      <c r="G1187" s="24" t="s">
        <v>26</v>
      </c>
      <c r="H1187" s="24" t="s">
        <v>27</v>
      </c>
      <c r="I1187" s="24">
        <v>24600</v>
      </c>
      <c r="J1187" s="24">
        <v>3</v>
      </c>
      <c r="K1187" s="25">
        <f t="shared" si="54"/>
        <v>73800</v>
      </c>
      <c r="L1187" s="26">
        <v>45614</v>
      </c>
      <c r="M1187" s="24" t="str">
        <f t="shared" si="55"/>
        <v>Monday</v>
      </c>
      <c r="N1187" s="24" t="str">
        <f t="shared" si="56"/>
        <v>Weekday</v>
      </c>
      <c r="Q1187" s="24"/>
      <c r="R1187" s="24"/>
      <c r="S1187" s="27"/>
      <c r="T1187"/>
      <c r="U1187" s="6"/>
      <c r="W1187" s="7"/>
      <c r="Z1187" s="4"/>
    </row>
    <row r="1188" spans="1:26" x14ac:dyDescent="0.3">
      <c r="A1188" t="s">
        <v>1559</v>
      </c>
      <c r="B1188" s="16" t="s">
        <v>213</v>
      </c>
      <c r="C1188" s="18" t="s">
        <v>11</v>
      </c>
      <c r="D1188" s="18" t="s">
        <v>326</v>
      </c>
      <c r="E1188" s="18">
        <v>66</v>
      </c>
      <c r="F1188" t="s">
        <v>375</v>
      </c>
      <c r="G1188" s="18" t="s">
        <v>42</v>
      </c>
      <c r="H1188" s="18" t="s">
        <v>14</v>
      </c>
      <c r="I1188" s="18">
        <v>98400</v>
      </c>
      <c r="J1188" s="18">
        <v>2</v>
      </c>
      <c r="K1188" s="19">
        <f t="shared" si="54"/>
        <v>196800</v>
      </c>
      <c r="L1188" s="20">
        <v>45456</v>
      </c>
      <c r="M1188" s="18" t="str">
        <f t="shared" si="55"/>
        <v>Thursday</v>
      </c>
      <c r="N1188" s="18" t="str">
        <f t="shared" si="56"/>
        <v>Weekday</v>
      </c>
      <c r="Q1188" s="18"/>
      <c r="R1188" s="18"/>
      <c r="S1188" s="21"/>
      <c r="T1188"/>
      <c r="U1188" s="6"/>
      <c r="W1188" s="7"/>
      <c r="Z1188" s="4"/>
    </row>
    <row r="1189" spans="1:26" x14ac:dyDescent="0.3">
      <c r="A1189" t="s">
        <v>1560</v>
      </c>
      <c r="B1189" s="22" t="s">
        <v>282</v>
      </c>
      <c r="C1189" s="24" t="s">
        <v>11</v>
      </c>
      <c r="D1189" s="24" t="s">
        <v>325</v>
      </c>
      <c r="E1189" s="24">
        <v>26</v>
      </c>
      <c r="F1189" t="s">
        <v>370</v>
      </c>
      <c r="G1189" s="24" t="s">
        <v>13</v>
      </c>
      <c r="H1189" s="24" t="s">
        <v>14</v>
      </c>
      <c r="I1189" s="24">
        <v>36900</v>
      </c>
      <c r="J1189" s="24">
        <v>1</v>
      </c>
      <c r="K1189" s="25">
        <f t="shared" si="54"/>
        <v>36900</v>
      </c>
      <c r="L1189" s="26">
        <v>45454</v>
      </c>
      <c r="M1189" s="24" t="str">
        <f t="shared" si="55"/>
        <v>Tuesday</v>
      </c>
      <c r="N1189" s="24" t="str">
        <f t="shared" si="56"/>
        <v>Weekday</v>
      </c>
      <c r="Q1189" s="24"/>
      <c r="R1189" s="24"/>
      <c r="S1189" s="27"/>
      <c r="T1189"/>
      <c r="U1189" s="6"/>
      <c r="W1189" s="7"/>
      <c r="Z1189" s="4"/>
    </row>
    <row r="1190" spans="1:26" x14ac:dyDescent="0.3">
      <c r="A1190" t="s">
        <v>1561</v>
      </c>
      <c r="B1190" s="16" t="s">
        <v>268</v>
      </c>
      <c r="C1190" s="18" t="s">
        <v>20</v>
      </c>
      <c r="D1190" s="18" t="s">
        <v>323</v>
      </c>
      <c r="E1190" s="18">
        <v>55</v>
      </c>
      <c r="F1190" t="s">
        <v>370</v>
      </c>
      <c r="G1190" s="18" t="s">
        <v>31</v>
      </c>
      <c r="H1190" s="18" t="s">
        <v>18</v>
      </c>
      <c r="I1190" s="18">
        <v>6150</v>
      </c>
      <c r="J1190" s="18">
        <v>4</v>
      </c>
      <c r="K1190" s="19">
        <f t="shared" si="54"/>
        <v>24600</v>
      </c>
      <c r="L1190" s="20">
        <v>45631</v>
      </c>
      <c r="M1190" s="18" t="str">
        <f t="shared" si="55"/>
        <v>Thursday</v>
      </c>
      <c r="N1190" s="18" t="str">
        <f t="shared" si="56"/>
        <v>Weekday</v>
      </c>
      <c r="Q1190" s="18"/>
      <c r="R1190" s="18"/>
      <c r="S1190" s="21"/>
      <c r="T1190"/>
      <c r="U1190" s="6"/>
      <c r="W1190" s="7"/>
      <c r="Z1190" s="4"/>
    </row>
    <row r="1191" spans="1:26" x14ac:dyDescent="0.3">
      <c r="A1191" t="s">
        <v>1562</v>
      </c>
      <c r="B1191" s="22" t="s">
        <v>193</v>
      </c>
      <c r="C1191" s="24" t="s">
        <v>20</v>
      </c>
      <c r="D1191" s="24" t="s">
        <v>323</v>
      </c>
      <c r="E1191" s="24">
        <v>64</v>
      </c>
      <c r="F1191" t="s">
        <v>373</v>
      </c>
      <c r="G1191" s="24" t="s">
        <v>31</v>
      </c>
      <c r="H1191" s="24" t="s">
        <v>18</v>
      </c>
      <c r="I1191" s="24">
        <v>6150</v>
      </c>
      <c r="J1191" s="24">
        <v>3</v>
      </c>
      <c r="K1191" s="25">
        <f t="shared" si="54"/>
        <v>18450</v>
      </c>
      <c r="L1191" s="26">
        <v>45620</v>
      </c>
      <c r="M1191" s="24" t="str">
        <f t="shared" si="55"/>
        <v>Sunday</v>
      </c>
      <c r="N1191" s="24" t="str">
        <f t="shared" si="56"/>
        <v>Weekday</v>
      </c>
      <c r="Q1191" s="24"/>
      <c r="R1191" s="24"/>
      <c r="S1191" s="27"/>
      <c r="T1191"/>
      <c r="U1191" s="6"/>
      <c r="W1191" s="7"/>
      <c r="Z1191" s="4"/>
    </row>
    <row r="1192" spans="1:26" x14ac:dyDescent="0.3">
      <c r="A1192" t="s">
        <v>1563</v>
      </c>
      <c r="B1192" s="16" t="s">
        <v>179</v>
      </c>
      <c r="C1192" s="18" t="s">
        <v>11</v>
      </c>
      <c r="D1192" s="18" t="s">
        <v>322</v>
      </c>
      <c r="E1192" s="18">
        <v>29</v>
      </c>
      <c r="F1192" t="s">
        <v>375</v>
      </c>
      <c r="G1192" s="18" t="s">
        <v>31</v>
      </c>
      <c r="H1192" s="18" t="s">
        <v>18</v>
      </c>
      <c r="I1192" s="18">
        <v>6150</v>
      </c>
      <c r="J1192" s="18">
        <v>3</v>
      </c>
      <c r="K1192" s="19">
        <f t="shared" si="54"/>
        <v>18450</v>
      </c>
      <c r="L1192" s="20">
        <v>45461</v>
      </c>
      <c r="M1192" s="18" t="str">
        <f t="shared" si="55"/>
        <v>Tuesday</v>
      </c>
      <c r="N1192" s="18" t="str">
        <f t="shared" si="56"/>
        <v>Weekday</v>
      </c>
      <c r="Q1192" s="18"/>
      <c r="R1192" s="18"/>
      <c r="S1192" s="21"/>
      <c r="T1192"/>
      <c r="U1192" s="6"/>
      <c r="W1192" s="7"/>
      <c r="Z1192" s="4"/>
    </row>
    <row r="1193" spans="1:26" x14ac:dyDescent="0.3">
      <c r="A1193" t="s">
        <v>1564</v>
      </c>
      <c r="B1193" s="22" t="s">
        <v>276</v>
      </c>
      <c r="C1193" s="24" t="s">
        <v>20</v>
      </c>
      <c r="D1193" s="24" t="s">
        <v>324</v>
      </c>
      <c r="E1193" s="24">
        <v>56</v>
      </c>
      <c r="F1193" t="s">
        <v>381</v>
      </c>
      <c r="G1193" s="24" t="s">
        <v>32</v>
      </c>
      <c r="H1193" s="24" t="s">
        <v>18</v>
      </c>
      <c r="I1193" s="24">
        <v>3690</v>
      </c>
      <c r="J1193" s="24">
        <v>5</v>
      </c>
      <c r="K1193" s="25">
        <f t="shared" si="54"/>
        <v>18450</v>
      </c>
      <c r="L1193" s="26">
        <v>45485</v>
      </c>
      <c r="M1193" s="24" t="str">
        <f t="shared" si="55"/>
        <v>Friday</v>
      </c>
      <c r="N1193" s="24" t="str">
        <f t="shared" si="56"/>
        <v>Weekend</v>
      </c>
      <c r="Q1193" s="24"/>
      <c r="R1193" s="24"/>
      <c r="S1193" s="27"/>
      <c r="T1193"/>
      <c r="U1193" s="6"/>
      <c r="W1193" s="7"/>
      <c r="Z1193" s="4"/>
    </row>
    <row r="1194" spans="1:26" x14ac:dyDescent="0.3">
      <c r="A1194" t="s">
        <v>1565</v>
      </c>
      <c r="B1194" s="16" t="s">
        <v>195</v>
      </c>
      <c r="C1194" s="18" t="s">
        <v>20</v>
      </c>
      <c r="D1194" s="18" t="s">
        <v>323</v>
      </c>
      <c r="E1194" s="18">
        <v>52</v>
      </c>
      <c r="F1194" t="s">
        <v>375</v>
      </c>
      <c r="G1194" s="18" t="s">
        <v>32</v>
      </c>
      <c r="H1194" s="18" t="s">
        <v>18</v>
      </c>
      <c r="I1194" s="18">
        <v>3690</v>
      </c>
      <c r="J1194" s="18">
        <v>1</v>
      </c>
      <c r="K1194" s="19">
        <f t="shared" si="54"/>
        <v>3690</v>
      </c>
      <c r="L1194" s="20">
        <v>45301</v>
      </c>
      <c r="M1194" s="18" t="str">
        <f t="shared" si="55"/>
        <v>Wednesday</v>
      </c>
      <c r="N1194" s="18" t="str">
        <f t="shared" si="56"/>
        <v>Weekday</v>
      </c>
      <c r="Q1194" s="18"/>
      <c r="R1194" s="18"/>
      <c r="S1194" s="21"/>
      <c r="T1194"/>
      <c r="U1194" s="6"/>
      <c r="W1194" s="7"/>
      <c r="Z1194" s="4"/>
    </row>
    <row r="1195" spans="1:26" x14ac:dyDescent="0.3">
      <c r="A1195" t="s">
        <v>1566</v>
      </c>
      <c r="B1195" s="22" t="s">
        <v>38</v>
      </c>
      <c r="C1195" s="24" t="s">
        <v>11</v>
      </c>
      <c r="D1195" s="24" t="s">
        <v>322</v>
      </c>
      <c r="E1195" s="24">
        <v>66</v>
      </c>
      <c r="F1195" t="s">
        <v>381</v>
      </c>
      <c r="G1195" s="24" t="s">
        <v>31</v>
      </c>
      <c r="H1195" s="24" t="s">
        <v>18</v>
      </c>
      <c r="I1195" s="24">
        <v>6150</v>
      </c>
      <c r="J1195" s="24">
        <v>4</v>
      </c>
      <c r="K1195" s="25">
        <f t="shared" si="54"/>
        <v>24600</v>
      </c>
      <c r="L1195" s="26">
        <v>45652</v>
      </c>
      <c r="M1195" s="24" t="str">
        <f t="shared" si="55"/>
        <v>Thursday</v>
      </c>
      <c r="N1195" s="24" t="str">
        <f t="shared" si="56"/>
        <v>Weekday</v>
      </c>
      <c r="Q1195" s="24"/>
      <c r="R1195" s="24"/>
      <c r="S1195" s="27"/>
      <c r="T1195"/>
      <c r="U1195" s="6"/>
      <c r="W1195" s="7"/>
      <c r="Z1195" s="4"/>
    </row>
    <row r="1196" spans="1:26" x14ac:dyDescent="0.3">
      <c r="A1196" t="s">
        <v>1567</v>
      </c>
      <c r="B1196" s="16" t="s">
        <v>142</v>
      </c>
      <c r="C1196" s="18" t="s">
        <v>366</v>
      </c>
      <c r="D1196" s="18" t="s">
        <v>323</v>
      </c>
      <c r="E1196" s="18">
        <v>66</v>
      </c>
      <c r="F1196" t="s">
        <v>373</v>
      </c>
      <c r="G1196" s="18" t="s">
        <v>32</v>
      </c>
      <c r="H1196" s="18" t="s">
        <v>18</v>
      </c>
      <c r="I1196" s="18">
        <v>3690</v>
      </c>
      <c r="J1196" s="18">
        <v>1</v>
      </c>
      <c r="K1196" s="19">
        <f t="shared" si="54"/>
        <v>3690</v>
      </c>
      <c r="L1196" s="20">
        <v>45552</v>
      </c>
      <c r="M1196" s="18" t="str">
        <f t="shared" si="55"/>
        <v>Tuesday</v>
      </c>
      <c r="N1196" s="18" t="str">
        <f t="shared" si="56"/>
        <v>Weekday</v>
      </c>
      <c r="Q1196" s="18"/>
      <c r="R1196" s="18"/>
      <c r="S1196" s="21"/>
      <c r="T1196"/>
      <c r="U1196" s="6"/>
      <c r="W1196" s="7"/>
      <c r="Z1196" s="4"/>
    </row>
    <row r="1197" spans="1:26" x14ac:dyDescent="0.3">
      <c r="A1197" t="s">
        <v>1568</v>
      </c>
      <c r="B1197" s="22" t="s">
        <v>220</v>
      </c>
      <c r="C1197" s="24" t="s">
        <v>20</v>
      </c>
      <c r="D1197" s="24" t="s">
        <v>325</v>
      </c>
      <c r="E1197" s="24">
        <v>66</v>
      </c>
      <c r="F1197" t="s">
        <v>373</v>
      </c>
      <c r="G1197" s="24" t="s">
        <v>17</v>
      </c>
      <c r="H1197" s="24" t="s">
        <v>18</v>
      </c>
      <c r="I1197" s="24">
        <v>12300</v>
      </c>
      <c r="J1197" s="24">
        <v>2</v>
      </c>
      <c r="K1197" s="25">
        <f t="shared" si="54"/>
        <v>24600</v>
      </c>
      <c r="L1197" s="26">
        <v>45416</v>
      </c>
      <c r="M1197" s="24" t="str">
        <f t="shared" si="55"/>
        <v>Saturday</v>
      </c>
      <c r="N1197" s="24" t="str">
        <f t="shared" si="56"/>
        <v>Weekend</v>
      </c>
      <c r="Q1197" s="24"/>
      <c r="R1197" s="24"/>
      <c r="S1197" s="27"/>
      <c r="T1197"/>
      <c r="U1197" s="6"/>
      <c r="W1197" s="7"/>
      <c r="Z1197" s="4"/>
    </row>
    <row r="1198" spans="1:26" x14ac:dyDescent="0.3">
      <c r="A1198" t="s">
        <v>1569</v>
      </c>
      <c r="B1198" s="16" t="s">
        <v>123</v>
      </c>
      <c r="C1198" s="18" t="s">
        <v>20</v>
      </c>
      <c r="D1198" s="18" t="s">
        <v>328</v>
      </c>
      <c r="E1198" s="18">
        <v>38</v>
      </c>
      <c r="F1198" t="s">
        <v>370</v>
      </c>
      <c r="G1198" s="18" t="s">
        <v>13</v>
      </c>
      <c r="H1198" s="18" t="s">
        <v>14</v>
      </c>
      <c r="I1198" s="18">
        <v>36900</v>
      </c>
      <c r="J1198" s="18">
        <v>4</v>
      </c>
      <c r="K1198" s="19">
        <f t="shared" si="54"/>
        <v>147600</v>
      </c>
      <c r="L1198" s="20">
        <v>45549</v>
      </c>
      <c r="M1198" s="18" t="str">
        <f t="shared" si="55"/>
        <v>Saturday</v>
      </c>
      <c r="N1198" s="18" t="str">
        <f t="shared" si="56"/>
        <v>Weekend</v>
      </c>
      <c r="Q1198" s="18"/>
      <c r="R1198" s="18"/>
      <c r="S1198" s="21"/>
      <c r="T1198"/>
      <c r="U1198" s="6"/>
      <c r="W1198" s="7"/>
      <c r="Z1198" s="4"/>
    </row>
    <row r="1199" spans="1:26" x14ac:dyDescent="0.3">
      <c r="A1199" t="s">
        <v>1570</v>
      </c>
      <c r="B1199" s="22" t="s">
        <v>130</v>
      </c>
      <c r="C1199" s="24" t="s">
        <v>11</v>
      </c>
      <c r="D1199" s="24" t="s">
        <v>322</v>
      </c>
      <c r="E1199" s="24">
        <v>63</v>
      </c>
      <c r="F1199" t="s">
        <v>370</v>
      </c>
      <c r="G1199" s="24" t="s">
        <v>26</v>
      </c>
      <c r="H1199" s="24" t="s">
        <v>27</v>
      </c>
      <c r="I1199" s="24">
        <v>24600</v>
      </c>
      <c r="J1199" s="24">
        <v>5</v>
      </c>
      <c r="K1199" s="25">
        <f t="shared" si="54"/>
        <v>123000</v>
      </c>
      <c r="L1199" s="26">
        <v>45501</v>
      </c>
      <c r="M1199" s="24" t="str">
        <f t="shared" si="55"/>
        <v>Sunday</v>
      </c>
      <c r="N1199" s="24" t="str">
        <f t="shared" si="56"/>
        <v>Weekday</v>
      </c>
      <c r="Q1199" s="24"/>
      <c r="R1199" s="24"/>
      <c r="S1199" s="27"/>
      <c r="T1199"/>
      <c r="U1199" s="6"/>
      <c r="W1199" s="7"/>
      <c r="Z1199" s="4"/>
    </row>
    <row r="1200" spans="1:26" x14ac:dyDescent="0.3">
      <c r="A1200" t="s">
        <v>1571</v>
      </c>
      <c r="B1200" s="16" t="s">
        <v>57</v>
      </c>
      <c r="C1200" s="18" t="s">
        <v>366</v>
      </c>
      <c r="D1200" s="18" t="s">
        <v>322</v>
      </c>
      <c r="E1200" s="18">
        <v>58</v>
      </c>
      <c r="F1200" t="s">
        <v>370</v>
      </c>
      <c r="G1200" s="18" t="s">
        <v>32</v>
      </c>
      <c r="H1200" s="18" t="s">
        <v>18</v>
      </c>
      <c r="I1200" s="18">
        <v>3690</v>
      </c>
      <c r="J1200" s="18">
        <v>2</v>
      </c>
      <c r="K1200" s="19">
        <f t="shared" si="54"/>
        <v>7380</v>
      </c>
      <c r="L1200" s="20">
        <v>45637</v>
      </c>
      <c r="M1200" s="18" t="str">
        <f t="shared" si="55"/>
        <v>Wednesday</v>
      </c>
      <c r="N1200" s="18" t="str">
        <f t="shared" si="56"/>
        <v>Weekday</v>
      </c>
      <c r="Q1200" s="18"/>
      <c r="R1200" s="18"/>
      <c r="S1200" s="21"/>
      <c r="T1200"/>
      <c r="U1200" s="6"/>
      <c r="W1200" s="7"/>
      <c r="Z1200" s="4"/>
    </row>
    <row r="1201" spans="1:26" x14ac:dyDescent="0.3">
      <c r="A1201" t="s">
        <v>1572</v>
      </c>
      <c r="B1201" s="22" t="s">
        <v>270</v>
      </c>
      <c r="C1201" s="24" t="s">
        <v>366</v>
      </c>
      <c r="D1201" s="24" t="s">
        <v>322</v>
      </c>
      <c r="E1201" s="24">
        <v>43</v>
      </c>
      <c r="F1201" t="s">
        <v>373</v>
      </c>
      <c r="G1201" s="24" t="s">
        <v>31</v>
      </c>
      <c r="H1201" s="24" t="s">
        <v>18</v>
      </c>
      <c r="I1201" s="24">
        <v>6150</v>
      </c>
      <c r="J1201" s="24">
        <v>4</v>
      </c>
      <c r="K1201" s="25">
        <f t="shared" si="54"/>
        <v>24600</v>
      </c>
      <c r="L1201" s="26">
        <v>45641</v>
      </c>
      <c r="M1201" s="24" t="str">
        <f t="shared" si="55"/>
        <v>Sunday</v>
      </c>
      <c r="N1201" s="24" t="str">
        <f t="shared" si="56"/>
        <v>Weekday</v>
      </c>
      <c r="Q1201" s="24"/>
      <c r="R1201" s="24"/>
      <c r="S1201" s="27"/>
      <c r="T1201"/>
      <c r="U1201" s="6"/>
      <c r="W1201" s="7"/>
      <c r="Z1201" s="4"/>
    </row>
    <row r="1202" spans="1:26" x14ac:dyDescent="0.3">
      <c r="A1202" t="s">
        <v>1573</v>
      </c>
      <c r="B1202" s="16" t="s">
        <v>298</v>
      </c>
      <c r="C1202" s="18" t="s">
        <v>20</v>
      </c>
      <c r="D1202" s="18" t="s">
        <v>324</v>
      </c>
      <c r="E1202" s="18">
        <v>65</v>
      </c>
      <c r="F1202" t="s">
        <v>381</v>
      </c>
      <c r="G1202" s="18" t="s">
        <v>24</v>
      </c>
      <c r="H1202" s="18" t="s">
        <v>14</v>
      </c>
      <c r="I1202" s="18">
        <v>184500</v>
      </c>
      <c r="J1202" s="18">
        <v>5</v>
      </c>
      <c r="K1202" s="19">
        <f t="shared" si="54"/>
        <v>922500</v>
      </c>
      <c r="L1202" s="20">
        <v>45379</v>
      </c>
      <c r="M1202" s="18" t="str">
        <f t="shared" si="55"/>
        <v>Thursday</v>
      </c>
      <c r="N1202" s="18" t="str">
        <f t="shared" si="56"/>
        <v>Weekday</v>
      </c>
      <c r="Q1202" s="18"/>
      <c r="R1202" s="18"/>
      <c r="S1202" s="21"/>
      <c r="T1202"/>
      <c r="U1202" s="6"/>
      <c r="W1202" s="7"/>
      <c r="Z1202" s="4"/>
    </row>
    <row r="1203" spans="1:26" x14ac:dyDescent="0.3">
      <c r="A1203" t="s">
        <v>1574</v>
      </c>
      <c r="B1203" s="22" t="s">
        <v>161</v>
      </c>
      <c r="C1203" s="24" t="s">
        <v>11</v>
      </c>
      <c r="D1203" s="24" t="s">
        <v>322</v>
      </c>
      <c r="E1203" s="24">
        <v>26</v>
      </c>
      <c r="F1203" t="s">
        <v>373</v>
      </c>
      <c r="G1203" s="24" t="s">
        <v>31</v>
      </c>
      <c r="H1203" s="24" t="s">
        <v>18</v>
      </c>
      <c r="I1203" s="24">
        <v>6150</v>
      </c>
      <c r="J1203" s="24">
        <v>4</v>
      </c>
      <c r="K1203" s="25">
        <f t="shared" si="54"/>
        <v>24600</v>
      </c>
      <c r="L1203" s="26">
        <v>45544</v>
      </c>
      <c r="M1203" s="24" t="str">
        <f t="shared" si="55"/>
        <v>Monday</v>
      </c>
      <c r="N1203" s="24" t="str">
        <f t="shared" si="56"/>
        <v>Weekday</v>
      </c>
      <c r="Q1203" s="24"/>
      <c r="R1203" s="24"/>
      <c r="S1203" s="27"/>
      <c r="T1203"/>
      <c r="U1203" s="6"/>
      <c r="W1203" s="7"/>
      <c r="Z1203" s="4"/>
    </row>
    <row r="1204" spans="1:26" x14ac:dyDescent="0.3">
      <c r="A1204" t="s">
        <v>1575</v>
      </c>
      <c r="B1204" s="16" t="s">
        <v>311</v>
      </c>
      <c r="C1204" s="18" t="s">
        <v>11</v>
      </c>
      <c r="D1204" s="18" t="s">
        <v>322</v>
      </c>
      <c r="E1204" s="18">
        <v>21</v>
      </c>
      <c r="F1204" t="s">
        <v>373</v>
      </c>
      <c r="G1204" s="18" t="s">
        <v>24</v>
      </c>
      <c r="H1204" s="18" t="s">
        <v>14</v>
      </c>
      <c r="I1204" s="18">
        <v>184500</v>
      </c>
      <c r="J1204" s="18">
        <v>2</v>
      </c>
      <c r="K1204" s="19">
        <f t="shared" si="54"/>
        <v>369000</v>
      </c>
      <c r="L1204" s="20">
        <v>45347</v>
      </c>
      <c r="M1204" s="18" t="str">
        <f t="shared" si="55"/>
        <v>Sunday</v>
      </c>
      <c r="N1204" s="18" t="str">
        <f t="shared" si="56"/>
        <v>Weekday</v>
      </c>
      <c r="Q1204" s="18"/>
      <c r="R1204" s="18"/>
      <c r="S1204" s="21"/>
      <c r="T1204"/>
      <c r="U1204" s="6"/>
      <c r="W1204" s="7"/>
      <c r="Z1204" s="4"/>
    </row>
    <row r="1205" spans="1:26" x14ac:dyDescent="0.3">
      <c r="A1205" t="s">
        <v>1576</v>
      </c>
      <c r="B1205" s="22" t="s">
        <v>173</v>
      </c>
      <c r="C1205" s="24" t="s">
        <v>20</v>
      </c>
      <c r="D1205" s="24" t="s">
        <v>325</v>
      </c>
      <c r="E1205" s="24">
        <v>55</v>
      </c>
      <c r="F1205" t="s">
        <v>370</v>
      </c>
      <c r="G1205" s="24" t="s">
        <v>32</v>
      </c>
      <c r="H1205" s="24" t="s">
        <v>18</v>
      </c>
      <c r="I1205" s="24">
        <v>3690</v>
      </c>
      <c r="J1205" s="24">
        <v>2</v>
      </c>
      <c r="K1205" s="25">
        <f t="shared" si="54"/>
        <v>7380</v>
      </c>
      <c r="L1205" s="26">
        <v>45576</v>
      </c>
      <c r="M1205" s="24" t="str">
        <f t="shared" si="55"/>
        <v>Friday</v>
      </c>
      <c r="N1205" s="24" t="str">
        <f t="shared" si="56"/>
        <v>Weekend</v>
      </c>
      <c r="Q1205" s="24"/>
      <c r="R1205" s="24"/>
      <c r="S1205" s="27"/>
      <c r="T1205"/>
      <c r="U1205" s="6"/>
      <c r="W1205" s="7"/>
      <c r="Z1205" s="4"/>
    </row>
    <row r="1206" spans="1:26" x14ac:dyDescent="0.3">
      <c r="A1206" t="s">
        <v>1577</v>
      </c>
      <c r="B1206" s="16" t="s">
        <v>271</v>
      </c>
      <c r="C1206" s="18" t="s">
        <v>20</v>
      </c>
      <c r="D1206" s="18" t="s">
        <v>322</v>
      </c>
      <c r="E1206" s="18">
        <v>48</v>
      </c>
      <c r="F1206" t="s">
        <v>375</v>
      </c>
      <c r="G1206" s="18" t="s">
        <v>24</v>
      </c>
      <c r="H1206" s="18" t="s">
        <v>14</v>
      </c>
      <c r="I1206" s="18">
        <v>184500</v>
      </c>
      <c r="J1206" s="18">
        <v>5</v>
      </c>
      <c r="K1206" s="19">
        <f t="shared" si="54"/>
        <v>922500</v>
      </c>
      <c r="L1206" s="20">
        <v>45360</v>
      </c>
      <c r="M1206" s="18" t="str">
        <f t="shared" si="55"/>
        <v>Saturday</v>
      </c>
      <c r="N1206" s="18" t="str">
        <f t="shared" si="56"/>
        <v>Weekend</v>
      </c>
      <c r="Q1206" s="18"/>
      <c r="R1206" s="18"/>
      <c r="S1206" s="21"/>
      <c r="T1206"/>
      <c r="U1206" s="6"/>
      <c r="W1206" s="7"/>
      <c r="Z1206" s="4"/>
    </row>
    <row r="1207" spans="1:26" x14ac:dyDescent="0.3">
      <c r="A1207" t="s">
        <v>1578</v>
      </c>
      <c r="B1207" s="22" t="s">
        <v>173</v>
      </c>
      <c r="C1207" s="24" t="s">
        <v>20</v>
      </c>
      <c r="D1207" s="24" t="s">
        <v>325</v>
      </c>
      <c r="E1207" s="24">
        <v>55</v>
      </c>
      <c r="F1207" t="s">
        <v>370</v>
      </c>
      <c r="G1207" s="24" t="s">
        <v>13</v>
      </c>
      <c r="H1207" s="24" t="s">
        <v>14</v>
      </c>
      <c r="I1207" s="24">
        <v>36900</v>
      </c>
      <c r="J1207" s="24">
        <v>5</v>
      </c>
      <c r="K1207" s="25">
        <f t="shared" si="54"/>
        <v>184500</v>
      </c>
      <c r="L1207" s="26">
        <v>45625</v>
      </c>
      <c r="M1207" s="24" t="str">
        <f t="shared" si="55"/>
        <v>Friday</v>
      </c>
      <c r="N1207" s="24" t="str">
        <f t="shared" si="56"/>
        <v>Weekend</v>
      </c>
      <c r="Q1207" s="24"/>
      <c r="R1207" s="24"/>
      <c r="S1207" s="27"/>
      <c r="T1207"/>
      <c r="U1207" s="6"/>
      <c r="W1207" s="7"/>
      <c r="Z1207" s="4"/>
    </row>
    <row r="1208" spans="1:26" x14ac:dyDescent="0.3">
      <c r="A1208" t="s">
        <v>1579</v>
      </c>
      <c r="B1208" s="16" t="s">
        <v>228</v>
      </c>
      <c r="C1208" s="18" t="s">
        <v>11</v>
      </c>
      <c r="D1208" s="18" t="s">
        <v>325</v>
      </c>
      <c r="E1208" s="18">
        <v>33</v>
      </c>
      <c r="F1208" t="s">
        <v>375</v>
      </c>
      <c r="G1208" s="18" t="s">
        <v>42</v>
      </c>
      <c r="H1208" s="18" t="s">
        <v>14</v>
      </c>
      <c r="I1208" s="18">
        <v>98400</v>
      </c>
      <c r="J1208" s="18">
        <v>3</v>
      </c>
      <c r="K1208" s="19">
        <f t="shared" si="54"/>
        <v>295200</v>
      </c>
      <c r="L1208" s="20">
        <v>45606</v>
      </c>
      <c r="M1208" s="18" t="str">
        <f t="shared" si="55"/>
        <v>Sunday</v>
      </c>
      <c r="N1208" s="18" t="str">
        <f t="shared" si="56"/>
        <v>Weekday</v>
      </c>
      <c r="Q1208" s="18"/>
      <c r="R1208" s="18"/>
      <c r="S1208" s="21"/>
      <c r="T1208"/>
      <c r="U1208" s="6"/>
      <c r="W1208" s="7"/>
      <c r="Z1208" s="4"/>
    </row>
    <row r="1209" spans="1:26" x14ac:dyDescent="0.3">
      <c r="A1209" t="s">
        <v>1580</v>
      </c>
      <c r="B1209" s="22" t="s">
        <v>47</v>
      </c>
      <c r="C1209" s="24" t="s">
        <v>20</v>
      </c>
      <c r="D1209" s="24" t="s">
        <v>324</v>
      </c>
      <c r="E1209" s="24">
        <v>52</v>
      </c>
      <c r="F1209" t="s">
        <v>381</v>
      </c>
      <c r="G1209" s="24" t="s">
        <v>24</v>
      </c>
      <c r="H1209" s="24" t="s">
        <v>14</v>
      </c>
      <c r="I1209" s="24">
        <v>184500</v>
      </c>
      <c r="J1209" s="24">
        <v>1</v>
      </c>
      <c r="K1209" s="25">
        <f t="shared" si="54"/>
        <v>184500</v>
      </c>
      <c r="L1209" s="26">
        <v>45494</v>
      </c>
      <c r="M1209" s="24" t="str">
        <f t="shared" si="55"/>
        <v>Sunday</v>
      </c>
      <c r="N1209" s="24" t="str">
        <f t="shared" si="56"/>
        <v>Weekday</v>
      </c>
      <c r="Q1209" s="24"/>
      <c r="R1209" s="24"/>
      <c r="S1209" s="27"/>
      <c r="T1209"/>
      <c r="U1209" s="6"/>
      <c r="W1209" s="7"/>
      <c r="Z1209" s="4"/>
    </row>
    <row r="1210" spans="1:26" x14ac:dyDescent="0.3">
      <c r="A1210" t="s">
        <v>1581</v>
      </c>
      <c r="B1210" s="16" t="s">
        <v>157</v>
      </c>
      <c r="C1210" s="18" t="s">
        <v>11</v>
      </c>
      <c r="D1210" s="18" t="s">
        <v>322</v>
      </c>
      <c r="E1210" s="18">
        <v>60</v>
      </c>
      <c r="F1210" t="s">
        <v>381</v>
      </c>
      <c r="G1210" s="18" t="s">
        <v>32</v>
      </c>
      <c r="H1210" s="18" t="s">
        <v>18</v>
      </c>
      <c r="I1210" s="18">
        <v>3690</v>
      </c>
      <c r="J1210" s="18">
        <v>4</v>
      </c>
      <c r="K1210" s="19">
        <f t="shared" si="54"/>
        <v>14760</v>
      </c>
      <c r="L1210" s="20">
        <v>45331</v>
      </c>
      <c r="M1210" s="18" t="str">
        <f t="shared" si="55"/>
        <v>Friday</v>
      </c>
      <c r="N1210" s="18" t="str">
        <f t="shared" si="56"/>
        <v>Weekend</v>
      </c>
      <c r="Q1210" s="18"/>
      <c r="R1210" s="18"/>
      <c r="S1210" s="21"/>
      <c r="T1210"/>
      <c r="U1210" s="6"/>
      <c r="W1210" s="7"/>
      <c r="Z1210" s="4"/>
    </row>
    <row r="1211" spans="1:26" x14ac:dyDescent="0.3">
      <c r="A1211" t="s">
        <v>1582</v>
      </c>
      <c r="B1211" s="22" t="s">
        <v>313</v>
      </c>
      <c r="C1211" s="24" t="s">
        <v>366</v>
      </c>
      <c r="D1211" s="24" t="s">
        <v>325</v>
      </c>
      <c r="E1211" s="24">
        <v>29</v>
      </c>
      <c r="F1211" t="s">
        <v>381</v>
      </c>
      <c r="G1211" s="24" t="s">
        <v>32</v>
      </c>
      <c r="H1211" s="24" t="s">
        <v>18</v>
      </c>
      <c r="I1211" s="24">
        <v>3690</v>
      </c>
      <c r="J1211" s="24">
        <v>3</v>
      </c>
      <c r="K1211" s="25">
        <f t="shared" si="54"/>
        <v>11070</v>
      </c>
      <c r="L1211" s="26">
        <v>45497</v>
      </c>
      <c r="M1211" s="24" t="str">
        <f t="shared" si="55"/>
        <v>Wednesday</v>
      </c>
      <c r="N1211" s="24" t="str">
        <f t="shared" si="56"/>
        <v>Weekday</v>
      </c>
      <c r="Q1211" s="24"/>
      <c r="R1211" s="24"/>
      <c r="S1211" s="27"/>
      <c r="T1211"/>
      <c r="U1211" s="6"/>
      <c r="W1211" s="7"/>
      <c r="Z1211" s="4"/>
    </row>
    <row r="1212" spans="1:26" x14ac:dyDescent="0.3">
      <c r="A1212" t="s">
        <v>1583</v>
      </c>
      <c r="B1212" s="16" t="s">
        <v>148</v>
      </c>
      <c r="C1212" s="18" t="s">
        <v>20</v>
      </c>
      <c r="D1212" s="18" t="s">
        <v>323</v>
      </c>
      <c r="E1212" s="18">
        <v>68</v>
      </c>
      <c r="F1212" t="s">
        <v>370</v>
      </c>
      <c r="G1212" s="18" t="s">
        <v>17</v>
      </c>
      <c r="H1212" s="18" t="s">
        <v>18</v>
      </c>
      <c r="I1212" s="18">
        <v>12300</v>
      </c>
      <c r="J1212" s="18">
        <v>1</v>
      </c>
      <c r="K1212" s="19">
        <f t="shared" si="54"/>
        <v>12300</v>
      </c>
      <c r="L1212" s="20">
        <v>45634</v>
      </c>
      <c r="M1212" s="18" t="str">
        <f t="shared" si="55"/>
        <v>Sunday</v>
      </c>
      <c r="N1212" s="18" t="str">
        <f t="shared" si="56"/>
        <v>Weekday</v>
      </c>
      <c r="Q1212" s="18"/>
      <c r="R1212" s="18"/>
      <c r="S1212" s="21"/>
      <c r="T1212"/>
      <c r="U1212" s="6"/>
      <c r="W1212" s="7"/>
      <c r="Z1212" s="4"/>
    </row>
    <row r="1213" spans="1:26" x14ac:dyDescent="0.3">
      <c r="A1213" t="s">
        <v>1584</v>
      </c>
      <c r="B1213" s="22" t="s">
        <v>145</v>
      </c>
      <c r="C1213" s="24" t="s">
        <v>11</v>
      </c>
      <c r="D1213" s="24" t="s">
        <v>325</v>
      </c>
      <c r="E1213" s="24">
        <v>50</v>
      </c>
      <c r="F1213" t="s">
        <v>370</v>
      </c>
      <c r="G1213" s="24" t="s">
        <v>13</v>
      </c>
      <c r="H1213" s="24" t="s">
        <v>14</v>
      </c>
      <c r="I1213" s="24">
        <v>36900</v>
      </c>
      <c r="J1213" s="24">
        <v>1</v>
      </c>
      <c r="K1213" s="25">
        <f t="shared" si="54"/>
        <v>36900</v>
      </c>
      <c r="L1213" s="26">
        <v>45398</v>
      </c>
      <c r="M1213" s="24" t="str">
        <f t="shared" si="55"/>
        <v>Tuesday</v>
      </c>
      <c r="N1213" s="24" t="str">
        <f t="shared" si="56"/>
        <v>Weekday</v>
      </c>
      <c r="Q1213" s="24"/>
      <c r="R1213" s="24"/>
      <c r="S1213" s="27"/>
      <c r="T1213"/>
      <c r="U1213" s="6"/>
      <c r="W1213" s="7"/>
      <c r="Z1213" s="4"/>
    </row>
    <row r="1214" spans="1:26" x14ac:dyDescent="0.3">
      <c r="A1214" t="s">
        <v>1585</v>
      </c>
      <c r="B1214" s="16" t="s">
        <v>77</v>
      </c>
      <c r="C1214" s="18" t="s">
        <v>366</v>
      </c>
      <c r="D1214" s="18" t="s">
        <v>322</v>
      </c>
      <c r="E1214" s="18">
        <v>49</v>
      </c>
      <c r="F1214" t="s">
        <v>370</v>
      </c>
      <c r="G1214" s="18" t="s">
        <v>32</v>
      </c>
      <c r="H1214" s="18" t="s">
        <v>18</v>
      </c>
      <c r="I1214" s="18">
        <v>3690</v>
      </c>
      <c r="J1214" s="18">
        <v>2</v>
      </c>
      <c r="K1214" s="19">
        <f t="shared" si="54"/>
        <v>7380</v>
      </c>
      <c r="L1214" s="20">
        <v>45595</v>
      </c>
      <c r="M1214" s="18" t="str">
        <f t="shared" si="55"/>
        <v>Wednesday</v>
      </c>
      <c r="N1214" s="18" t="str">
        <f t="shared" si="56"/>
        <v>Weekday</v>
      </c>
      <c r="Q1214" s="18"/>
      <c r="R1214" s="18"/>
      <c r="S1214" s="21"/>
      <c r="T1214"/>
      <c r="U1214" s="6"/>
      <c r="W1214" s="7"/>
      <c r="Z1214" s="4"/>
    </row>
    <row r="1215" spans="1:26" x14ac:dyDescent="0.3">
      <c r="A1215" t="s">
        <v>1586</v>
      </c>
      <c r="B1215" s="22" t="s">
        <v>106</v>
      </c>
      <c r="C1215" s="24" t="s">
        <v>11</v>
      </c>
      <c r="D1215" s="24" t="s">
        <v>322</v>
      </c>
      <c r="E1215" s="24">
        <v>69</v>
      </c>
      <c r="F1215" t="s">
        <v>373</v>
      </c>
      <c r="G1215" s="24" t="s">
        <v>26</v>
      </c>
      <c r="H1215" s="24" t="s">
        <v>27</v>
      </c>
      <c r="I1215" s="24">
        <v>24600</v>
      </c>
      <c r="J1215" s="24">
        <v>4</v>
      </c>
      <c r="K1215" s="25">
        <f t="shared" si="54"/>
        <v>98400</v>
      </c>
      <c r="L1215" s="26">
        <v>45498</v>
      </c>
      <c r="M1215" s="24" t="str">
        <f t="shared" si="55"/>
        <v>Thursday</v>
      </c>
      <c r="N1215" s="24" t="str">
        <f t="shared" si="56"/>
        <v>Weekday</v>
      </c>
      <c r="Q1215" s="24"/>
      <c r="R1215" s="24"/>
      <c r="S1215" s="27"/>
      <c r="T1215"/>
      <c r="U1215" s="6"/>
      <c r="W1215" s="7"/>
      <c r="Z1215" s="4"/>
    </row>
    <row r="1216" spans="1:26" x14ac:dyDescent="0.3">
      <c r="A1216" t="s">
        <v>1587</v>
      </c>
      <c r="B1216" s="16" t="s">
        <v>173</v>
      </c>
      <c r="C1216" s="18" t="s">
        <v>20</v>
      </c>
      <c r="D1216" s="18" t="s">
        <v>325</v>
      </c>
      <c r="E1216" s="18">
        <v>55</v>
      </c>
      <c r="F1216" t="s">
        <v>370</v>
      </c>
      <c r="G1216" s="18" t="s">
        <v>24</v>
      </c>
      <c r="H1216" s="18" t="s">
        <v>14</v>
      </c>
      <c r="I1216" s="18">
        <v>184500</v>
      </c>
      <c r="J1216" s="18">
        <v>3</v>
      </c>
      <c r="K1216" s="19">
        <f t="shared" si="54"/>
        <v>553500</v>
      </c>
      <c r="L1216" s="20">
        <v>45385</v>
      </c>
      <c r="M1216" s="18" t="str">
        <f t="shared" si="55"/>
        <v>Wednesday</v>
      </c>
      <c r="N1216" s="18" t="str">
        <f t="shared" si="56"/>
        <v>Weekday</v>
      </c>
      <c r="Q1216" s="18"/>
      <c r="R1216" s="18"/>
      <c r="S1216" s="21"/>
      <c r="T1216"/>
      <c r="U1216" s="6"/>
      <c r="W1216" s="7"/>
      <c r="Z1216" s="4"/>
    </row>
    <row r="1217" spans="1:26" x14ac:dyDescent="0.3">
      <c r="A1217" t="s">
        <v>1588</v>
      </c>
      <c r="B1217" s="22" t="s">
        <v>144</v>
      </c>
      <c r="C1217" s="24" t="s">
        <v>20</v>
      </c>
      <c r="D1217" s="24" t="s">
        <v>323</v>
      </c>
      <c r="E1217" s="24">
        <v>29</v>
      </c>
      <c r="F1217" t="s">
        <v>373</v>
      </c>
      <c r="G1217" s="24" t="s">
        <v>31</v>
      </c>
      <c r="H1217" s="24" t="s">
        <v>18</v>
      </c>
      <c r="I1217" s="24">
        <v>6150</v>
      </c>
      <c r="J1217" s="24">
        <v>1</v>
      </c>
      <c r="K1217" s="25">
        <f t="shared" si="54"/>
        <v>6150</v>
      </c>
      <c r="L1217" s="26">
        <v>45518</v>
      </c>
      <c r="M1217" s="24" t="str">
        <f t="shared" si="55"/>
        <v>Wednesday</v>
      </c>
      <c r="N1217" s="24" t="str">
        <f t="shared" si="56"/>
        <v>Weekday</v>
      </c>
      <c r="Q1217" s="24"/>
      <c r="R1217" s="24"/>
      <c r="S1217" s="27"/>
      <c r="T1217"/>
      <c r="U1217" s="6"/>
      <c r="W1217" s="7"/>
      <c r="Z1217" s="4"/>
    </row>
    <row r="1218" spans="1:26" x14ac:dyDescent="0.3">
      <c r="A1218" t="s">
        <v>1589</v>
      </c>
      <c r="B1218" s="16" t="s">
        <v>116</v>
      </c>
      <c r="C1218" s="18" t="s">
        <v>20</v>
      </c>
      <c r="D1218" s="18" t="s">
        <v>322</v>
      </c>
      <c r="E1218" s="18">
        <v>33</v>
      </c>
      <c r="F1218" t="s">
        <v>381</v>
      </c>
      <c r="G1218" s="18" t="s">
        <v>13</v>
      </c>
      <c r="H1218" s="18" t="s">
        <v>14</v>
      </c>
      <c r="I1218" s="18">
        <v>36900</v>
      </c>
      <c r="J1218" s="18">
        <v>4</v>
      </c>
      <c r="K1218" s="19">
        <f t="shared" ref="K1218:K1281" si="57">I1218*J1218</f>
        <v>147600</v>
      </c>
      <c r="L1218" s="20">
        <v>45656</v>
      </c>
      <c r="M1218" s="18" t="str">
        <f t="shared" ref="M1218:M1281" si="58">TEXT(L1218, "dddd")</f>
        <v>Monday</v>
      </c>
      <c r="N1218" s="18" t="str">
        <f t="shared" ref="N1218:N1281" si="59">IF(OR(WEEKDAY(L1218, 2)=5, WEEKDAY(L1218, 2)=6), "Weekend", "Weekday")</f>
        <v>Weekday</v>
      </c>
      <c r="Q1218" s="18"/>
      <c r="R1218" s="18"/>
      <c r="S1218" s="21"/>
      <c r="T1218"/>
      <c r="U1218" s="6"/>
      <c r="W1218" s="7"/>
      <c r="Z1218" s="4"/>
    </row>
    <row r="1219" spans="1:26" x14ac:dyDescent="0.3">
      <c r="A1219" t="s">
        <v>1590</v>
      </c>
      <c r="B1219" s="22" t="s">
        <v>174</v>
      </c>
      <c r="C1219" s="24" t="s">
        <v>11</v>
      </c>
      <c r="D1219" s="24" t="s">
        <v>322</v>
      </c>
      <c r="E1219" s="24">
        <v>57</v>
      </c>
      <c r="F1219" t="s">
        <v>370</v>
      </c>
      <c r="G1219" s="24" t="s">
        <v>13</v>
      </c>
      <c r="H1219" s="24" t="s">
        <v>14</v>
      </c>
      <c r="I1219" s="24">
        <v>36900</v>
      </c>
      <c r="J1219" s="24">
        <v>1</v>
      </c>
      <c r="K1219" s="25">
        <f t="shared" si="57"/>
        <v>36900</v>
      </c>
      <c r="L1219" s="26">
        <v>45600</v>
      </c>
      <c r="M1219" s="24" t="str">
        <f t="shared" si="58"/>
        <v>Monday</v>
      </c>
      <c r="N1219" s="24" t="str">
        <f t="shared" si="59"/>
        <v>Weekday</v>
      </c>
      <c r="Q1219" s="24"/>
      <c r="R1219" s="24"/>
      <c r="S1219" s="27"/>
      <c r="T1219"/>
      <c r="U1219" s="6"/>
      <c r="W1219" s="7"/>
      <c r="Z1219" s="4"/>
    </row>
    <row r="1220" spans="1:26" x14ac:dyDescent="0.3">
      <c r="A1220" t="s">
        <v>1591</v>
      </c>
      <c r="B1220" s="16" t="s">
        <v>197</v>
      </c>
      <c r="C1220" s="18" t="s">
        <v>20</v>
      </c>
      <c r="D1220" s="18" t="s">
        <v>323</v>
      </c>
      <c r="E1220" s="18">
        <v>51</v>
      </c>
      <c r="F1220" t="s">
        <v>373</v>
      </c>
      <c r="G1220" s="18" t="s">
        <v>24</v>
      </c>
      <c r="H1220" s="18" t="s">
        <v>14</v>
      </c>
      <c r="I1220" s="18">
        <v>184500</v>
      </c>
      <c r="J1220" s="18">
        <v>4</v>
      </c>
      <c r="K1220" s="19">
        <f t="shared" si="57"/>
        <v>738000</v>
      </c>
      <c r="L1220" s="20">
        <v>45429</v>
      </c>
      <c r="M1220" s="18" t="str">
        <f t="shared" si="58"/>
        <v>Friday</v>
      </c>
      <c r="N1220" s="18" t="str">
        <f t="shared" si="59"/>
        <v>Weekend</v>
      </c>
      <c r="Q1220" s="18"/>
      <c r="R1220" s="18"/>
      <c r="S1220" s="21"/>
      <c r="T1220"/>
      <c r="U1220" s="6"/>
      <c r="W1220" s="7"/>
      <c r="Z1220" s="4"/>
    </row>
    <row r="1221" spans="1:26" x14ac:dyDescent="0.3">
      <c r="A1221" t="s">
        <v>1592</v>
      </c>
      <c r="B1221" s="22" t="s">
        <v>278</v>
      </c>
      <c r="C1221" s="24" t="s">
        <v>11</v>
      </c>
      <c r="D1221" s="24" t="s">
        <v>322</v>
      </c>
      <c r="E1221" s="24">
        <v>32</v>
      </c>
      <c r="F1221" t="s">
        <v>381</v>
      </c>
      <c r="G1221" s="24" t="s">
        <v>17</v>
      </c>
      <c r="H1221" s="24" t="s">
        <v>18</v>
      </c>
      <c r="I1221" s="24">
        <v>12300</v>
      </c>
      <c r="J1221" s="24">
        <v>5</v>
      </c>
      <c r="K1221" s="25">
        <f t="shared" si="57"/>
        <v>61500</v>
      </c>
      <c r="L1221" s="26">
        <v>45469</v>
      </c>
      <c r="M1221" s="24" t="str">
        <f t="shared" si="58"/>
        <v>Wednesday</v>
      </c>
      <c r="N1221" s="24" t="str">
        <f t="shared" si="59"/>
        <v>Weekday</v>
      </c>
      <c r="Q1221" s="24"/>
      <c r="R1221" s="24"/>
      <c r="S1221" s="27"/>
      <c r="T1221"/>
      <c r="U1221" s="6"/>
      <c r="W1221" s="7"/>
      <c r="Z1221" s="4"/>
    </row>
    <row r="1222" spans="1:26" x14ac:dyDescent="0.3">
      <c r="A1222" t="s">
        <v>1593</v>
      </c>
      <c r="B1222" s="16" t="s">
        <v>83</v>
      </c>
      <c r="C1222" s="18" t="s">
        <v>11</v>
      </c>
      <c r="D1222" s="18" t="s">
        <v>323</v>
      </c>
      <c r="E1222" s="18">
        <v>33</v>
      </c>
      <c r="F1222" t="s">
        <v>381</v>
      </c>
      <c r="G1222" s="18" t="s">
        <v>24</v>
      </c>
      <c r="H1222" s="18" t="s">
        <v>14</v>
      </c>
      <c r="I1222" s="18">
        <v>184500</v>
      </c>
      <c r="J1222" s="18">
        <v>2</v>
      </c>
      <c r="K1222" s="19">
        <f t="shared" si="57"/>
        <v>369000</v>
      </c>
      <c r="L1222" s="20">
        <v>45452</v>
      </c>
      <c r="M1222" s="18" t="str">
        <f t="shared" si="58"/>
        <v>Sunday</v>
      </c>
      <c r="N1222" s="18" t="str">
        <f t="shared" si="59"/>
        <v>Weekday</v>
      </c>
      <c r="Q1222" s="18"/>
      <c r="R1222" s="18"/>
      <c r="S1222" s="21"/>
      <c r="T1222"/>
      <c r="U1222" s="6"/>
      <c r="W1222" s="7"/>
      <c r="Z1222" s="4"/>
    </row>
    <row r="1223" spans="1:26" x14ac:dyDescent="0.3">
      <c r="A1223" t="s">
        <v>1594</v>
      </c>
      <c r="B1223" s="22" t="s">
        <v>121</v>
      </c>
      <c r="C1223" s="24" t="s">
        <v>20</v>
      </c>
      <c r="D1223" s="24" t="s">
        <v>327</v>
      </c>
      <c r="E1223" s="24">
        <v>18</v>
      </c>
      <c r="F1223" t="s">
        <v>370</v>
      </c>
      <c r="G1223" s="24" t="s">
        <v>13</v>
      </c>
      <c r="H1223" s="24" t="s">
        <v>14</v>
      </c>
      <c r="I1223" s="24">
        <v>36900</v>
      </c>
      <c r="J1223" s="24">
        <v>3</v>
      </c>
      <c r="K1223" s="25">
        <f t="shared" si="57"/>
        <v>110700</v>
      </c>
      <c r="L1223" s="26">
        <v>45313</v>
      </c>
      <c r="M1223" s="24" t="str">
        <f t="shared" si="58"/>
        <v>Monday</v>
      </c>
      <c r="N1223" s="24" t="str">
        <f t="shared" si="59"/>
        <v>Weekday</v>
      </c>
      <c r="Q1223" s="24"/>
      <c r="R1223" s="24"/>
      <c r="S1223" s="27"/>
      <c r="T1223"/>
      <c r="U1223" s="6"/>
      <c r="W1223" s="7"/>
      <c r="Z1223" s="4"/>
    </row>
    <row r="1224" spans="1:26" x14ac:dyDescent="0.3">
      <c r="A1224" t="s">
        <v>1595</v>
      </c>
      <c r="B1224" s="16" t="s">
        <v>124</v>
      </c>
      <c r="C1224" s="18" t="s">
        <v>20</v>
      </c>
      <c r="D1224" s="18" t="s">
        <v>326</v>
      </c>
      <c r="E1224" s="18">
        <v>19</v>
      </c>
      <c r="F1224" t="s">
        <v>375</v>
      </c>
      <c r="G1224" s="18" t="s">
        <v>17</v>
      </c>
      <c r="H1224" s="18" t="s">
        <v>18</v>
      </c>
      <c r="I1224" s="18">
        <v>12300</v>
      </c>
      <c r="J1224" s="18">
        <v>5</v>
      </c>
      <c r="K1224" s="19">
        <f t="shared" si="57"/>
        <v>61500</v>
      </c>
      <c r="L1224" s="20">
        <v>45623</v>
      </c>
      <c r="M1224" s="18" t="str">
        <f t="shared" si="58"/>
        <v>Wednesday</v>
      </c>
      <c r="N1224" s="18" t="str">
        <f t="shared" si="59"/>
        <v>Weekday</v>
      </c>
      <c r="Q1224" s="18"/>
      <c r="R1224" s="18"/>
      <c r="S1224" s="21"/>
      <c r="T1224"/>
      <c r="U1224" s="6"/>
      <c r="W1224" s="7"/>
      <c r="Z1224" s="4"/>
    </row>
    <row r="1225" spans="1:26" x14ac:dyDescent="0.3">
      <c r="A1225" t="s">
        <v>1596</v>
      </c>
      <c r="B1225" s="22" t="s">
        <v>244</v>
      </c>
      <c r="C1225" s="24" t="s">
        <v>20</v>
      </c>
      <c r="D1225" s="24" t="s">
        <v>322</v>
      </c>
      <c r="E1225" s="24">
        <v>68</v>
      </c>
      <c r="F1225" t="s">
        <v>375</v>
      </c>
      <c r="G1225" s="24" t="s">
        <v>31</v>
      </c>
      <c r="H1225" s="24" t="s">
        <v>18</v>
      </c>
      <c r="I1225" s="24">
        <v>6150</v>
      </c>
      <c r="J1225" s="24">
        <v>3</v>
      </c>
      <c r="K1225" s="25">
        <f t="shared" si="57"/>
        <v>18450</v>
      </c>
      <c r="L1225" s="26">
        <v>45477</v>
      </c>
      <c r="M1225" s="24" t="str">
        <f t="shared" si="58"/>
        <v>Thursday</v>
      </c>
      <c r="N1225" s="24" t="str">
        <f t="shared" si="59"/>
        <v>Weekday</v>
      </c>
      <c r="Q1225" s="24"/>
      <c r="R1225" s="24"/>
      <c r="S1225" s="27"/>
      <c r="T1225"/>
      <c r="U1225" s="6"/>
      <c r="W1225" s="7"/>
      <c r="Z1225" s="4"/>
    </row>
    <row r="1226" spans="1:26" x14ac:dyDescent="0.3">
      <c r="A1226" t="s">
        <v>1597</v>
      </c>
      <c r="B1226" s="16" t="s">
        <v>120</v>
      </c>
      <c r="C1226" s="18" t="s">
        <v>20</v>
      </c>
      <c r="D1226" s="18" t="s">
        <v>328</v>
      </c>
      <c r="E1226" s="18">
        <v>37</v>
      </c>
      <c r="F1226" t="s">
        <v>381</v>
      </c>
      <c r="G1226" s="18" t="s">
        <v>17</v>
      </c>
      <c r="H1226" s="18" t="s">
        <v>18</v>
      </c>
      <c r="I1226" s="18">
        <v>12300</v>
      </c>
      <c r="J1226" s="18">
        <v>4</v>
      </c>
      <c r="K1226" s="19">
        <f t="shared" si="57"/>
        <v>49200</v>
      </c>
      <c r="L1226" s="20">
        <v>45292</v>
      </c>
      <c r="M1226" s="18" t="str">
        <f t="shared" si="58"/>
        <v>Monday</v>
      </c>
      <c r="N1226" s="18" t="str">
        <f t="shared" si="59"/>
        <v>Weekday</v>
      </c>
      <c r="Q1226" s="18"/>
      <c r="R1226" s="18"/>
      <c r="S1226" s="21"/>
      <c r="T1226"/>
      <c r="U1226" s="6"/>
      <c r="W1226" s="7"/>
      <c r="Z1226" s="4"/>
    </row>
    <row r="1227" spans="1:26" x14ac:dyDescent="0.3">
      <c r="A1227" t="s">
        <v>1598</v>
      </c>
      <c r="B1227" s="22" t="s">
        <v>159</v>
      </c>
      <c r="C1227" s="24" t="s">
        <v>20</v>
      </c>
      <c r="D1227" s="24" t="s">
        <v>325</v>
      </c>
      <c r="E1227" s="24">
        <v>56</v>
      </c>
      <c r="F1227" t="s">
        <v>375</v>
      </c>
      <c r="G1227" s="24" t="s">
        <v>26</v>
      </c>
      <c r="H1227" s="24" t="s">
        <v>27</v>
      </c>
      <c r="I1227" s="24">
        <v>24600</v>
      </c>
      <c r="J1227" s="24">
        <v>2</v>
      </c>
      <c r="K1227" s="25">
        <f t="shared" si="57"/>
        <v>49200</v>
      </c>
      <c r="L1227" s="26">
        <v>45546</v>
      </c>
      <c r="M1227" s="24" t="str">
        <f t="shared" si="58"/>
        <v>Wednesday</v>
      </c>
      <c r="N1227" s="24" t="str">
        <f t="shared" si="59"/>
        <v>Weekday</v>
      </c>
      <c r="Q1227" s="24"/>
      <c r="R1227" s="24"/>
      <c r="S1227" s="27"/>
      <c r="T1227"/>
      <c r="U1227" s="6"/>
      <c r="W1227" s="7"/>
      <c r="Z1227" s="4"/>
    </row>
    <row r="1228" spans="1:26" x14ac:dyDescent="0.3">
      <c r="A1228" t="s">
        <v>1599</v>
      </c>
      <c r="B1228" s="16" t="s">
        <v>180</v>
      </c>
      <c r="C1228" s="18" t="s">
        <v>11</v>
      </c>
      <c r="D1228" s="18" t="s">
        <v>325</v>
      </c>
      <c r="E1228" s="18">
        <v>30</v>
      </c>
      <c r="F1228" t="s">
        <v>375</v>
      </c>
      <c r="G1228" s="18" t="s">
        <v>31</v>
      </c>
      <c r="H1228" s="18" t="s">
        <v>18</v>
      </c>
      <c r="I1228" s="18">
        <v>6150</v>
      </c>
      <c r="J1228" s="18">
        <v>5</v>
      </c>
      <c r="K1228" s="19">
        <f t="shared" si="57"/>
        <v>30750</v>
      </c>
      <c r="L1228" s="20">
        <v>45394</v>
      </c>
      <c r="M1228" s="18" t="str">
        <f t="shared" si="58"/>
        <v>Friday</v>
      </c>
      <c r="N1228" s="18" t="str">
        <f t="shared" si="59"/>
        <v>Weekend</v>
      </c>
      <c r="Q1228" s="18"/>
      <c r="R1228" s="18"/>
      <c r="S1228" s="21"/>
      <c r="T1228"/>
      <c r="U1228" s="6"/>
      <c r="W1228" s="7"/>
      <c r="Z1228" s="4"/>
    </row>
    <row r="1229" spans="1:26" x14ac:dyDescent="0.3">
      <c r="A1229" t="s">
        <v>1600</v>
      </c>
      <c r="B1229" s="22" t="s">
        <v>146</v>
      </c>
      <c r="C1229" s="24" t="s">
        <v>20</v>
      </c>
      <c r="D1229" s="24" t="s">
        <v>328</v>
      </c>
      <c r="E1229" s="24">
        <v>27</v>
      </c>
      <c r="F1229" t="s">
        <v>373</v>
      </c>
      <c r="G1229" s="24" t="s">
        <v>13</v>
      </c>
      <c r="H1229" s="24" t="s">
        <v>14</v>
      </c>
      <c r="I1229" s="24">
        <v>36900</v>
      </c>
      <c r="J1229" s="24">
        <v>1</v>
      </c>
      <c r="K1229" s="25">
        <f t="shared" si="57"/>
        <v>36900</v>
      </c>
      <c r="L1229" s="26">
        <v>45304</v>
      </c>
      <c r="M1229" s="24" t="str">
        <f t="shared" si="58"/>
        <v>Saturday</v>
      </c>
      <c r="N1229" s="24" t="str">
        <f t="shared" si="59"/>
        <v>Weekend</v>
      </c>
      <c r="Q1229" s="24"/>
      <c r="R1229" s="24"/>
      <c r="S1229" s="27"/>
      <c r="T1229"/>
      <c r="U1229" s="6"/>
      <c r="W1229" s="7"/>
      <c r="Z1229" s="4"/>
    </row>
    <row r="1230" spans="1:26" x14ac:dyDescent="0.3">
      <c r="A1230" t="s">
        <v>1601</v>
      </c>
      <c r="B1230" s="16" t="s">
        <v>283</v>
      </c>
      <c r="C1230" s="18" t="s">
        <v>366</v>
      </c>
      <c r="D1230" s="18" t="s">
        <v>325</v>
      </c>
      <c r="E1230" s="18">
        <v>43</v>
      </c>
      <c r="F1230" t="s">
        <v>373</v>
      </c>
      <c r="G1230" s="18" t="s">
        <v>32</v>
      </c>
      <c r="H1230" s="18" t="s">
        <v>18</v>
      </c>
      <c r="I1230" s="18">
        <v>3690</v>
      </c>
      <c r="J1230" s="18">
        <v>3</v>
      </c>
      <c r="K1230" s="19">
        <f t="shared" si="57"/>
        <v>11070</v>
      </c>
      <c r="L1230" s="20">
        <v>45381</v>
      </c>
      <c r="M1230" s="18" t="str">
        <f t="shared" si="58"/>
        <v>Saturday</v>
      </c>
      <c r="N1230" s="18" t="str">
        <f t="shared" si="59"/>
        <v>Weekend</v>
      </c>
      <c r="Q1230" s="18"/>
      <c r="R1230" s="18"/>
      <c r="S1230" s="21"/>
      <c r="T1230"/>
      <c r="U1230" s="6"/>
      <c r="W1230" s="7"/>
      <c r="Z1230" s="4"/>
    </row>
    <row r="1231" spans="1:26" x14ac:dyDescent="0.3">
      <c r="A1231" t="s">
        <v>1602</v>
      </c>
      <c r="B1231" s="22" t="s">
        <v>177</v>
      </c>
      <c r="C1231" s="24" t="s">
        <v>11</v>
      </c>
      <c r="D1231" s="24" t="s">
        <v>324</v>
      </c>
      <c r="E1231" s="24">
        <v>58</v>
      </c>
      <c r="F1231" t="s">
        <v>373</v>
      </c>
      <c r="G1231" s="24" t="s">
        <v>24</v>
      </c>
      <c r="H1231" s="24" t="s">
        <v>14</v>
      </c>
      <c r="I1231" s="24">
        <v>184500</v>
      </c>
      <c r="J1231" s="24">
        <v>5</v>
      </c>
      <c r="K1231" s="25">
        <f t="shared" si="57"/>
        <v>922500</v>
      </c>
      <c r="L1231" s="26">
        <v>45398</v>
      </c>
      <c r="M1231" s="24" t="str">
        <f t="shared" si="58"/>
        <v>Tuesday</v>
      </c>
      <c r="N1231" s="24" t="str">
        <f t="shared" si="59"/>
        <v>Weekday</v>
      </c>
      <c r="Q1231" s="24"/>
      <c r="R1231" s="24"/>
      <c r="S1231" s="27"/>
      <c r="T1231"/>
      <c r="U1231" s="6"/>
      <c r="W1231" s="7"/>
      <c r="Z1231" s="4"/>
    </row>
    <row r="1232" spans="1:26" x14ac:dyDescent="0.3">
      <c r="A1232" t="s">
        <v>1603</v>
      </c>
      <c r="B1232" s="16" t="s">
        <v>104</v>
      </c>
      <c r="C1232" s="18" t="s">
        <v>366</v>
      </c>
      <c r="D1232" s="18" t="s">
        <v>326</v>
      </c>
      <c r="E1232" s="18">
        <v>30</v>
      </c>
      <c r="F1232" t="s">
        <v>381</v>
      </c>
      <c r="G1232" s="18" t="s">
        <v>26</v>
      </c>
      <c r="H1232" s="18" t="s">
        <v>27</v>
      </c>
      <c r="I1232" s="18">
        <v>24600</v>
      </c>
      <c r="J1232" s="18">
        <v>5</v>
      </c>
      <c r="K1232" s="19">
        <f t="shared" si="57"/>
        <v>123000</v>
      </c>
      <c r="L1232" s="20">
        <v>45369</v>
      </c>
      <c r="M1232" s="18" t="str">
        <f t="shared" si="58"/>
        <v>Monday</v>
      </c>
      <c r="N1232" s="18" t="str">
        <f t="shared" si="59"/>
        <v>Weekday</v>
      </c>
      <c r="Q1232" s="18"/>
      <c r="R1232" s="18"/>
      <c r="S1232" s="21"/>
      <c r="T1232"/>
      <c r="U1232" s="6"/>
      <c r="W1232" s="7"/>
      <c r="Z1232" s="4"/>
    </row>
    <row r="1233" spans="1:26" x14ac:dyDescent="0.3">
      <c r="A1233" t="s">
        <v>1604</v>
      </c>
      <c r="B1233" s="22" t="s">
        <v>267</v>
      </c>
      <c r="C1233" s="24" t="s">
        <v>366</v>
      </c>
      <c r="D1233" s="24" t="s">
        <v>325</v>
      </c>
      <c r="E1233" s="24">
        <v>67</v>
      </c>
      <c r="F1233" t="s">
        <v>375</v>
      </c>
      <c r="G1233" s="24" t="s">
        <v>42</v>
      </c>
      <c r="H1233" s="24" t="s">
        <v>14</v>
      </c>
      <c r="I1233" s="24">
        <v>98400</v>
      </c>
      <c r="J1233" s="24">
        <v>5</v>
      </c>
      <c r="K1233" s="25">
        <f t="shared" si="57"/>
        <v>492000</v>
      </c>
      <c r="L1233" s="26">
        <v>45651</v>
      </c>
      <c r="M1233" s="24" t="str">
        <f t="shared" si="58"/>
        <v>Wednesday</v>
      </c>
      <c r="N1233" s="24" t="str">
        <f t="shared" si="59"/>
        <v>Weekday</v>
      </c>
      <c r="Q1233" s="24"/>
      <c r="R1233" s="24"/>
      <c r="S1233" s="27"/>
      <c r="T1233"/>
      <c r="U1233" s="6"/>
      <c r="W1233" s="7"/>
      <c r="Z1233" s="4"/>
    </row>
    <row r="1234" spans="1:26" x14ac:dyDescent="0.3">
      <c r="A1234" t="s">
        <v>1605</v>
      </c>
      <c r="B1234" s="16" t="s">
        <v>152</v>
      </c>
      <c r="C1234" s="18" t="s">
        <v>20</v>
      </c>
      <c r="D1234" s="18" t="s">
        <v>327</v>
      </c>
      <c r="E1234" s="18">
        <v>36</v>
      </c>
      <c r="F1234" t="s">
        <v>370</v>
      </c>
      <c r="G1234" s="18" t="s">
        <v>32</v>
      </c>
      <c r="H1234" s="18" t="s">
        <v>18</v>
      </c>
      <c r="I1234" s="18">
        <v>3690</v>
      </c>
      <c r="J1234" s="18">
        <v>5</v>
      </c>
      <c r="K1234" s="19">
        <f t="shared" si="57"/>
        <v>18450</v>
      </c>
      <c r="L1234" s="20">
        <v>45368</v>
      </c>
      <c r="M1234" s="18" t="str">
        <f t="shared" si="58"/>
        <v>Sunday</v>
      </c>
      <c r="N1234" s="18" t="str">
        <f t="shared" si="59"/>
        <v>Weekday</v>
      </c>
      <c r="Q1234" s="18"/>
      <c r="R1234" s="18"/>
      <c r="S1234" s="21"/>
      <c r="T1234"/>
      <c r="U1234" s="6"/>
      <c r="W1234" s="7"/>
      <c r="Z1234" s="4"/>
    </row>
    <row r="1235" spans="1:26" x14ac:dyDescent="0.3">
      <c r="A1235" t="s">
        <v>1606</v>
      </c>
      <c r="B1235" s="22" t="s">
        <v>254</v>
      </c>
      <c r="C1235" s="24" t="s">
        <v>20</v>
      </c>
      <c r="D1235" s="24" t="s">
        <v>325</v>
      </c>
      <c r="E1235" s="24">
        <v>55</v>
      </c>
      <c r="F1235" t="s">
        <v>375</v>
      </c>
      <c r="G1235" s="24" t="s">
        <v>31</v>
      </c>
      <c r="H1235" s="24" t="s">
        <v>18</v>
      </c>
      <c r="I1235" s="24">
        <v>6150</v>
      </c>
      <c r="J1235" s="24">
        <v>3</v>
      </c>
      <c r="K1235" s="25">
        <f t="shared" si="57"/>
        <v>18450</v>
      </c>
      <c r="L1235" s="26">
        <v>45600</v>
      </c>
      <c r="M1235" s="24" t="str">
        <f t="shared" si="58"/>
        <v>Monday</v>
      </c>
      <c r="N1235" s="24" t="str">
        <f t="shared" si="59"/>
        <v>Weekday</v>
      </c>
      <c r="Q1235" s="24"/>
      <c r="R1235" s="24"/>
      <c r="S1235" s="27"/>
      <c r="T1235"/>
      <c r="U1235" s="6"/>
      <c r="W1235" s="7"/>
      <c r="Z1235" s="4"/>
    </row>
    <row r="1236" spans="1:26" x14ac:dyDescent="0.3">
      <c r="A1236" t="s">
        <v>1607</v>
      </c>
      <c r="B1236" s="16" t="s">
        <v>57</v>
      </c>
      <c r="C1236" s="18" t="s">
        <v>366</v>
      </c>
      <c r="D1236" s="18" t="s">
        <v>322</v>
      </c>
      <c r="E1236" s="18">
        <v>58</v>
      </c>
      <c r="F1236" t="s">
        <v>381</v>
      </c>
      <c r="G1236" s="18" t="s">
        <v>42</v>
      </c>
      <c r="H1236" s="18" t="s">
        <v>14</v>
      </c>
      <c r="I1236" s="18">
        <v>98400</v>
      </c>
      <c r="J1236" s="18">
        <v>5</v>
      </c>
      <c r="K1236" s="19">
        <f t="shared" si="57"/>
        <v>492000</v>
      </c>
      <c r="L1236" s="20">
        <v>45310</v>
      </c>
      <c r="M1236" s="18" t="str">
        <f t="shared" si="58"/>
        <v>Friday</v>
      </c>
      <c r="N1236" s="18" t="str">
        <f t="shared" si="59"/>
        <v>Weekend</v>
      </c>
      <c r="Q1236" s="18"/>
      <c r="R1236" s="18"/>
      <c r="S1236" s="21"/>
      <c r="T1236"/>
      <c r="U1236" s="6"/>
      <c r="W1236" s="7"/>
      <c r="Z1236" s="4"/>
    </row>
    <row r="1237" spans="1:26" x14ac:dyDescent="0.3">
      <c r="A1237" t="s">
        <v>1608</v>
      </c>
      <c r="B1237" s="22" t="s">
        <v>300</v>
      </c>
      <c r="C1237" s="24" t="s">
        <v>20</v>
      </c>
      <c r="D1237" s="24" t="s">
        <v>324</v>
      </c>
      <c r="E1237" s="24">
        <v>35</v>
      </c>
      <c r="F1237" t="s">
        <v>373</v>
      </c>
      <c r="G1237" s="24" t="s">
        <v>17</v>
      </c>
      <c r="H1237" s="24" t="s">
        <v>18</v>
      </c>
      <c r="I1237" s="24">
        <v>12300</v>
      </c>
      <c r="J1237" s="24">
        <v>2</v>
      </c>
      <c r="K1237" s="25">
        <f t="shared" si="57"/>
        <v>24600</v>
      </c>
      <c r="L1237" s="26">
        <v>45458</v>
      </c>
      <c r="M1237" s="24" t="str">
        <f t="shared" si="58"/>
        <v>Saturday</v>
      </c>
      <c r="N1237" s="24" t="str">
        <f t="shared" si="59"/>
        <v>Weekend</v>
      </c>
      <c r="Q1237" s="24"/>
      <c r="R1237" s="24"/>
      <c r="S1237" s="27"/>
      <c r="T1237"/>
      <c r="U1237" s="6"/>
      <c r="W1237" s="7"/>
      <c r="Z1237" s="4"/>
    </row>
    <row r="1238" spans="1:26" x14ac:dyDescent="0.3">
      <c r="A1238" t="s">
        <v>1609</v>
      </c>
      <c r="B1238" s="16" t="s">
        <v>85</v>
      </c>
      <c r="C1238" s="18" t="s">
        <v>11</v>
      </c>
      <c r="D1238" s="18" t="s">
        <v>326</v>
      </c>
      <c r="E1238" s="18">
        <v>36</v>
      </c>
      <c r="F1238" t="s">
        <v>381</v>
      </c>
      <c r="G1238" s="18" t="s">
        <v>32</v>
      </c>
      <c r="H1238" s="18" t="s">
        <v>18</v>
      </c>
      <c r="I1238" s="18">
        <v>3690</v>
      </c>
      <c r="J1238" s="18">
        <v>2</v>
      </c>
      <c r="K1238" s="19">
        <f t="shared" si="57"/>
        <v>7380</v>
      </c>
      <c r="L1238" s="20">
        <v>45568</v>
      </c>
      <c r="M1238" s="18" t="str">
        <f t="shared" si="58"/>
        <v>Thursday</v>
      </c>
      <c r="N1238" s="18" t="str">
        <f t="shared" si="59"/>
        <v>Weekday</v>
      </c>
      <c r="Q1238" s="18"/>
      <c r="R1238" s="18"/>
      <c r="S1238" s="21"/>
      <c r="T1238"/>
      <c r="U1238" s="6"/>
      <c r="W1238" s="7"/>
      <c r="Z1238" s="4"/>
    </row>
    <row r="1239" spans="1:26" x14ac:dyDescent="0.3">
      <c r="A1239" t="s">
        <v>1610</v>
      </c>
      <c r="B1239" s="22" t="s">
        <v>287</v>
      </c>
      <c r="C1239" s="24" t="s">
        <v>20</v>
      </c>
      <c r="D1239" s="24" t="s">
        <v>322</v>
      </c>
      <c r="E1239" s="24">
        <v>44</v>
      </c>
      <c r="F1239" t="s">
        <v>373</v>
      </c>
      <c r="G1239" s="24" t="s">
        <v>26</v>
      </c>
      <c r="H1239" s="24" t="s">
        <v>27</v>
      </c>
      <c r="I1239" s="24">
        <v>24600</v>
      </c>
      <c r="J1239" s="24">
        <v>1</v>
      </c>
      <c r="K1239" s="25">
        <f t="shared" si="57"/>
        <v>24600</v>
      </c>
      <c r="L1239" s="26">
        <v>45610</v>
      </c>
      <c r="M1239" s="24" t="str">
        <f t="shared" si="58"/>
        <v>Thursday</v>
      </c>
      <c r="N1239" s="24" t="str">
        <f t="shared" si="59"/>
        <v>Weekday</v>
      </c>
      <c r="Q1239" s="24"/>
      <c r="R1239" s="24"/>
      <c r="S1239" s="27"/>
      <c r="T1239"/>
      <c r="U1239" s="6"/>
      <c r="W1239" s="7"/>
      <c r="Z1239" s="4"/>
    </row>
    <row r="1240" spans="1:26" x14ac:dyDescent="0.3">
      <c r="A1240" t="s">
        <v>1611</v>
      </c>
      <c r="B1240" s="16" t="s">
        <v>259</v>
      </c>
      <c r="C1240" s="18" t="s">
        <v>366</v>
      </c>
      <c r="D1240" s="18" t="s">
        <v>328</v>
      </c>
      <c r="E1240" s="18">
        <v>58</v>
      </c>
      <c r="F1240" t="s">
        <v>381</v>
      </c>
      <c r="G1240" s="18" t="s">
        <v>31</v>
      </c>
      <c r="H1240" s="18" t="s">
        <v>18</v>
      </c>
      <c r="I1240" s="18">
        <v>6150</v>
      </c>
      <c r="J1240" s="18">
        <v>1</v>
      </c>
      <c r="K1240" s="19">
        <f t="shared" si="57"/>
        <v>6150</v>
      </c>
      <c r="L1240" s="20">
        <v>45317</v>
      </c>
      <c r="M1240" s="18" t="str">
        <f t="shared" si="58"/>
        <v>Friday</v>
      </c>
      <c r="N1240" s="18" t="str">
        <f t="shared" si="59"/>
        <v>Weekend</v>
      </c>
      <c r="Q1240" s="18"/>
      <c r="R1240" s="18"/>
      <c r="S1240" s="21"/>
      <c r="T1240"/>
      <c r="U1240" s="6"/>
      <c r="W1240" s="7"/>
      <c r="Z1240" s="4"/>
    </row>
    <row r="1241" spans="1:26" x14ac:dyDescent="0.3">
      <c r="A1241" t="s">
        <v>1612</v>
      </c>
      <c r="B1241" s="22" t="s">
        <v>183</v>
      </c>
      <c r="C1241" s="24" t="s">
        <v>11</v>
      </c>
      <c r="D1241" s="24" t="s">
        <v>324</v>
      </c>
      <c r="E1241" s="24">
        <v>29</v>
      </c>
      <c r="F1241" t="s">
        <v>370</v>
      </c>
      <c r="G1241" s="24" t="s">
        <v>32</v>
      </c>
      <c r="H1241" s="24" t="s">
        <v>18</v>
      </c>
      <c r="I1241" s="24">
        <v>3690</v>
      </c>
      <c r="J1241" s="24">
        <v>1</v>
      </c>
      <c r="K1241" s="25">
        <f t="shared" si="57"/>
        <v>3690</v>
      </c>
      <c r="L1241" s="26">
        <v>45467</v>
      </c>
      <c r="M1241" s="24" t="str">
        <f t="shared" si="58"/>
        <v>Monday</v>
      </c>
      <c r="N1241" s="24" t="str">
        <f t="shared" si="59"/>
        <v>Weekday</v>
      </c>
      <c r="Q1241" s="24"/>
      <c r="R1241" s="24"/>
      <c r="S1241" s="27"/>
      <c r="T1241"/>
      <c r="U1241" s="6"/>
      <c r="W1241" s="7"/>
      <c r="Z1241" s="4"/>
    </row>
    <row r="1242" spans="1:26" x14ac:dyDescent="0.3">
      <c r="A1242" t="s">
        <v>1613</v>
      </c>
      <c r="B1242" s="16" t="s">
        <v>137</v>
      </c>
      <c r="C1242" s="18" t="s">
        <v>11</v>
      </c>
      <c r="D1242" s="18" t="s">
        <v>329</v>
      </c>
      <c r="E1242" s="18">
        <v>54</v>
      </c>
      <c r="F1242" t="s">
        <v>373</v>
      </c>
      <c r="G1242" s="18" t="s">
        <v>31</v>
      </c>
      <c r="H1242" s="18" t="s">
        <v>18</v>
      </c>
      <c r="I1242" s="18">
        <v>6150</v>
      </c>
      <c r="J1242" s="18">
        <v>1</v>
      </c>
      <c r="K1242" s="19">
        <f t="shared" si="57"/>
        <v>6150</v>
      </c>
      <c r="L1242" s="20">
        <v>45619</v>
      </c>
      <c r="M1242" s="18" t="str">
        <f t="shared" si="58"/>
        <v>Saturday</v>
      </c>
      <c r="N1242" s="18" t="str">
        <f t="shared" si="59"/>
        <v>Weekend</v>
      </c>
      <c r="Q1242" s="18"/>
      <c r="R1242" s="18"/>
      <c r="S1242" s="21"/>
      <c r="T1242"/>
      <c r="U1242" s="6"/>
      <c r="W1242" s="7"/>
      <c r="Z1242" s="4"/>
    </row>
    <row r="1243" spans="1:26" x14ac:dyDescent="0.3">
      <c r="A1243" t="s">
        <v>1614</v>
      </c>
      <c r="B1243" s="22" t="s">
        <v>58</v>
      </c>
      <c r="C1243" s="24" t="s">
        <v>366</v>
      </c>
      <c r="D1243" s="24" t="s">
        <v>322</v>
      </c>
      <c r="E1243" s="24">
        <v>35</v>
      </c>
      <c r="F1243" t="s">
        <v>373</v>
      </c>
      <c r="G1243" s="24" t="s">
        <v>31</v>
      </c>
      <c r="H1243" s="24" t="s">
        <v>18</v>
      </c>
      <c r="I1243" s="24">
        <v>6150</v>
      </c>
      <c r="J1243" s="24">
        <v>1</v>
      </c>
      <c r="K1243" s="25">
        <f t="shared" si="57"/>
        <v>6150</v>
      </c>
      <c r="L1243" s="26">
        <v>45381</v>
      </c>
      <c r="M1243" s="24" t="str">
        <f t="shared" si="58"/>
        <v>Saturday</v>
      </c>
      <c r="N1243" s="24" t="str">
        <f t="shared" si="59"/>
        <v>Weekend</v>
      </c>
      <c r="Q1243" s="24"/>
      <c r="R1243" s="24"/>
      <c r="S1243" s="27"/>
      <c r="T1243"/>
      <c r="U1243" s="6"/>
      <c r="W1243" s="7"/>
      <c r="Z1243" s="4"/>
    </row>
    <row r="1244" spans="1:26" x14ac:dyDescent="0.3">
      <c r="A1244" t="s">
        <v>1615</v>
      </c>
      <c r="B1244" s="16" t="s">
        <v>267</v>
      </c>
      <c r="C1244" s="18" t="s">
        <v>366</v>
      </c>
      <c r="D1244" s="18" t="s">
        <v>325</v>
      </c>
      <c r="E1244" s="18">
        <v>67</v>
      </c>
      <c r="F1244" t="s">
        <v>375</v>
      </c>
      <c r="G1244" s="18" t="s">
        <v>13</v>
      </c>
      <c r="H1244" s="18" t="s">
        <v>14</v>
      </c>
      <c r="I1244" s="18">
        <v>36900</v>
      </c>
      <c r="J1244" s="18">
        <v>3</v>
      </c>
      <c r="K1244" s="19">
        <f t="shared" si="57"/>
        <v>110700</v>
      </c>
      <c r="L1244" s="20">
        <v>45601</v>
      </c>
      <c r="M1244" s="18" t="str">
        <f t="shared" si="58"/>
        <v>Tuesday</v>
      </c>
      <c r="N1244" s="18" t="str">
        <f t="shared" si="59"/>
        <v>Weekday</v>
      </c>
      <c r="Q1244" s="18"/>
      <c r="R1244" s="18"/>
      <c r="S1244" s="21"/>
      <c r="T1244"/>
      <c r="U1244" s="6"/>
      <c r="W1244" s="7"/>
      <c r="Z1244" s="4"/>
    </row>
    <row r="1245" spans="1:26" x14ac:dyDescent="0.3">
      <c r="A1245" t="s">
        <v>1616</v>
      </c>
      <c r="B1245" s="22" t="s">
        <v>241</v>
      </c>
      <c r="C1245" s="24" t="s">
        <v>11</v>
      </c>
      <c r="D1245" s="24" t="s">
        <v>322</v>
      </c>
      <c r="E1245" s="24">
        <v>56</v>
      </c>
      <c r="F1245" t="s">
        <v>381</v>
      </c>
      <c r="G1245" s="24" t="s">
        <v>24</v>
      </c>
      <c r="H1245" s="24" t="s">
        <v>14</v>
      </c>
      <c r="I1245" s="24">
        <v>184500</v>
      </c>
      <c r="J1245" s="24">
        <v>4</v>
      </c>
      <c r="K1245" s="25">
        <f t="shared" si="57"/>
        <v>738000</v>
      </c>
      <c r="L1245" s="26">
        <v>45456</v>
      </c>
      <c r="M1245" s="24" t="str">
        <f t="shared" si="58"/>
        <v>Thursday</v>
      </c>
      <c r="N1245" s="24" t="str">
        <f t="shared" si="59"/>
        <v>Weekday</v>
      </c>
      <c r="Q1245" s="24"/>
      <c r="R1245" s="24"/>
      <c r="S1245" s="27"/>
      <c r="T1245"/>
      <c r="U1245" s="6"/>
      <c r="W1245" s="7"/>
      <c r="Z1245" s="4"/>
    </row>
    <row r="1246" spans="1:26" x14ac:dyDescent="0.3">
      <c r="A1246" t="s">
        <v>1617</v>
      </c>
      <c r="B1246" s="16" t="s">
        <v>67</v>
      </c>
      <c r="C1246" s="18" t="s">
        <v>11</v>
      </c>
      <c r="D1246" s="18" t="s">
        <v>327</v>
      </c>
      <c r="E1246" s="18">
        <v>38</v>
      </c>
      <c r="F1246" t="s">
        <v>375</v>
      </c>
      <c r="G1246" s="18" t="s">
        <v>32</v>
      </c>
      <c r="H1246" s="18" t="s">
        <v>18</v>
      </c>
      <c r="I1246" s="18">
        <v>3690</v>
      </c>
      <c r="J1246" s="18">
        <v>5</v>
      </c>
      <c r="K1246" s="19">
        <f t="shared" si="57"/>
        <v>18450</v>
      </c>
      <c r="L1246" s="20">
        <v>45569</v>
      </c>
      <c r="M1246" s="18" t="str">
        <f t="shared" si="58"/>
        <v>Friday</v>
      </c>
      <c r="N1246" s="18" t="str">
        <f t="shared" si="59"/>
        <v>Weekend</v>
      </c>
      <c r="Q1246" s="18"/>
      <c r="R1246" s="18"/>
      <c r="S1246" s="21"/>
      <c r="T1246"/>
      <c r="U1246" s="6"/>
      <c r="W1246" s="7"/>
      <c r="Z1246" s="4"/>
    </row>
    <row r="1247" spans="1:26" x14ac:dyDescent="0.3">
      <c r="A1247" t="s">
        <v>1618</v>
      </c>
      <c r="B1247" s="22" t="s">
        <v>117</v>
      </c>
      <c r="C1247" s="24" t="s">
        <v>20</v>
      </c>
      <c r="D1247" s="24" t="s">
        <v>322</v>
      </c>
      <c r="E1247" s="24">
        <v>22</v>
      </c>
      <c r="F1247" t="s">
        <v>381</v>
      </c>
      <c r="G1247" s="24" t="s">
        <v>31</v>
      </c>
      <c r="H1247" s="24" t="s">
        <v>18</v>
      </c>
      <c r="I1247" s="24">
        <v>6150</v>
      </c>
      <c r="J1247" s="24">
        <v>4</v>
      </c>
      <c r="K1247" s="25">
        <f t="shared" si="57"/>
        <v>24600</v>
      </c>
      <c r="L1247" s="26">
        <v>45512</v>
      </c>
      <c r="M1247" s="24" t="str">
        <f t="shared" si="58"/>
        <v>Thursday</v>
      </c>
      <c r="N1247" s="24" t="str">
        <f t="shared" si="59"/>
        <v>Weekday</v>
      </c>
      <c r="Q1247" s="24"/>
      <c r="R1247" s="24"/>
      <c r="S1247" s="27"/>
      <c r="T1247"/>
      <c r="U1247" s="6"/>
      <c r="W1247" s="7"/>
      <c r="Z1247" s="4"/>
    </row>
    <row r="1248" spans="1:26" x14ac:dyDescent="0.3">
      <c r="A1248" t="s">
        <v>1619</v>
      </c>
      <c r="B1248" s="16" t="s">
        <v>15</v>
      </c>
      <c r="C1248" s="18" t="s">
        <v>20</v>
      </c>
      <c r="D1248" s="18" t="s">
        <v>322</v>
      </c>
      <c r="E1248" s="18">
        <v>22</v>
      </c>
      <c r="F1248" t="s">
        <v>370</v>
      </c>
      <c r="G1248" s="18" t="s">
        <v>42</v>
      </c>
      <c r="H1248" s="18" t="s">
        <v>14</v>
      </c>
      <c r="I1248" s="18">
        <v>98400</v>
      </c>
      <c r="J1248" s="18">
        <v>1</v>
      </c>
      <c r="K1248" s="19">
        <f t="shared" si="57"/>
        <v>98400</v>
      </c>
      <c r="L1248" s="20">
        <v>45557</v>
      </c>
      <c r="M1248" s="18" t="str">
        <f t="shared" si="58"/>
        <v>Sunday</v>
      </c>
      <c r="N1248" s="18" t="str">
        <f t="shared" si="59"/>
        <v>Weekday</v>
      </c>
      <c r="Q1248" s="18"/>
      <c r="R1248" s="18"/>
      <c r="S1248" s="21"/>
      <c r="T1248"/>
      <c r="U1248" s="6"/>
      <c r="W1248" s="7"/>
      <c r="Z1248" s="4"/>
    </row>
    <row r="1249" spans="1:26" x14ac:dyDescent="0.3">
      <c r="A1249" t="s">
        <v>1620</v>
      </c>
      <c r="B1249" s="22" t="s">
        <v>304</v>
      </c>
      <c r="C1249" s="24" t="s">
        <v>11</v>
      </c>
      <c r="D1249" s="24" t="s">
        <v>322</v>
      </c>
      <c r="E1249" s="24">
        <v>26</v>
      </c>
      <c r="F1249" t="s">
        <v>375</v>
      </c>
      <c r="G1249" s="24" t="s">
        <v>26</v>
      </c>
      <c r="H1249" s="24" t="s">
        <v>27</v>
      </c>
      <c r="I1249" s="24">
        <v>24600</v>
      </c>
      <c r="J1249" s="24">
        <v>5</v>
      </c>
      <c r="K1249" s="25">
        <f t="shared" si="57"/>
        <v>123000</v>
      </c>
      <c r="L1249" s="26">
        <v>45481</v>
      </c>
      <c r="M1249" s="24" t="str">
        <f t="shared" si="58"/>
        <v>Monday</v>
      </c>
      <c r="N1249" s="24" t="str">
        <f t="shared" si="59"/>
        <v>Weekday</v>
      </c>
      <c r="Q1249" s="24"/>
      <c r="R1249" s="24"/>
      <c r="S1249" s="27"/>
      <c r="T1249"/>
      <c r="U1249" s="6"/>
      <c r="W1249" s="7"/>
      <c r="Z1249" s="4"/>
    </row>
    <row r="1250" spans="1:26" x14ac:dyDescent="0.3">
      <c r="A1250" t="s">
        <v>1621</v>
      </c>
      <c r="B1250" s="16" t="s">
        <v>261</v>
      </c>
      <c r="C1250" s="18" t="s">
        <v>20</v>
      </c>
      <c r="D1250" s="18" t="s">
        <v>325</v>
      </c>
      <c r="E1250" s="18">
        <v>49</v>
      </c>
      <c r="F1250" t="s">
        <v>373</v>
      </c>
      <c r="G1250" s="18" t="s">
        <v>24</v>
      </c>
      <c r="H1250" s="18" t="s">
        <v>14</v>
      </c>
      <c r="I1250" s="18">
        <v>184500</v>
      </c>
      <c r="J1250" s="18">
        <v>2</v>
      </c>
      <c r="K1250" s="19">
        <f t="shared" si="57"/>
        <v>369000</v>
      </c>
      <c r="L1250" s="20">
        <v>45316</v>
      </c>
      <c r="M1250" s="18" t="str">
        <f t="shared" si="58"/>
        <v>Thursday</v>
      </c>
      <c r="N1250" s="18" t="str">
        <f t="shared" si="59"/>
        <v>Weekday</v>
      </c>
      <c r="Q1250" s="18"/>
      <c r="R1250" s="18"/>
      <c r="S1250" s="21"/>
      <c r="T1250"/>
      <c r="U1250" s="6"/>
      <c r="W1250" s="7"/>
      <c r="Z1250" s="4"/>
    </row>
    <row r="1251" spans="1:26" x14ac:dyDescent="0.3">
      <c r="A1251" t="s">
        <v>1622</v>
      </c>
      <c r="B1251" s="22" t="s">
        <v>83</v>
      </c>
      <c r="C1251" s="24" t="s">
        <v>11</v>
      </c>
      <c r="D1251" s="24" t="s">
        <v>323</v>
      </c>
      <c r="E1251" s="24">
        <v>33</v>
      </c>
      <c r="F1251" t="s">
        <v>370</v>
      </c>
      <c r="G1251" s="24" t="s">
        <v>13</v>
      </c>
      <c r="H1251" s="24" t="s">
        <v>14</v>
      </c>
      <c r="I1251" s="24">
        <v>36900</v>
      </c>
      <c r="J1251" s="24">
        <v>4</v>
      </c>
      <c r="K1251" s="25">
        <f t="shared" si="57"/>
        <v>147600</v>
      </c>
      <c r="L1251" s="26">
        <v>45359</v>
      </c>
      <c r="M1251" s="24" t="str">
        <f t="shared" si="58"/>
        <v>Friday</v>
      </c>
      <c r="N1251" s="24" t="str">
        <f t="shared" si="59"/>
        <v>Weekend</v>
      </c>
      <c r="Q1251" s="24"/>
      <c r="R1251" s="24"/>
      <c r="S1251" s="27"/>
      <c r="T1251"/>
      <c r="U1251" s="6"/>
      <c r="W1251" s="7"/>
      <c r="Z1251" s="4"/>
    </row>
    <row r="1252" spans="1:26" x14ac:dyDescent="0.3">
      <c r="A1252" t="s">
        <v>1623</v>
      </c>
      <c r="B1252" s="16" t="s">
        <v>131</v>
      </c>
      <c r="C1252" s="18" t="s">
        <v>20</v>
      </c>
      <c r="D1252" s="18" t="s">
        <v>323</v>
      </c>
      <c r="E1252" s="18">
        <v>62</v>
      </c>
      <c r="F1252" t="s">
        <v>381</v>
      </c>
      <c r="G1252" s="18" t="s">
        <v>13</v>
      </c>
      <c r="H1252" s="18" t="s">
        <v>14</v>
      </c>
      <c r="I1252" s="18">
        <v>36900</v>
      </c>
      <c r="J1252" s="18">
        <v>1</v>
      </c>
      <c r="K1252" s="19">
        <f t="shared" si="57"/>
        <v>36900</v>
      </c>
      <c r="L1252" s="20">
        <v>45616</v>
      </c>
      <c r="M1252" s="18" t="str">
        <f t="shared" si="58"/>
        <v>Wednesday</v>
      </c>
      <c r="N1252" s="18" t="str">
        <f t="shared" si="59"/>
        <v>Weekday</v>
      </c>
      <c r="Q1252" s="18"/>
      <c r="R1252" s="18"/>
      <c r="S1252" s="21"/>
      <c r="T1252"/>
      <c r="U1252" s="6"/>
      <c r="W1252" s="7"/>
      <c r="Z1252" s="4"/>
    </row>
    <row r="1253" spans="1:26" x14ac:dyDescent="0.3">
      <c r="A1253" t="s">
        <v>1624</v>
      </c>
      <c r="B1253" s="22" t="s">
        <v>50</v>
      </c>
      <c r="C1253" s="24" t="s">
        <v>20</v>
      </c>
      <c r="D1253" s="24" t="s">
        <v>326</v>
      </c>
      <c r="E1253" s="24">
        <v>59</v>
      </c>
      <c r="F1253" t="s">
        <v>373</v>
      </c>
      <c r="G1253" s="24" t="s">
        <v>17</v>
      </c>
      <c r="H1253" s="24" t="s">
        <v>18</v>
      </c>
      <c r="I1253" s="24">
        <v>12300</v>
      </c>
      <c r="J1253" s="24">
        <v>1</v>
      </c>
      <c r="K1253" s="25">
        <f t="shared" si="57"/>
        <v>12300</v>
      </c>
      <c r="L1253" s="26">
        <v>45522</v>
      </c>
      <c r="M1253" s="24" t="str">
        <f t="shared" si="58"/>
        <v>Sunday</v>
      </c>
      <c r="N1253" s="24" t="str">
        <f t="shared" si="59"/>
        <v>Weekday</v>
      </c>
      <c r="Q1253" s="24"/>
      <c r="R1253" s="24"/>
      <c r="S1253" s="27"/>
      <c r="T1253"/>
      <c r="U1253" s="6"/>
      <c r="W1253" s="7"/>
      <c r="Z1253" s="4"/>
    </row>
    <row r="1254" spans="1:26" x14ac:dyDescent="0.3">
      <c r="A1254" t="s">
        <v>1625</v>
      </c>
      <c r="B1254" s="16" t="s">
        <v>137</v>
      </c>
      <c r="C1254" s="18" t="s">
        <v>11</v>
      </c>
      <c r="D1254" s="18" t="s">
        <v>329</v>
      </c>
      <c r="E1254" s="18">
        <v>54</v>
      </c>
      <c r="F1254" t="s">
        <v>381</v>
      </c>
      <c r="G1254" s="18" t="s">
        <v>42</v>
      </c>
      <c r="H1254" s="18" t="s">
        <v>14</v>
      </c>
      <c r="I1254" s="18">
        <v>98400</v>
      </c>
      <c r="J1254" s="18">
        <v>1</v>
      </c>
      <c r="K1254" s="19">
        <f t="shared" si="57"/>
        <v>98400</v>
      </c>
      <c r="L1254" s="20">
        <v>45481</v>
      </c>
      <c r="M1254" s="18" t="str">
        <f t="shared" si="58"/>
        <v>Monday</v>
      </c>
      <c r="N1254" s="18" t="str">
        <f t="shared" si="59"/>
        <v>Weekday</v>
      </c>
      <c r="Q1254" s="18"/>
      <c r="R1254" s="18"/>
      <c r="S1254" s="21"/>
      <c r="T1254"/>
      <c r="U1254" s="6"/>
      <c r="W1254" s="7"/>
      <c r="Z1254" s="4"/>
    </row>
    <row r="1255" spans="1:26" x14ac:dyDescent="0.3">
      <c r="A1255" t="s">
        <v>1626</v>
      </c>
      <c r="B1255" s="22" t="s">
        <v>189</v>
      </c>
      <c r="C1255" s="24" t="s">
        <v>20</v>
      </c>
      <c r="D1255" s="24" t="s">
        <v>322</v>
      </c>
      <c r="E1255" s="24">
        <v>48</v>
      </c>
      <c r="F1255" t="s">
        <v>373</v>
      </c>
      <c r="G1255" s="24" t="s">
        <v>31</v>
      </c>
      <c r="H1255" s="24" t="s">
        <v>18</v>
      </c>
      <c r="I1255" s="24">
        <v>6150</v>
      </c>
      <c r="J1255" s="24">
        <v>5</v>
      </c>
      <c r="K1255" s="25">
        <f t="shared" si="57"/>
        <v>30750</v>
      </c>
      <c r="L1255" s="26">
        <v>45543</v>
      </c>
      <c r="M1255" s="24" t="str">
        <f t="shared" si="58"/>
        <v>Sunday</v>
      </c>
      <c r="N1255" s="24" t="str">
        <f t="shared" si="59"/>
        <v>Weekday</v>
      </c>
      <c r="Q1255" s="24"/>
      <c r="R1255" s="24"/>
      <c r="S1255" s="27"/>
      <c r="T1255"/>
      <c r="U1255" s="6"/>
      <c r="W1255" s="7"/>
      <c r="Z1255" s="4"/>
    </row>
    <row r="1256" spans="1:26" x14ac:dyDescent="0.3">
      <c r="A1256" t="s">
        <v>1627</v>
      </c>
      <c r="B1256" s="16" t="s">
        <v>180</v>
      </c>
      <c r="C1256" s="18" t="s">
        <v>11</v>
      </c>
      <c r="D1256" s="18" t="s">
        <v>325</v>
      </c>
      <c r="E1256" s="18">
        <v>30</v>
      </c>
      <c r="F1256" t="s">
        <v>381</v>
      </c>
      <c r="G1256" s="18" t="s">
        <v>17</v>
      </c>
      <c r="H1256" s="18" t="s">
        <v>18</v>
      </c>
      <c r="I1256" s="18">
        <v>12300</v>
      </c>
      <c r="J1256" s="18">
        <v>5</v>
      </c>
      <c r="K1256" s="19">
        <f t="shared" si="57"/>
        <v>61500</v>
      </c>
      <c r="L1256" s="20">
        <v>45482</v>
      </c>
      <c r="M1256" s="18" t="str">
        <f t="shared" si="58"/>
        <v>Tuesday</v>
      </c>
      <c r="N1256" s="18" t="str">
        <f t="shared" si="59"/>
        <v>Weekday</v>
      </c>
      <c r="Q1256" s="18"/>
      <c r="R1256" s="18"/>
      <c r="S1256" s="21"/>
      <c r="T1256"/>
      <c r="U1256" s="6"/>
      <c r="W1256" s="7"/>
      <c r="Z1256" s="4"/>
    </row>
    <row r="1257" spans="1:26" x14ac:dyDescent="0.3">
      <c r="A1257" t="s">
        <v>1628</v>
      </c>
      <c r="B1257" s="22" t="s">
        <v>57</v>
      </c>
      <c r="C1257" s="24" t="s">
        <v>366</v>
      </c>
      <c r="D1257" s="24" t="s">
        <v>322</v>
      </c>
      <c r="E1257" s="24">
        <v>58</v>
      </c>
      <c r="F1257" t="s">
        <v>373</v>
      </c>
      <c r="G1257" s="24" t="s">
        <v>31</v>
      </c>
      <c r="H1257" s="24" t="s">
        <v>18</v>
      </c>
      <c r="I1257" s="24">
        <v>6150</v>
      </c>
      <c r="J1257" s="24">
        <v>5</v>
      </c>
      <c r="K1257" s="25">
        <f t="shared" si="57"/>
        <v>30750</v>
      </c>
      <c r="L1257" s="26">
        <v>45312</v>
      </c>
      <c r="M1257" s="24" t="str">
        <f t="shared" si="58"/>
        <v>Sunday</v>
      </c>
      <c r="N1257" s="24" t="str">
        <f t="shared" si="59"/>
        <v>Weekday</v>
      </c>
      <c r="Q1257" s="24"/>
      <c r="R1257" s="24"/>
      <c r="S1257" s="27"/>
      <c r="T1257"/>
      <c r="U1257" s="6"/>
      <c r="W1257" s="7"/>
      <c r="Z1257" s="4"/>
    </row>
    <row r="1258" spans="1:26" x14ac:dyDescent="0.3">
      <c r="A1258" t="s">
        <v>1629</v>
      </c>
      <c r="B1258" s="16" t="s">
        <v>244</v>
      </c>
      <c r="C1258" s="18" t="s">
        <v>20</v>
      </c>
      <c r="D1258" s="18" t="s">
        <v>322</v>
      </c>
      <c r="E1258" s="18">
        <v>68</v>
      </c>
      <c r="F1258" t="s">
        <v>381</v>
      </c>
      <c r="G1258" s="18" t="s">
        <v>31</v>
      </c>
      <c r="H1258" s="18" t="s">
        <v>18</v>
      </c>
      <c r="I1258" s="18">
        <v>6150</v>
      </c>
      <c r="J1258" s="18">
        <v>4</v>
      </c>
      <c r="K1258" s="19">
        <f t="shared" si="57"/>
        <v>24600</v>
      </c>
      <c r="L1258" s="20">
        <v>45443</v>
      </c>
      <c r="M1258" s="18" t="str">
        <f t="shared" si="58"/>
        <v>Friday</v>
      </c>
      <c r="N1258" s="18" t="str">
        <f t="shared" si="59"/>
        <v>Weekend</v>
      </c>
      <c r="Q1258" s="18"/>
      <c r="R1258" s="18"/>
      <c r="S1258" s="21"/>
      <c r="T1258"/>
      <c r="U1258" s="6"/>
      <c r="W1258" s="7"/>
      <c r="Z1258" s="4"/>
    </row>
    <row r="1259" spans="1:26" x14ac:dyDescent="0.3">
      <c r="A1259" t="s">
        <v>1630</v>
      </c>
      <c r="B1259" s="22" t="s">
        <v>221</v>
      </c>
      <c r="C1259" s="24" t="s">
        <v>20</v>
      </c>
      <c r="D1259" s="24" t="s">
        <v>323</v>
      </c>
      <c r="E1259" s="24">
        <v>41</v>
      </c>
      <c r="F1259" t="s">
        <v>375</v>
      </c>
      <c r="G1259" s="24" t="s">
        <v>42</v>
      </c>
      <c r="H1259" s="24" t="s">
        <v>14</v>
      </c>
      <c r="I1259" s="24">
        <v>98400</v>
      </c>
      <c r="J1259" s="24">
        <v>5</v>
      </c>
      <c r="K1259" s="25">
        <f t="shared" si="57"/>
        <v>492000</v>
      </c>
      <c r="L1259" s="26">
        <v>45426</v>
      </c>
      <c r="M1259" s="24" t="str">
        <f t="shared" si="58"/>
        <v>Tuesday</v>
      </c>
      <c r="N1259" s="24" t="str">
        <f t="shared" si="59"/>
        <v>Weekday</v>
      </c>
      <c r="Q1259" s="24"/>
      <c r="R1259" s="24"/>
      <c r="S1259" s="27"/>
      <c r="T1259"/>
      <c r="U1259" s="6"/>
      <c r="W1259" s="7"/>
      <c r="Z1259" s="4"/>
    </row>
    <row r="1260" spans="1:26" x14ac:dyDescent="0.3">
      <c r="A1260" t="s">
        <v>1631</v>
      </c>
      <c r="B1260" s="16" t="s">
        <v>102</v>
      </c>
      <c r="C1260" s="18" t="s">
        <v>20</v>
      </c>
      <c r="D1260" s="18" t="s">
        <v>322</v>
      </c>
      <c r="E1260" s="18">
        <v>48</v>
      </c>
      <c r="F1260" t="s">
        <v>373</v>
      </c>
      <c r="G1260" s="18" t="s">
        <v>24</v>
      </c>
      <c r="H1260" s="18" t="s">
        <v>14</v>
      </c>
      <c r="I1260" s="18">
        <v>184500</v>
      </c>
      <c r="J1260" s="18">
        <v>4</v>
      </c>
      <c r="K1260" s="19">
        <f t="shared" si="57"/>
        <v>738000</v>
      </c>
      <c r="L1260" s="20">
        <v>45428</v>
      </c>
      <c r="M1260" s="18" t="str">
        <f t="shared" si="58"/>
        <v>Thursday</v>
      </c>
      <c r="N1260" s="18" t="str">
        <f t="shared" si="59"/>
        <v>Weekday</v>
      </c>
      <c r="Q1260" s="18"/>
      <c r="R1260" s="18"/>
      <c r="S1260" s="21"/>
      <c r="T1260"/>
      <c r="U1260" s="6"/>
      <c r="W1260" s="7"/>
      <c r="Z1260" s="4"/>
    </row>
    <row r="1261" spans="1:26" x14ac:dyDescent="0.3">
      <c r="A1261" t="s">
        <v>1632</v>
      </c>
      <c r="B1261" s="22" t="s">
        <v>149</v>
      </c>
      <c r="C1261" s="24" t="s">
        <v>366</v>
      </c>
      <c r="D1261" s="24" t="s">
        <v>322</v>
      </c>
      <c r="E1261" s="24">
        <v>58</v>
      </c>
      <c r="F1261" t="s">
        <v>373</v>
      </c>
      <c r="G1261" s="24" t="s">
        <v>42</v>
      </c>
      <c r="H1261" s="24" t="s">
        <v>14</v>
      </c>
      <c r="I1261" s="24">
        <v>98400</v>
      </c>
      <c r="J1261" s="24">
        <v>2</v>
      </c>
      <c r="K1261" s="25">
        <f t="shared" si="57"/>
        <v>196800</v>
      </c>
      <c r="L1261" s="26">
        <v>45540</v>
      </c>
      <c r="M1261" s="24" t="str">
        <f t="shared" si="58"/>
        <v>Thursday</v>
      </c>
      <c r="N1261" s="24" t="str">
        <f t="shared" si="59"/>
        <v>Weekday</v>
      </c>
      <c r="Q1261" s="24"/>
      <c r="R1261" s="24"/>
      <c r="S1261" s="27"/>
      <c r="T1261"/>
      <c r="U1261" s="6"/>
      <c r="W1261" s="7"/>
      <c r="Z1261" s="4"/>
    </row>
    <row r="1262" spans="1:26" x14ac:dyDescent="0.3">
      <c r="A1262" t="s">
        <v>1633</v>
      </c>
      <c r="B1262" s="16" t="s">
        <v>263</v>
      </c>
      <c r="C1262" s="18" t="s">
        <v>366</v>
      </c>
      <c r="D1262" s="18" t="s">
        <v>322</v>
      </c>
      <c r="E1262" s="18">
        <v>26</v>
      </c>
      <c r="F1262" t="s">
        <v>375</v>
      </c>
      <c r="G1262" s="18" t="s">
        <v>13</v>
      </c>
      <c r="H1262" s="18" t="s">
        <v>14</v>
      </c>
      <c r="I1262" s="18">
        <v>36900</v>
      </c>
      <c r="J1262" s="18">
        <v>5</v>
      </c>
      <c r="K1262" s="19">
        <f t="shared" si="57"/>
        <v>184500</v>
      </c>
      <c r="L1262" s="20">
        <v>45644</v>
      </c>
      <c r="M1262" s="18" t="str">
        <f t="shared" si="58"/>
        <v>Wednesday</v>
      </c>
      <c r="N1262" s="18" t="str">
        <f t="shared" si="59"/>
        <v>Weekday</v>
      </c>
      <c r="Q1262" s="18"/>
      <c r="R1262" s="18"/>
      <c r="S1262" s="21"/>
      <c r="T1262"/>
      <c r="U1262" s="6"/>
      <c r="W1262" s="7"/>
      <c r="Z1262" s="4"/>
    </row>
    <row r="1263" spans="1:26" x14ac:dyDescent="0.3">
      <c r="A1263" t="s">
        <v>1634</v>
      </c>
      <c r="B1263" s="22" t="s">
        <v>297</v>
      </c>
      <c r="C1263" s="24" t="s">
        <v>11</v>
      </c>
      <c r="D1263" s="24" t="s">
        <v>323</v>
      </c>
      <c r="E1263" s="24">
        <v>39</v>
      </c>
      <c r="F1263" t="s">
        <v>381</v>
      </c>
      <c r="G1263" s="24" t="s">
        <v>17</v>
      </c>
      <c r="H1263" s="24" t="s">
        <v>18</v>
      </c>
      <c r="I1263" s="24">
        <v>12300</v>
      </c>
      <c r="J1263" s="24">
        <v>4</v>
      </c>
      <c r="K1263" s="25">
        <f t="shared" si="57"/>
        <v>49200</v>
      </c>
      <c r="L1263" s="26">
        <v>45546</v>
      </c>
      <c r="M1263" s="24" t="str">
        <f t="shared" si="58"/>
        <v>Wednesday</v>
      </c>
      <c r="N1263" s="24" t="str">
        <f t="shared" si="59"/>
        <v>Weekday</v>
      </c>
      <c r="Q1263" s="24"/>
      <c r="R1263" s="24"/>
      <c r="S1263" s="27"/>
      <c r="T1263"/>
      <c r="U1263" s="6"/>
      <c r="W1263" s="7"/>
      <c r="Z1263" s="4"/>
    </row>
    <row r="1264" spans="1:26" x14ac:dyDescent="0.3">
      <c r="A1264" t="s">
        <v>1635</v>
      </c>
      <c r="B1264" s="16" t="s">
        <v>66</v>
      </c>
      <c r="C1264" s="18" t="s">
        <v>11</v>
      </c>
      <c r="D1264" s="18" t="s">
        <v>322</v>
      </c>
      <c r="E1264" s="18">
        <v>19</v>
      </c>
      <c r="F1264" t="s">
        <v>373</v>
      </c>
      <c r="G1264" s="18" t="s">
        <v>26</v>
      </c>
      <c r="H1264" s="18" t="s">
        <v>27</v>
      </c>
      <c r="I1264" s="18">
        <v>24600</v>
      </c>
      <c r="J1264" s="18">
        <v>3</v>
      </c>
      <c r="K1264" s="19">
        <f t="shared" si="57"/>
        <v>73800</v>
      </c>
      <c r="L1264" s="20">
        <v>45318</v>
      </c>
      <c r="M1264" s="18" t="str">
        <f t="shared" si="58"/>
        <v>Saturday</v>
      </c>
      <c r="N1264" s="18" t="str">
        <f t="shared" si="59"/>
        <v>Weekend</v>
      </c>
      <c r="Q1264" s="18"/>
      <c r="R1264" s="18"/>
      <c r="S1264" s="21"/>
      <c r="T1264"/>
      <c r="U1264" s="6"/>
      <c r="W1264" s="7"/>
      <c r="Z1264" s="4"/>
    </row>
    <row r="1265" spans="1:26" x14ac:dyDescent="0.3">
      <c r="A1265" t="s">
        <v>1636</v>
      </c>
      <c r="B1265" s="22" t="s">
        <v>123</v>
      </c>
      <c r="C1265" s="24" t="s">
        <v>20</v>
      </c>
      <c r="D1265" s="24" t="s">
        <v>328</v>
      </c>
      <c r="E1265" s="24">
        <v>38</v>
      </c>
      <c r="F1265" t="s">
        <v>375</v>
      </c>
      <c r="G1265" s="24" t="s">
        <v>13</v>
      </c>
      <c r="H1265" s="24" t="s">
        <v>14</v>
      </c>
      <c r="I1265" s="24">
        <v>36900</v>
      </c>
      <c r="J1265" s="24">
        <v>3</v>
      </c>
      <c r="K1265" s="25">
        <f t="shared" si="57"/>
        <v>110700</v>
      </c>
      <c r="L1265" s="26">
        <v>45311</v>
      </c>
      <c r="M1265" s="24" t="str">
        <f t="shared" si="58"/>
        <v>Saturday</v>
      </c>
      <c r="N1265" s="24" t="str">
        <f t="shared" si="59"/>
        <v>Weekend</v>
      </c>
      <c r="Q1265" s="24"/>
      <c r="R1265" s="24"/>
      <c r="S1265" s="27"/>
      <c r="T1265"/>
      <c r="U1265" s="6"/>
      <c r="W1265" s="7"/>
      <c r="Z1265" s="4"/>
    </row>
    <row r="1266" spans="1:26" x14ac:dyDescent="0.3">
      <c r="A1266" t="s">
        <v>1637</v>
      </c>
      <c r="B1266" s="16" t="s">
        <v>46</v>
      </c>
      <c r="C1266" s="18" t="s">
        <v>366</v>
      </c>
      <c r="D1266" s="18" t="s">
        <v>323</v>
      </c>
      <c r="E1266" s="18">
        <v>40</v>
      </c>
      <c r="F1266" t="s">
        <v>381</v>
      </c>
      <c r="G1266" s="18" t="s">
        <v>42</v>
      </c>
      <c r="H1266" s="18" t="s">
        <v>14</v>
      </c>
      <c r="I1266" s="18">
        <v>98400</v>
      </c>
      <c r="J1266" s="18">
        <v>1</v>
      </c>
      <c r="K1266" s="19">
        <f t="shared" si="57"/>
        <v>98400</v>
      </c>
      <c r="L1266" s="20">
        <v>45554</v>
      </c>
      <c r="M1266" s="18" t="str">
        <f t="shared" si="58"/>
        <v>Thursday</v>
      </c>
      <c r="N1266" s="18" t="str">
        <f t="shared" si="59"/>
        <v>Weekday</v>
      </c>
      <c r="Q1266" s="18"/>
      <c r="R1266" s="18"/>
      <c r="S1266" s="21"/>
      <c r="T1266"/>
      <c r="U1266" s="6"/>
      <c r="W1266" s="7"/>
      <c r="Z1266" s="4"/>
    </row>
    <row r="1267" spans="1:26" x14ac:dyDescent="0.3">
      <c r="A1267" t="s">
        <v>1638</v>
      </c>
      <c r="B1267" s="22" t="s">
        <v>312</v>
      </c>
      <c r="C1267" s="24" t="s">
        <v>20</v>
      </c>
      <c r="D1267" s="24" t="s">
        <v>323</v>
      </c>
      <c r="E1267" s="24">
        <v>29</v>
      </c>
      <c r="F1267" t="s">
        <v>373</v>
      </c>
      <c r="G1267" s="24" t="s">
        <v>17</v>
      </c>
      <c r="H1267" s="24" t="s">
        <v>18</v>
      </c>
      <c r="I1267" s="24">
        <v>12300</v>
      </c>
      <c r="J1267" s="24">
        <v>4</v>
      </c>
      <c r="K1267" s="25">
        <f t="shared" si="57"/>
        <v>49200</v>
      </c>
      <c r="L1267" s="26">
        <v>45361</v>
      </c>
      <c r="M1267" s="24" t="str">
        <f t="shared" si="58"/>
        <v>Sunday</v>
      </c>
      <c r="N1267" s="24" t="str">
        <f t="shared" si="59"/>
        <v>Weekday</v>
      </c>
      <c r="Q1267" s="24"/>
      <c r="R1267" s="24"/>
      <c r="S1267" s="27"/>
      <c r="T1267"/>
      <c r="U1267" s="6"/>
      <c r="W1267" s="7"/>
      <c r="Z1267" s="4"/>
    </row>
    <row r="1268" spans="1:26" x14ac:dyDescent="0.3">
      <c r="A1268" t="s">
        <v>1639</v>
      </c>
      <c r="B1268" s="16" t="s">
        <v>30</v>
      </c>
      <c r="C1268" s="18" t="s">
        <v>11</v>
      </c>
      <c r="D1268" s="18" t="s">
        <v>329</v>
      </c>
      <c r="E1268" s="18">
        <v>18</v>
      </c>
      <c r="F1268" t="s">
        <v>373</v>
      </c>
      <c r="G1268" s="18" t="s">
        <v>17</v>
      </c>
      <c r="H1268" s="18" t="s">
        <v>18</v>
      </c>
      <c r="I1268" s="18">
        <v>12300</v>
      </c>
      <c r="J1268" s="18">
        <v>2</v>
      </c>
      <c r="K1268" s="19">
        <f t="shared" si="57"/>
        <v>24600</v>
      </c>
      <c r="L1268" s="20">
        <v>45315</v>
      </c>
      <c r="M1268" s="18" t="str">
        <f t="shared" si="58"/>
        <v>Wednesday</v>
      </c>
      <c r="N1268" s="18" t="str">
        <f t="shared" si="59"/>
        <v>Weekday</v>
      </c>
      <c r="Q1268" s="18"/>
      <c r="R1268" s="18"/>
      <c r="S1268" s="21"/>
      <c r="T1268"/>
      <c r="U1268" s="6"/>
      <c r="W1268" s="7"/>
      <c r="Z1268" s="4"/>
    </row>
    <row r="1269" spans="1:26" x14ac:dyDescent="0.3">
      <c r="A1269" t="s">
        <v>1640</v>
      </c>
      <c r="B1269" s="22" t="s">
        <v>271</v>
      </c>
      <c r="C1269" s="24" t="s">
        <v>20</v>
      </c>
      <c r="D1269" s="24" t="s">
        <v>322</v>
      </c>
      <c r="E1269" s="24">
        <v>48</v>
      </c>
      <c r="F1269" t="s">
        <v>381</v>
      </c>
      <c r="G1269" s="24" t="s">
        <v>17</v>
      </c>
      <c r="H1269" s="24" t="s">
        <v>18</v>
      </c>
      <c r="I1269" s="24">
        <v>12300</v>
      </c>
      <c r="J1269" s="24">
        <v>5</v>
      </c>
      <c r="K1269" s="25">
        <f t="shared" si="57"/>
        <v>61500</v>
      </c>
      <c r="L1269" s="26">
        <v>45626</v>
      </c>
      <c r="M1269" s="24" t="str">
        <f t="shared" si="58"/>
        <v>Saturday</v>
      </c>
      <c r="N1269" s="24" t="str">
        <f t="shared" si="59"/>
        <v>Weekend</v>
      </c>
      <c r="Q1269" s="24"/>
      <c r="R1269" s="24"/>
      <c r="S1269" s="27"/>
      <c r="T1269"/>
      <c r="U1269" s="6"/>
      <c r="W1269" s="7"/>
      <c r="Z1269" s="4"/>
    </row>
    <row r="1270" spans="1:26" x14ac:dyDescent="0.3">
      <c r="A1270" t="s">
        <v>1641</v>
      </c>
      <c r="B1270" s="16" t="s">
        <v>148</v>
      </c>
      <c r="C1270" s="18" t="s">
        <v>20</v>
      </c>
      <c r="D1270" s="18" t="s">
        <v>323</v>
      </c>
      <c r="E1270" s="18">
        <v>68</v>
      </c>
      <c r="F1270" t="s">
        <v>375</v>
      </c>
      <c r="G1270" s="18" t="s">
        <v>31</v>
      </c>
      <c r="H1270" s="18" t="s">
        <v>18</v>
      </c>
      <c r="I1270" s="18">
        <v>6150</v>
      </c>
      <c r="J1270" s="18">
        <v>3</v>
      </c>
      <c r="K1270" s="19">
        <f t="shared" si="57"/>
        <v>18450</v>
      </c>
      <c r="L1270" s="20">
        <v>45519</v>
      </c>
      <c r="M1270" s="18" t="str">
        <f t="shared" si="58"/>
        <v>Thursday</v>
      </c>
      <c r="N1270" s="18" t="str">
        <f t="shared" si="59"/>
        <v>Weekday</v>
      </c>
      <c r="Q1270" s="18"/>
      <c r="R1270" s="18"/>
      <c r="S1270" s="21"/>
      <c r="T1270"/>
      <c r="U1270" s="6"/>
      <c r="W1270" s="7"/>
      <c r="Z1270" s="4"/>
    </row>
    <row r="1271" spans="1:26" x14ac:dyDescent="0.3">
      <c r="A1271" t="s">
        <v>1642</v>
      </c>
      <c r="B1271" s="22" t="s">
        <v>299</v>
      </c>
      <c r="C1271" s="24" t="s">
        <v>366</v>
      </c>
      <c r="D1271" s="24" t="s">
        <v>329</v>
      </c>
      <c r="E1271" s="24">
        <v>44</v>
      </c>
      <c r="F1271" t="s">
        <v>373</v>
      </c>
      <c r="G1271" s="24" t="s">
        <v>32</v>
      </c>
      <c r="H1271" s="24" t="s">
        <v>18</v>
      </c>
      <c r="I1271" s="24">
        <v>3690</v>
      </c>
      <c r="J1271" s="24">
        <v>3</v>
      </c>
      <c r="K1271" s="25">
        <f t="shared" si="57"/>
        <v>11070</v>
      </c>
      <c r="L1271" s="26">
        <v>45613</v>
      </c>
      <c r="M1271" s="24" t="str">
        <f t="shared" si="58"/>
        <v>Sunday</v>
      </c>
      <c r="N1271" s="24" t="str">
        <f t="shared" si="59"/>
        <v>Weekday</v>
      </c>
      <c r="Q1271" s="24"/>
      <c r="R1271" s="24"/>
      <c r="S1271" s="27"/>
      <c r="T1271"/>
      <c r="U1271" s="6"/>
      <c r="W1271" s="7"/>
      <c r="Z1271" s="4"/>
    </row>
    <row r="1272" spans="1:26" x14ac:dyDescent="0.3">
      <c r="A1272" t="s">
        <v>1643</v>
      </c>
      <c r="B1272" s="16" t="s">
        <v>280</v>
      </c>
      <c r="C1272" s="18" t="s">
        <v>11</v>
      </c>
      <c r="D1272" s="18" t="s">
        <v>322</v>
      </c>
      <c r="E1272" s="18">
        <v>50</v>
      </c>
      <c r="F1272" t="s">
        <v>381</v>
      </c>
      <c r="G1272" s="18" t="s">
        <v>26</v>
      </c>
      <c r="H1272" s="18" t="s">
        <v>27</v>
      </c>
      <c r="I1272" s="18">
        <v>24600</v>
      </c>
      <c r="J1272" s="18">
        <v>1</v>
      </c>
      <c r="K1272" s="19">
        <f t="shared" si="57"/>
        <v>24600</v>
      </c>
      <c r="L1272" s="20">
        <v>45612</v>
      </c>
      <c r="M1272" s="18" t="str">
        <f t="shared" si="58"/>
        <v>Saturday</v>
      </c>
      <c r="N1272" s="18" t="str">
        <f t="shared" si="59"/>
        <v>Weekend</v>
      </c>
      <c r="Q1272" s="18"/>
      <c r="R1272" s="18"/>
      <c r="S1272" s="21"/>
      <c r="T1272"/>
      <c r="U1272" s="6"/>
      <c r="W1272" s="7"/>
      <c r="Z1272" s="4"/>
    </row>
    <row r="1273" spans="1:26" x14ac:dyDescent="0.3">
      <c r="A1273" t="s">
        <v>1644</v>
      </c>
      <c r="B1273" s="22" t="s">
        <v>189</v>
      </c>
      <c r="C1273" s="24" t="s">
        <v>20</v>
      </c>
      <c r="D1273" s="24" t="s">
        <v>322</v>
      </c>
      <c r="E1273" s="24">
        <v>48</v>
      </c>
      <c r="F1273" t="s">
        <v>373</v>
      </c>
      <c r="G1273" s="24" t="s">
        <v>17</v>
      </c>
      <c r="H1273" s="24" t="s">
        <v>18</v>
      </c>
      <c r="I1273" s="24">
        <v>12300</v>
      </c>
      <c r="J1273" s="24">
        <v>3</v>
      </c>
      <c r="K1273" s="25">
        <f t="shared" si="57"/>
        <v>36900</v>
      </c>
      <c r="L1273" s="26">
        <v>45341</v>
      </c>
      <c r="M1273" s="24" t="str">
        <f t="shared" si="58"/>
        <v>Monday</v>
      </c>
      <c r="N1273" s="24" t="str">
        <f t="shared" si="59"/>
        <v>Weekday</v>
      </c>
      <c r="Q1273" s="24"/>
      <c r="R1273" s="24"/>
      <c r="S1273" s="27"/>
      <c r="T1273"/>
      <c r="U1273" s="6"/>
      <c r="W1273" s="7"/>
      <c r="Z1273" s="4"/>
    </row>
    <row r="1274" spans="1:26" x14ac:dyDescent="0.3">
      <c r="A1274" t="s">
        <v>1645</v>
      </c>
      <c r="B1274" s="16" t="s">
        <v>139</v>
      </c>
      <c r="C1274" s="18" t="s">
        <v>366</v>
      </c>
      <c r="D1274" s="18" t="s">
        <v>324</v>
      </c>
      <c r="E1274" s="18">
        <v>27</v>
      </c>
      <c r="F1274" t="s">
        <v>381</v>
      </c>
      <c r="G1274" s="18" t="s">
        <v>32</v>
      </c>
      <c r="H1274" s="18" t="s">
        <v>18</v>
      </c>
      <c r="I1274" s="18">
        <v>3690</v>
      </c>
      <c r="J1274" s="18">
        <v>2</v>
      </c>
      <c r="K1274" s="19">
        <f t="shared" si="57"/>
        <v>7380</v>
      </c>
      <c r="L1274" s="20">
        <v>45656</v>
      </c>
      <c r="M1274" s="18" t="str">
        <f t="shared" si="58"/>
        <v>Monday</v>
      </c>
      <c r="N1274" s="18" t="str">
        <f t="shared" si="59"/>
        <v>Weekday</v>
      </c>
      <c r="Q1274" s="18"/>
      <c r="R1274" s="18"/>
      <c r="S1274" s="21"/>
      <c r="T1274"/>
      <c r="U1274" s="6"/>
      <c r="W1274" s="7"/>
      <c r="Z1274" s="4"/>
    </row>
    <row r="1275" spans="1:26" x14ac:dyDescent="0.3">
      <c r="A1275" t="s">
        <v>1646</v>
      </c>
      <c r="B1275" s="22" t="s">
        <v>317</v>
      </c>
      <c r="C1275" s="24" t="s">
        <v>11</v>
      </c>
      <c r="D1275" s="24" t="s">
        <v>322</v>
      </c>
      <c r="E1275" s="24">
        <v>18</v>
      </c>
      <c r="F1275" t="s">
        <v>373</v>
      </c>
      <c r="G1275" s="24" t="s">
        <v>42</v>
      </c>
      <c r="H1275" s="24" t="s">
        <v>14</v>
      </c>
      <c r="I1275" s="24">
        <v>98400</v>
      </c>
      <c r="J1275" s="24">
        <v>2</v>
      </c>
      <c r="K1275" s="25">
        <f t="shared" si="57"/>
        <v>196800</v>
      </c>
      <c r="L1275" s="26">
        <v>45465</v>
      </c>
      <c r="M1275" s="24" t="str">
        <f t="shared" si="58"/>
        <v>Saturday</v>
      </c>
      <c r="N1275" s="24" t="str">
        <f t="shared" si="59"/>
        <v>Weekend</v>
      </c>
      <c r="Q1275" s="24"/>
      <c r="R1275" s="24"/>
      <c r="S1275" s="27"/>
      <c r="T1275"/>
      <c r="U1275" s="6"/>
      <c r="W1275" s="7"/>
      <c r="Z1275" s="4"/>
    </row>
    <row r="1276" spans="1:26" x14ac:dyDescent="0.3">
      <c r="A1276" t="s">
        <v>1647</v>
      </c>
      <c r="B1276" s="16" t="s">
        <v>198</v>
      </c>
      <c r="C1276" s="18" t="s">
        <v>366</v>
      </c>
      <c r="D1276" s="18" t="s">
        <v>324</v>
      </c>
      <c r="E1276" s="18">
        <v>66</v>
      </c>
      <c r="F1276" t="s">
        <v>370</v>
      </c>
      <c r="G1276" s="18" t="s">
        <v>24</v>
      </c>
      <c r="H1276" s="18" t="s">
        <v>14</v>
      </c>
      <c r="I1276" s="18">
        <v>184500</v>
      </c>
      <c r="J1276" s="18">
        <v>4</v>
      </c>
      <c r="K1276" s="19">
        <f t="shared" si="57"/>
        <v>738000</v>
      </c>
      <c r="L1276" s="20">
        <v>45406</v>
      </c>
      <c r="M1276" s="18" t="str">
        <f t="shared" si="58"/>
        <v>Wednesday</v>
      </c>
      <c r="N1276" s="18" t="str">
        <f t="shared" si="59"/>
        <v>Weekday</v>
      </c>
      <c r="Q1276" s="18"/>
      <c r="R1276" s="18"/>
      <c r="S1276" s="21"/>
      <c r="T1276"/>
      <c r="U1276" s="6"/>
      <c r="W1276" s="7"/>
      <c r="Z1276" s="4"/>
    </row>
    <row r="1277" spans="1:26" x14ac:dyDescent="0.3">
      <c r="A1277" t="s">
        <v>1648</v>
      </c>
      <c r="B1277" s="22" t="s">
        <v>277</v>
      </c>
      <c r="C1277" s="24" t="s">
        <v>11</v>
      </c>
      <c r="D1277" s="24" t="s">
        <v>325</v>
      </c>
      <c r="E1277" s="24">
        <v>34</v>
      </c>
      <c r="F1277" t="s">
        <v>375</v>
      </c>
      <c r="G1277" s="24" t="s">
        <v>26</v>
      </c>
      <c r="H1277" s="24" t="s">
        <v>27</v>
      </c>
      <c r="I1277" s="24">
        <v>24600</v>
      </c>
      <c r="J1277" s="24">
        <v>2</v>
      </c>
      <c r="K1277" s="25">
        <f t="shared" si="57"/>
        <v>49200</v>
      </c>
      <c r="L1277" s="26">
        <v>45510</v>
      </c>
      <c r="M1277" s="24" t="str">
        <f t="shared" si="58"/>
        <v>Tuesday</v>
      </c>
      <c r="N1277" s="24" t="str">
        <f t="shared" si="59"/>
        <v>Weekday</v>
      </c>
      <c r="Q1277" s="24"/>
      <c r="R1277" s="24"/>
      <c r="S1277" s="27"/>
      <c r="T1277"/>
      <c r="U1277" s="6"/>
      <c r="W1277" s="7"/>
      <c r="Z1277" s="4"/>
    </row>
    <row r="1278" spans="1:26" x14ac:dyDescent="0.3">
      <c r="A1278" t="s">
        <v>1649</v>
      </c>
      <c r="B1278" s="16" t="s">
        <v>97</v>
      </c>
      <c r="C1278" s="18" t="s">
        <v>20</v>
      </c>
      <c r="D1278" s="18" t="s">
        <v>322</v>
      </c>
      <c r="E1278" s="18">
        <v>33</v>
      </c>
      <c r="F1278" t="s">
        <v>375</v>
      </c>
      <c r="G1278" s="18" t="s">
        <v>32</v>
      </c>
      <c r="H1278" s="18" t="s">
        <v>18</v>
      </c>
      <c r="I1278" s="18">
        <v>3690</v>
      </c>
      <c r="J1278" s="18">
        <v>5</v>
      </c>
      <c r="K1278" s="19">
        <f t="shared" si="57"/>
        <v>18450</v>
      </c>
      <c r="L1278" s="20">
        <v>45372</v>
      </c>
      <c r="M1278" s="18" t="str">
        <f t="shared" si="58"/>
        <v>Thursday</v>
      </c>
      <c r="N1278" s="18" t="str">
        <f t="shared" si="59"/>
        <v>Weekday</v>
      </c>
      <c r="Q1278" s="18"/>
      <c r="R1278" s="18"/>
      <c r="S1278" s="21"/>
      <c r="T1278"/>
      <c r="U1278" s="6"/>
      <c r="W1278" s="7"/>
      <c r="Z1278" s="4"/>
    </row>
    <row r="1279" spans="1:26" x14ac:dyDescent="0.3">
      <c r="A1279" t="s">
        <v>1650</v>
      </c>
      <c r="B1279" s="22" t="s">
        <v>56</v>
      </c>
      <c r="C1279" s="24" t="s">
        <v>20</v>
      </c>
      <c r="D1279" s="24" t="s">
        <v>329</v>
      </c>
      <c r="E1279" s="24">
        <v>53</v>
      </c>
      <c r="F1279" t="s">
        <v>370</v>
      </c>
      <c r="G1279" s="24" t="s">
        <v>31</v>
      </c>
      <c r="H1279" s="24" t="s">
        <v>18</v>
      </c>
      <c r="I1279" s="24">
        <v>6150</v>
      </c>
      <c r="J1279" s="24">
        <v>1</v>
      </c>
      <c r="K1279" s="25">
        <f t="shared" si="57"/>
        <v>6150</v>
      </c>
      <c r="L1279" s="26">
        <v>45623</v>
      </c>
      <c r="M1279" s="24" t="str">
        <f t="shared" si="58"/>
        <v>Wednesday</v>
      </c>
      <c r="N1279" s="24" t="str">
        <f t="shared" si="59"/>
        <v>Weekday</v>
      </c>
      <c r="Q1279" s="24"/>
      <c r="R1279" s="24"/>
      <c r="S1279" s="27"/>
      <c r="T1279"/>
      <c r="U1279" s="6"/>
      <c r="W1279" s="7"/>
      <c r="Z1279" s="4"/>
    </row>
    <row r="1280" spans="1:26" x14ac:dyDescent="0.3">
      <c r="A1280" t="s">
        <v>1651</v>
      </c>
      <c r="B1280" s="16" t="s">
        <v>50</v>
      </c>
      <c r="C1280" s="18" t="s">
        <v>20</v>
      </c>
      <c r="D1280" s="18" t="s">
        <v>326</v>
      </c>
      <c r="E1280" s="18">
        <v>59</v>
      </c>
      <c r="F1280" t="s">
        <v>381</v>
      </c>
      <c r="G1280" s="18" t="s">
        <v>42</v>
      </c>
      <c r="H1280" s="18" t="s">
        <v>14</v>
      </c>
      <c r="I1280" s="18">
        <v>98400</v>
      </c>
      <c r="J1280" s="18">
        <v>1</v>
      </c>
      <c r="K1280" s="19">
        <f t="shared" si="57"/>
        <v>98400</v>
      </c>
      <c r="L1280" s="20">
        <v>45481</v>
      </c>
      <c r="M1280" s="18" t="str">
        <f t="shared" si="58"/>
        <v>Monday</v>
      </c>
      <c r="N1280" s="18" t="str">
        <f t="shared" si="59"/>
        <v>Weekday</v>
      </c>
      <c r="Q1280" s="18"/>
      <c r="R1280" s="18"/>
      <c r="S1280" s="21"/>
      <c r="T1280"/>
      <c r="U1280" s="6"/>
      <c r="W1280" s="7"/>
      <c r="Z1280" s="4"/>
    </row>
    <row r="1281" spans="1:26" x14ac:dyDescent="0.3">
      <c r="A1281" t="s">
        <v>1652</v>
      </c>
      <c r="B1281" s="22" t="s">
        <v>60</v>
      </c>
      <c r="C1281" s="24" t="s">
        <v>20</v>
      </c>
      <c r="D1281" s="24" t="s">
        <v>322</v>
      </c>
      <c r="E1281" s="24">
        <v>64</v>
      </c>
      <c r="F1281" t="s">
        <v>375</v>
      </c>
      <c r="G1281" s="24" t="s">
        <v>32</v>
      </c>
      <c r="H1281" s="24" t="s">
        <v>18</v>
      </c>
      <c r="I1281" s="24">
        <v>3690</v>
      </c>
      <c r="J1281" s="24">
        <v>2</v>
      </c>
      <c r="K1281" s="25">
        <f t="shared" si="57"/>
        <v>7380</v>
      </c>
      <c r="L1281" s="26">
        <v>45611</v>
      </c>
      <c r="M1281" s="24" t="str">
        <f t="shared" si="58"/>
        <v>Friday</v>
      </c>
      <c r="N1281" s="24" t="str">
        <f t="shared" si="59"/>
        <v>Weekend</v>
      </c>
      <c r="Q1281" s="24"/>
      <c r="R1281" s="24"/>
      <c r="S1281" s="27"/>
      <c r="T1281"/>
      <c r="U1281" s="6"/>
      <c r="W1281" s="7"/>
      <c r="Z1281" s="4"/>
    </row>
    <row r="1282" spans="1:26" x14ac:dyDescent="0.3">
      <c r="A1282" t="s">
        <v>1653</v>
      </c>
      <c r="B1282" s="16" t="s">
        <v>217</v>
      </c>
      <c r="C1282" s="18" t="s">
        <v>11</v>
      </c>
      <c r="D1282" s="18" t="s">
        <v>324</v>
      </c>
      <c r="E1282" s="18">
        <v>62</v>
      </c>
      <c r="F1282" t="s">
        <v>381</v>
      </c>
      <c r="G1282" s="18" t="s">
        <v>13</v>
      </c>
      <c r="H1282" s="18" t="s">
        <v>14</v>
      </c>
      <c r="I1282" s="18">
        <v>36900</v>
      </c>
      <c r="J1282" s="18">
        <v>5</v>
      </c>
      <c r="K1282" s="19">
        <f t="shared" ref="K1282:K1345" si="60">I1282*J1282</f>
        <v>184500</v>
      </c>
      <c r="L1282" s="20">
        <v>45534</v>
      </c>
      <c r="M1282" s="18" t="str">
        <f t="shared" ref="M1282:M1345" si="61">TEXT(L1282, "dddd")</f>
        <v>Friday</v>
      </c>
      <c r="N1282" s="18" t="str">
        <f t="shared" ref="N1282:N1345" si="62">IF(OR(WEEKDAY(L1282, 2)=5, WEEKDAY(L1282, 2)=6), "Weekend", "Weekday")</f>
        <v>Weekend</v>
      </c>
      <c r="Q1282" s="18"/>
      <c r="R1282" s="18"/>
      <c r="S1282" s="21"/>
      <c r="T1282"/>
      <c r="U1282" s="6"/>
      <c r="W1282" s="7"/>
      <c r="Z1282" s="4"/>
    </row>
    <row r="1283" spans="1:26" x14ac:dyDescent="0.3">
      <c r="A1283" t="s">
        <v>1654</v>
      </c>
      <c r="B1283" s="22" t="s">
        <v>273</v>
      </c>
      <c r="C1283" s="24" t="s">
        <v>366</v>
      </c>
      <c r="D1283" s="24" t="s">
        <v>322</v>
      </c>
      <c r="E1283" s="24">
        <v>65</v>
      </c>
      <c r="F1283" t="s">
        <v>373</v>
      </c>
      <c r="G1283" s="24" t="s">
        <v>32</v>
      </c>
      <c r="H1283" s="24" t="s">
        <v>18</v>
      </c>
      <c r="I1283" s="24">
        <v>3690</v>
      </c>
      <c r="J1283" s="24">
        <v>4</v>
      </c>
      <c r="K1283" s="25">
        <f t="shared" si="60"/>
        <v>14760</v>
      </c>
      <c r="L1283" s="26">
        <v>45583</v>
      </c>
      <c r="M1283" s="24" t="str">
        <f t="shared" si="61"/>
        <v>Friday</v>
      </c>
      <c r="N1283" s="24" t="str">
        <f t="shared" si="62"/>
        <v>Weekend</v>
      </c>
      <c r="Q1283" s="24"/>
      <c r="R1283" s="24"/>
      <c r="S1283" s="27"/>
      <c r="T1283"/>
      <c r="U1283" s="6"/>
      <c r="W1283" s="7"/>
      <c r="Z1283" s="4"/>
    </row>
    <row r="1284" spans="1:26" x14ac:dyDescent="0.3">
      <c r="A1284" t="s">
        <v>1655</v>
      </c>
      <c r="B1284" s="16" t="s">
        <v>236</v>
      </c>
      <c r="C1284" s="18" t="s">
        <v>20</v>
      </c>
      <c r="D1284" s="18" t="s">
        <v>329</v>
      </c>
      <c r="E1284" s="18">
        <v>18</v>
      </c>
      <c r="F1284" t="s">
        <v>370</v>
      </c>
      <c r="G1284" s="18" t="s">
        <v>13</v>
      </c>
      <c r="H1284" s="18" t="s">
        <v>14</v>
      </c>
      <c r="I1284" s="18">
        <v>36900</v>
      </c>
      <c r="J1284" s="18">
        <v>1</v>
      </c>
      <c r="K1284" s="19">
        <f t="shared" si="60"/>
        <v>36900</v>
      </c>
      <c r="L1284" s="20">
        <v>45614</v>
      </c>
      <c r="M1284" s="18" t="str">
        <f t="shared" si="61"/>
        <v>Monday</v>
      </c>
      <c r="N1284" s="18" t="str">
        <f t="shared" si="62"/>
        <v>Weekday</v>
      </c>
      <c r="Q1284" s="18"/>
      <c r="R1284" s="18"/>
      <c r="S1284" s="21"/>
      <c r="T1284"/>
      <c r="U1284" s="6"/>
      <c r="W1284" s="7"/>
      <c r="Z1284" s="4"/>
    </row>
    <row r="1285" spans="1:26" x14ac:dyDescent="0.3">
      <c r="A1285" t="s">
        <v>1656</v>
      </c>
      <c r="B1285" s="22" t="s">
        <v>172</v>
      </c>
      <c r="C1285" s="24" t="s">
        <v>20</v>
      </c>
      <c r="D1285" s="24" t="s">
        <v>327</v>
      </c>
      <c r="E1285" s="24">
        <v>57</v>
      </c>
      <c r="F1285" t="s">
        <v>381</v>
      </c>
      <c r="G1285" s="24" t="s">
        <v>13</v>
      </c>
      <c r="H1285" s="24" t="s">
        <v>14</v>
      </c>
      <c r="I1285" s="24">
        <v>36900</v>
      </c>
      <c r="J1285" s="24">
        <v>5</v>
      </c>
      <c r="K1285" s="25">
        <f t="shared" si="60"/>
        <v>184500</v>
      </c>
      <c r="L1285" s="26">
        <v>45365</v>
      </c>
      <c r="M1285" s="24" t="str">
        <f t="shared" si="61"/>
        <v>Thursday</v>
      </c>
      <c r="N1285" s="24" t="str">
        <f t="shared" si="62"/>
        <v>Weekday</v>
      </c>
      <c r="Q1285" s="24"/>
      <c r="R1285" s="24"/>
      <c r="S1285" s="27"/>
      <c r="T1285"/>
      <c r="U1285" s="6"/>
      <c r="W1285" s="7"/>
      <c r="Z1285" s="4"/>
    </row>
    <row r="1286" spans="1:26" x14ac:dyDescent="0.3">
      <c r="A1286" t="s">
        <v>1657</v>
      </c>
      <c r="B1286" s="16" t="s">
        <v>117</v>
      </c>
      <c r="C1286" s="18" t="s">
        <v>20</v>
      </c>
      <c r="D1286" s="18" t="s">
        <v>322</v>
      </c>
      <c r="E1286" s="18">
        <v>22</v>
      </c>
      <c r="F1286" t="s">
        <v>381</v>
      </c>
      <c r="G1286" s="18" t="s">
        <v>13</v>
      </c>
      <c r="H1286" s="18" t="s">
        <v>14</v>
      </c>
      <c r="I1286" s="18">
        <v>36900</v>
      </c>
      <c r="J1286" s="18">
        <v>1</v>
      </c>
      <c r="K1286" s="19">
        <f t="shared" si="60"/>
        <v>36900</v>
      </c>
      <c r="L1286" s="20">
        <v>45542</v>
      </c>
      <c r="M1286" s="18" t="str">
        <f t="shared" si="61"/>
        <v>Saturday</v>
      </c>
      <c r="N1286" s="18" t="str">
        <f t="shared" si="62"/>
        <v>Weekend</v>
      </c>
      <c r="Q1286" s="18"/>
      <c r="R1286" s="18"/>
      <c r="S1286" s="21"/>
      <c r="T1286"/>
      <c r="U1286" s="6"/>
      <c r="W1286" s="7"/>
      <c r="Z1286" s="4"/>
    </row>
    <row r="1287" spans="1:26" x14ac:dyDescent="0.3">
      <c r="A1287" t="s">
        <v>1658</v>
      </c>
      <c r="B1287" s="22" t="s">
        <v>217</v>
      </c>
      <c r="C1287" s="24" t="s">
        <v>11</v>
      </c>
      <c r="D1287" s="24" t="s">
        <v>324</v>
      </c>
      <c r="E1287" s="24">
        <v>62</v>
      </c>
      <c r="F1287" t="s">
        <v>375</v>
      </c>
      <c r="G1287" s="24" t="s">
        <v>26</v>
      </c>
      <c r="H1287" s="24" t="s">
        <v>27</v>
      </c>
      <c r="I1287" s="24">
        <v>24600</v>
      </c>
      <c r="J1287" s="24">
        <v>4</v>
      </c>
      <c r="K1287" s="25">
        <f t="shared" si="60"/>
        <v>98400</v>
      </c>
      <c r="L1287" s="26">
        <v>45543</v>
      </c>
      <c r="M1287" s="24" t="str">
        <f t="shared" si="61"/>
        <v>Sunday</v>
      </c>
      <c r="N1287" s="24" t="str">
        <f t="shared" si="62"/>
        <v>Weekday</v>
      </c>
      <c r="Q1287" s="24"/>
      <c r="R1287" s="24"/>
      <c r="S1287" s="27"/>
      <c r="T1287"/>
      <c r="U1287" s="6"/>
      <c r="W1287" s="7"/>
      <c r="Z1287" s="4"/>
    </row>
    <row r="1288" spans="1:26" x14ac:dyDescent="0.3">
      <c r="A1288" t="s">
        <v>1659</v>
      </c>
      <c r="B1288" s="16" t="s">
        <v>179</v>
      </c>
      <c r="C1288" s="18" t="s">
        <v>11</v>
      </c>
      <c r="D1288" s="18" t="s">
        <v>322</v>
      </c>
      <c r="E1288" s="18">
        <v>29</v>
      </c>
      <c r="F1288" t="s">
        <v>373</v>
      </c>
      <c r="G1288" s="18" t="s">
        <v>32</v>
      </c>
      <c r="H1288" s="18" t="s">
        <v>18</v>
      </c>
      <c r="I1288" s="18">
        <v>3690</v>
      </c>
      <c r="J1288" s="18">
        <v>1</v>
      </c>
      <c r="K1288" s="19">
        <f t="shared" si="60"/>
        <v>3690</v>
      </c>
      <c r="L1288" s="20">
        <v>45529</v>
      </c>
      <c r="M1288" s="18" t="str">
        <f t="shared" si="61"/>
        <v>Sunday</v>
      </c>
      <c r="N1288" s="18" t="str">
        <f t="shared" si="62"/>
        <v>Weekday</v>
      </c>
      <c r="Q1288" s="18"/>
      <c r="R1288" s="18"/>
      <c r="S1288" s="21"/>
      <c r="T1288"/>
      <c r="U1288" s="6"/>
      <c r="W1288" s="7"/>
      <c r="Z1288" s="4"/>
    </row>
    <row r="1289" spans="1:26" x14ac:dyDescent="0.3">
      <c r="A1289" t="s">
        <v>1660</v>
      </c>
      <c r="B1289" s="22" t="s">
        <v>41</v>
      </c>
      <c r="C1289" s="24" t="s">
        <v>11</v>
      </c>
      <c r="D1289" s="24" t="s">
        <v>326</v>
      </c>
      <c r="E1289" s="24">
        <v>30</v>
      </c>
      <c r="F1289" t="s">
        <v>375</v>
      </c>
      <c r="G1289" s="24" t="s">
        <v>13</v>
      </c>
      <c r="H1289" s="24" t="s">
        <v>14</v>
      </c>
      <c r="I1289" s="24">
        <v>36900</v>
      </c>
      <c r="J1289" s="24">
        <v>4</v>
      </c>
      <c r="K1289" s="25">
        <f t="shared" si="60"/>
        <v>147600</v>
      </c>
      <c r="L1289" s="26">
        <v>45520</v>
      </c>
      <c r="M1289" s="24" t="str">
        <f t="shared" si="61"/>
        <v>Friday</v>
      </c>
      <c r="N1289" s="24" t="str">
        <f t="shared" si="62"/>
        <v>Weekend</v>
      </c>
      <c r="Q1289" s="24"/>
      <c r="R1289" s="24"/>
      <c r="S1289" s="27"/>
      <c r="T1289"/>
      <c r="U1289" s="6"/>
      <c r="W1289" s="7"/>
      <c r="Z1289" s="4"/>
    </row>
    <row r="1290" spans="1:26" x14ac:dyDescent="0.3">
      <c r="A1290" t="s">
        <v>1661</v>
      </c>
      <c r="B1290" s="16" t="s">
        <v>54</v>
      </c>
      <c r="C1290" s="18" t="s">
        <v>11</v>
      </c>
      <c r="D1290" s="18" t="s">
        <v>322</v>
      </c>
      <c r="E1290" s="18">
        <v>57</v>
      </c>
      <c r="F1290" t="s">
        <v>373</v>
      </c>
      <c r="G1290" s="18" t="s">
        <v>32</v>
      </c>
      <c r="H1290" s="18" t="s">
        <v>18</v>
      </c>
      <c r="I1290" s="18">
        <v>3690</v>
      </c>
      <c r="J1290" s="18">
        <v>1</v>
      </c>
      <c r="K1290" s="19">
        <f t="shared" si="60"/>
        <v>3690</v>
      </c>
      <c r="L1290" s="20">
        <v>45642</v>
      </c>
      <c r="M1290" s="18" t="str">
        <f t="shared" si="61"/>
        <v>Monday</v>
      </c>
      <c r="N1290" s="18" t="str">
        <f t="shared" si="62"/>
        <v>Weekday</v>
      </c>
      <c r="Q1290" s="18"/>
      <c r="R1290" s="18"/>
      <c r="S1290" s="21"/>
      <c r="T1290"/>
      <c r="U1290" s="6"/>
      <c r="W1290" s="7"/>
      <c r="Z1290" s="4"/>
    </row>
    <row r="1291" spans="1:26" x14ac:dyDescent="0.3">
      <c r="A1291" t="s">
        <v>1662</v>
      </c>
      <c r="B1291" s="22" t="s">
        <v>248</v>
      </c>
      <c r="C1291" s="24" t="s">
        <v>366</v>
      </c>
      <c r="D1291" s="24" t="s">
        <v>322</v>
      </c>
      <c r="E1291" s="24">
        <v>54</v>
      </c>
      <c r="F1291" t="s">
        <v>375</v>
      </c>
      <c r="G1291" s="24" t="s">
        <v>32</v>
      </c>
      <c r="H1291" s="24" t="s">
        <v>18</v>
      </c>
      <c r="I1291" s="24">
        <v>3690</v>
      </c>
      <c r="J1291" s="24">
        <v>3</v>
      </c>
      <c r="K1291" s="25">
        <f t="shared" si="60"/>
        <v>11070</v>
      </c>
      <c r="L1291" s="26">
        <v>45625</v>
      </c>
      <c r="M1291" s="24" t="str">
        <f t="shared" si="61"/>
        <v>Friday</v>
      </c>
      <c r="N1291" s="24" t="str">
        <f t="shared" si="62"/>
        <v>Weekend</v>
      </c>
      <c r="Q1291" s="24"/>
      <c r="R1291" s="24"/>
      <c r="S1291" s="27"/>
      <c r="T1291"/>
      <c r="U1291" s="6"/>
      <c r="W1291" s="7"/>
      <c r="Z1291" s="4"/>
    </row>
    <row r="1292" spans="1:26" x14ac:dyDescent="0.3">
      <c r="A1292" t="s">
        <v>1663</v>
      </c>
      <c r="B1292" s="16" t="s">
        <v>296</v>
      </c>
      <c r="C1292" s="18" t="s">
        <v>20</v>
      </c>
      <c r="D1292" s="18" t="s">
        <v>322</v>
      </c>
      <c r="E1292" s="18">
        <v>49</v>
      </c>
      <c r="F1292" t="s">
        <v>381</v>
      </c>
      <c r="G1292" s="18" t="s">
        <v>13</v>
      </c>
      <c r="H1292" s="18" t="s">
        <v>14</v>
      </c>
      <c r="I1292" s="18">
        <v>36900</v>
      </c>
      <c r="J1292" s="18">
        <v>2</v>
      </c>
      <c r="K1292" s="19">
        <f t="shared" si="60"/>
        <v>73800</v>
      </c>
      <c r="L1292" s="20">
        <v>45320</v>
      </c>
      <c r="M1292" s="18" t="str">
        <f t="shared" si="61"/>
        <v>Monday</v>
      </c>
      <c r="N1292" s="18" t="str">
        <f t="shared" si="62"/>
        <v>Weekday</v>
      </c>
      <c r="Q1292" s="18"/>
      <c r="R1292" s="18"/>
      <c r="S1292" s="21"/>
      <c r="T1292"/>
      <c r="U1292" s="6"/>
      <c r="W1292" s="7"/>
      <c r="Z1292" s="4"/>
    </row>
    <row r="1293" spans="1:26" x14ac:dyDescent="0.3">
      <c r="A1293" t="s">
        <v>1664</v>
      </c>
      <c r="B1293" s="22" t="s">
        <v>316</v>
      </c>
      <c r="C1293" s="24" t="s">
        <v>20</v>
      </c>
      <c r="D1293" s="24" t="s">
        <v>322</v>
      </c>
      <c r="E1293" s="24">
        <v>54</v>
      </c>
      <c r="F1293" t="s">
        <v>381</v>
      </c>
      <c r="G1293" s="24" t="s">
        <v>26</v>
      </c>
      <c r="H1293" s="24" t="s">
        <v>27</v>
      </c>
      <c r="I1293" s="24">
        <v>24600</v>
      </c>
      <c r="J1293" s="24">
        <v>3</v>
      </c>
      <c r="K1293" s="25">
        <f t="shared" si="60"/>
        <v>73800</v>
      </c>
      <c r="L1293" s="26">
        <v>45587</v>
      </c>
      <c r="M1293" s="24" t="str">
        <f t="shared" si="61"/>
        <v>Tuesday</v>
      </c>
      <c r="N1293" s="24" t="str">
        <f t="shared" si="62"/>
        <v>Weekday</v>
      </c>
      <c r="Q1293" s="24"/>
      <c r="R1293" s="24"/>
      <c r="S1293" s="27"/>
      <c r="T1293"/>
      <c r="U1293" s="6"/>
      <c r="W1293" s="7"/>
      <c r="Z1293" s="4"/>
    </row>
    <row r="1294" spans="1:26" x14ac:dyDescent="0.3">
      <c r="A1294" t="s">
        <v>1665</v>
      </c>
      <c r="B1294" s="16" t="s">
        <v>169</v>
      </c>
      <c r="C1294" s="18" t="s">
        <v>366</v>
      </c>
      <c r="D1294" s="18" t="s">
        <v>328</v>
      </c>
      <c r="E1294" s="18">
        <v>64</v>
      </c>
      <c r="F1294" t="s">
        <v>370</v>
      </c>
      <c r="G1294" s="18" t="s">
        <v>31</v>
      </c>
      <c r="H1294" s="18" t="s">
        <v>18</v>
      </c>
      <c r="I1294" s="18">
        <v>6150</v>
      </c>
      <c r="J1294" s="18">
        <v>5</v>
      </c>
      <c r="K1294" s="19">
        <f t="shared" si="60"/>
        <v>30750</v>
      </c>
      <c r="L1294" s="20">
        <v>45412</v>
      </c>
      <c r="M1294" s="18" t="str">
        <f t="shared" si="61"/>
        <v>Tuesday</v>
      </c>
      <c r="N1294" s="18" t="str">
        <f t="shared" si="62"/>
        <v>Weekday</v>
      </c>
      <c r="Q1294" s="18"/>
      <c r="R1294" s="18"/>
      <c r="S1294" s="21"/>
      <c r="T1294"/>
      <c r="U1294" s="6"/>
      <c r="W1294" s="7"/>
      <c r="Z1294" s="4"/>
    </row>
    <row r="1295" spans="1:26" x14ac:dyDescent="0.3">
      <c r="A1295" t="s">
        <v>1666</v>
      </c>
      <c r="B1295" s="22" t="s">
        <v>187</v>
      </c>
      <c r="C1295" s="24" t="s">
        <v>11</v>
      </c>
      <c r="D1295" s="24" t="s">
        <v>324</v>
      </c>
      <c r="E1295" s="24">
        <v>68</v>
      </c>
      <c r="F1295" t="s">
        <v>381</v>
      </c>
      <c r="G1295" s="24" t="s">
        <v>13</v>
      </c>
      <c r="H1295" s="24" t="s">
        <v>14</v>
      </c>
      <c r="I1295" s="24">
        <v>36900</v>
      </c>
      <c r="J1295" s="24">
        <v>2</v>
      </c>
      <c r="K1295" s="25">
        <f t="shared" si="60"/>
        <v>73800</v>
      </c>
      <c r="L1295" s="26">
        <v>45500</v>
      </c>
      <c r="M1295" s="24" t="str">
        <f t="shared" si="61"/>
        <v>Saturday</v>
      </c>
      <c r="N1295" s="24" t="str">
        <f t="shared" si="62"/>
        <v>Weekend</v>
      </c>
      <c r="Q1295" s="24"/>
      <c r="R1295" s="24"/>
      <c r="S1295" s="27"/>
      <c r="T1295"/>
      <c r="U1295" s="6"/>
      <c r="W1295" s="7"/>
      <c r="Z1295" s="4"/>
    </row>
    <row r="1296" spans="1:26" x14ac:dyDescent="0.3">
      <c r="A1296" t="s">
        <v>1667</v>
      </c>
      <c r="B1296" s="16" t="s">
        <v>229</v>
      </c>
      <c r="C1296" s="18" t="s">
        <v>11</v>
      </c>
      <c r="D1296" s="18" t="s">
        <v>324</v>
      </c>
      <c r="E1296" s="18">
        <v>66</v>
      </c>
      <c r="F1296" t="s">
        <v>381</v>
      </c>
      <c r="G1296" s="18" t="s">
        <v>13</v>
      </c>
      <c r="H1296" s="18" t="s">
        <v>14</v>
      </c>
      <c r="I1296" s="18">
        <v>36900</v>
      </c>
      <c r="J1296" s="18">
        <v>3</v>
      </c>
      <c r="K1296" s="19">
        <f t="shared" si="60"/>
        <v>110700</v>
      </c>
      <c r="L1296" s="20">
        <v>45401</v>
      </c>
      <c r="M1296" s="18" t="str">
        <f t="shared" si="61"/>
        <v>Friday</v>
      </c>
      <c r="N1296" s="18" t="str">
        <f t="shared" si="62"/>
        <v>Weekend</v>
      </c>
      <c r="Q1296" s="18"/>
      <c r="R1296" s="18"/>
      <c r="S1296" s="21"/>
      <c r="T1296"/>
      <c r="U1296" s="6"/>
      <c r="W1296" s="7"/>
      <c r="Z1296" s="4"/>
    </row>
    <row r="1297" spans="1:26" x14ac:dyDescent="0.3">
      <c r="A1297" t="s">
        <v>1668</v>
      </c>
      <c r="B1297" s="22" t="s">
        <v>225</v>
      </c>
      <c r="C1297" s="24" t="s">
        <v>11</v>
      </c>
      <c r="D1297" s="24" t="s">
        <v>322</v>
      </c>
      <c r="E1297" s="24">
        <v>20</v>
      </c>
      <c r="F1297" t="s">
        <v>381</v>
      </c>
      <c r="G1297" s="24" t="s">
        <v>32</v>
      </c>
      <c r="H1297" s="24" t="s">
        <v>18</v>
      </c>
      <c r="I1297" s="24">
        <v>3690</v>
      </c>
      <c r="J1297" s="24">
        <v>5</v>
      </c>
      <c r="K1297" s="25">
        <f t="shared" si="60"/>
        <v>18450</v>
      </c>
      <c r="L1297" s="26">
        <v>45315</v>
      </c>
      <c r="M1297" s="24" t="str">
        <f t="shared" si="61"/>
        <v>Wednesday</v>
      </c>
      <c r="N1297" s="24" t="str">
        <f t="shared" si="62"/>
        <v>Weekday</v>
      </c>
      <c r="Q1297" s="24"/>
      <c r="R1297" s="24"/>
      <c r="S1297" s="27"/>
      <c r="T1297"/>
      <c r="U1297" s="6"/>
      <c r="W1297" s="7"/>
      <c r="Z1297" s="4"/>
    </row>
    <row r="1298" spans="1:26" x14ac:dyDescent="0.3">
      <c r="A1298" t="s">
        <v>1669</v>
      </c>
      <c r="B1298" s="16" t="s">
        <v>97</v>
      </c>
      <c r="C1298" s="18" t="s">
        <v>20</v>
      </c>
      <c r="D1298" s="18" t="s">
        <v>322</v>
      </c>
      <c r="E1298" s="18">
        <v>33</v>
      </c>
      <c r="F1298" t="s">
        <v>381</v>
      </c>
      <c r="G1298" s="18" t="s">
        <v>42</v>
      </c>
      <c r="H1298" s="18" t="s">
        <v>14</v>
      </c>
      <c r="I1298" s="18">
        <v>98400</v>
      </c>
      <c r="J1298" s="18">
        <v>1</v>
      </c>
      <c r="K1298" s="19">
        <f t="shared" si="60"/>
        <v>98400</v>
      </c>
      <c r="L1298" s="20">
        <v>45445</v>
      </c>
      <c r="M1298" s="18" t="str">
        <f t="shared" si="61"/>
        <v>Sunday</v>
      </c>
      <c r="N1298" s="18" t="str">
        <f t="shared" si="62"/>
        <v>Weekday</v>
      </c>
      <c r="Q1298" s="18"/>
      <c r="R1298" s="18"/>
      <c r="S1298" s="21"/>
      <c r="T1298"/>
      <c r="U1298" s="6"/>
      <c r="W1298" s="7"/>
      <c r="Z1298" s="4"/>
    </row>
    <row r="1299" spans="1:26" x14ac:dyDescent="0.3">
      <c r="A1299" t="s">
        <v>1670</v>
      </c>
      <c r="B1299" s="22" t="s">
        <v>76</v>
      </c>
      <c r="C1299" s="24" t="s">
        <v>366</v>
      </c>
      <c r="D1299" s="24" t="s">
        <v>322</v>
      </c>
      <c r="E1299" s="24">
        <v>46</v>
      </c>
      <c r="F1299" t="s">
        <v>370</v>
      </c>
      <c r="G1299" s="24" t="s">
        <v>26</v>
      </c>
      <c r="H1299" s="24" t="s">
        <v>27</v>
      </c>
      <c r="I1299" s="24">
        <v>24600</v>
      </c>
      <c r="J1299" s="24">
        <v>2</v>
      </c>
      <c r="K1299" s="25">
        <f t="shared" si="60"/>
        <v>49200</v>
      </c>
      <c r="L1299" s="26">
        <v>45371</v>
      </c>
      <c r="M1299" s="24" t="str">
        <f t="shared" si="61"/>
        <v>Wednesday</v>
      </c>
      <c r="N1299" s="24" t="str">
        <f t="shared" si="62"/>
        <v>Weekday</v>
      </c>
      <c r="Q1299" s="24"/>
      <c r="R1299" s="24"/>
      <c r="S1299" s="27"/>
      <c r="T1299"/>
      <c r="U1299" s="6"/>
      <c r="W1299" s="7"/>
      <c r="Z1299" s="4"/>
    </row>
    <row r="1300" spans="1:26" x14ac:dyDescent="0.3">
      <c r="A1300" t="s">
        <v>1671</v>
      </c>
      <c r="B1300" s="16" t="s">
        <v>229</v>
      </c>
      <c r="C1300" s="18" t="s">
        <v>11</v>
      </c>
      <c r="D1300" s="18" t="s">
        <v>324</v>
      </c>
      <c r="E1300" s="18">
        <v>66</v>
      </c>
      <c r="F1300" t="s">
        <v>373</v>
      </c>
      <c r="G1300" s="18" t="s">
        <v>42</v>
      </c>
      <c r="H1300" s="18" t="s">
        <v>14</v>
      </c>
      <c r="I1300" s="18">
        <v>98400</v>
      </c>
      <c r="J1300" s="18">
        <v>3</v>
      </c>
      <c r="K1300" s="19">
        <f t="shared" si="60"/>
        <v>295200</v>
      </c>
      <c r="L1300" s="20">
        <v>45438</v>
      </c>
      <c r="M1300" s="18" t="str">
        <f t="shared" si="61"/>
        <v>Sunday</v>
      </c>
      <c r="N1300" s="18" t="str">
        <f t="shared" si="62"/>
        <v>Weekday</v>
      </c>
      <c r="Q1300" s="18"/>
      <c r="R1300" s="18"/>
      <c r="S1300" s="21"/>
      <c r="T1300"/>
      <c r="U1300" s="6"/>
      <c r="W1300" s="7"/>
      <c r="Z1300" s="4"/>
    </row>
    <row r="1301" spans="1:26" x14ac:dyDescent="0.3">
      <c r="A1301" t="s">
        <v>1672</v>
      </c>
      <c r="B1301" s="22" t="s">
        <v>256</v>
      </c>
      <c r="C1301" s="24" t="s">
        <v>11</v>
      </c>
      <c r="D1301" s="24" t="s">
        <v>322</v>
      </c>
      <c r="E1301" s="24">
        <v>69</v>
      </c>
      <c r="F1301" t="s">
        <v>370</v>
      </c>
      <c r="G1301" s="24" t="s">
        <v>26</v>
      </c>
      <c r="H1301" s="24" t="s">
        <v>27</v>
      </c>
      <c r="I1301" s="24">
        <v>24600</v>
      </c>
      <c r="J1301" s="24">
        <v>2</v>
      </c>
      <c r="K1301" s="25">
        <f t="shared" si="60"/>
        <v>49200</v>
      </c>
      <c r="L1301" s="26">
        <v>45305</v>
      </c>
      <c r="M1301" s="24" t="str">
        <f t="shared" si="61"/>
        <v>Sunday</v>
      </c>
      <c r="N1301" s="24" t="str">
        <f t="shared" si="62"/>
        <v>Weekday</v>
      </c>
      <c r="Q1301" s="24"/>
      <c r="R1301" s="24"/>
      <c r="S1301" s="27"/>
      <c r="T1301"/>
      <c r="U1301" s="6"/>
      <c r="W1301" s="7"/>
      <c r="Z1301" s="4"/>
    </row>
    <row r="1302" spans="1:26" x14ac:dyDescent="0.3">
      <c r="A1302" t="s">
        <v>1673</v>
      </c>
      <c r="B1302" s="16" t="s">
        <v>121</v>
      </c>
      <c r="C1302" s="18" t="s">
        <v>20</v>
      </c>
      <c r="D1302" s="18" t="s">
        <v>327</v>
      </c>
      <c r="E1302" s="18">
        <v>18</v>
      </c>
      <c r="F1302" t="s">
        <v>370</v>
      </c>
      <c r="G1302" s="18" t="s">
        <v>32</v>
      </c>
      <c r="H1302" s="18" t="s">
        <v>18</v>
      </c>
      <c r="I1302" s="18">
        <v>3690</v>
      </c>
      <c r="J1302" s="18">
        <v>5</v>
      </c>
      <c r="K1302" s="19">
        <f t="shared" si="60"/>
        <v>18450</v>
      </c>
      <c r="L1302" s="20">
        <v>45498</v>
      </c>
      <c r="M1302" s="18" t="str">
        <f t="shared" si="61"/>
        <v>Thursday</v>
      </c>
      <c r="N1302" s="18" t="str">
        <f t="shared" si="62"/>
        <v>Weekday</v>
      </c>
      <c r="Q1302" s="18"/>
      <c r="R1302" s="18"/>
      <c r="S1302" s="21"/>
      <c r="T1302"/>
      <c r="U1302" s="6"/>
      <c r="W1302" s="7"/>
      <c r="Z1302" s="4"/>
    </row>
    <row r="1303" spans="1:26" x14ac:dyDescent="0.3">
      <c r="A1303" t="s">
        <v>1674</v>
      </c>
      <c r="B1303" s="22" t="s">
        <v>177</v>
      </c>
      <c r="C1303" s="24" t="s">
        <v>11</v>
      </c>
      <c r="D1303" s="24" t="s">
        <v>324</v>
      </c>
      <c r="E1303" s="24">
        <v>58</v>
      </c>
      <c r="F1303" t="s">
        <v>375</v>
      </c>
      <c r="G1303" s="24" t="s">
        <v>42</v>
      </c>
      <c r="H1303" s="24" t="s">
        <v>14</v>
      </c>
      <c r="I1303" s="24">
        <v>98400</v>
      </c>
      <c r="J1303" s="24">
        <v>2</v>
      </c>
      <c r="K1303" s="25">
        <f t="shared" si="60"/>
        <v>196800</v>
      </c>
      <c r="L1303" s="26">
        <v>45360</v>
      </c>
      <c r="M1303" s="24" t="str">
        <f t="shared" si="61"/>
        <v>Saturday</v>
      </c>
      <c r="N1303" s="24" t="str">
        <f t="shared" si="62"/>
        <v>Weekend</v>
      </c>
      <c r="Q1303" s="24"/>
      <c r="R1303" s="24"/>
      <c r="S1303" s="27"/>
      <c r="T1303"/>
      <c r="U1303" s="6"/>
      <c r="W1303" s="7"/>
      <c r="Z1303" s="4"/>
    </row>
    <row r="1304" spans="1:26" x14ac:dyDescent="0.3">
      <c r="A1304" t="s">
        <v>1675</v>
      </c>
      <c r="B1304" s="16" t="s">
        <v>104</v>
      </c>
      <c r="C1304" s="18" t="s">
        <v>366</v>
      </c>
      <c r="D1304" s="18" t="s">
        <v>326</v>
      </c>
      <c r="E1304" s="18">
        <v>30</v>
      </c>
      <c r="F1304" t="s">
        <v>373</v>
      </c>
      <c r="G1304" s="18" t="s">
        <v>26</v>
      </c>
      <c r="H1304" s="18" t="s">
        <v>27</v>
      </c>
      <c r="I1304" s="18">
        <v>24600</v>
      </c>
      <c r="J1304" s="18">
        <v>2</v>
      </c>
      <c r="K1304" s="19">
        <f t="shared" si="60"/>
        <v>49200</v>
      </c>
      <c r="L1304" s="20">
        <v>45424</v>
      </c>
      <c r="M1304" s="18" t="str">
        <f t="shared" si="61"/>
        <v>Sunday</v>
      </c>
      <c r="N1304" s="18" t="str">
        <f t="shared" si="62"/>
        <v>Weekday</v>
      </c>
      <c r="Q1304" s="18"/>
      <c r="R1304" s="18"/>
      <c r="S1304" s="21"/>
      <c r="T1304"/>
      <c r="U1304" s="6"/>
      <c r="W1304" s="7"/>
      <c r="Z1304" s="4"/>
    </row>
    <row r="1305" spans="1:26" x14ac:dyDescent="0.3">
      <c r="A1305" t="s">
        <v>1676</v>
      </c>
      <c r="B1305" s="22" t="s">
        <v>80</v>
      </c>
      <c r="C1305" s="24" t="s">
        <v>366</v>
      </c>
      <c r="D1305" s="24" t="s">
        <v>325</v>
      </c>
      <c r="E1305" s="24">
        <v>67</v>
      </c>
      <c r="F1305" t="s">
        <v>375</v>
      </c>
      <c r="G1305" s="24" t="s">
        <v>13</v>
      </c>
      <c r="H1305" s="24" t="s">
        <v>14</v>
      </c>
      <c r="I1305" s="24">
        <v>36900</v>
      </c>
      <c r="J1305" s="24">
        <v>1</v>
      </c>
      <c r="K1305" s="25">
        <f t="shared" si="60"/>
        <v>36900</v>
      </c>
      <c r="L1305" s="26">
        <v>45638</v>
      </c>
      <c r="M1305" s="24" t="str">
        <f t="shared" si="61"/>
        <v>Thursday</v>
      </c>
      <c r="N1305" s="24" t="str">
        <f t="shared" si="62"/>
        <v>Weekday</v>
      </c>
      <c r="Q1305" s="24"/>
      <c r="R1305" s="24"/>
      <c r="S1305" s="27"/>
      <c r="T1305"/>
      <c r="U1305" s="6"/>
      <c r="W1305" s="7"/>
      <c r="Z1305" s="4"/>
    </row>
    <row r="1306" spans="1:26" x14ac:dyDescent="0.3">
      <c r="A1306" t="s">
        <v>1677</v>
      </c>
      <c r="B1306" s="16" t="s">
        <v>164</v>
      </c>
      <c r="C1306" s="18" t="s">
        <v>11</v>
      </c>
      <c r="D1306" s="18" t="s">
        <v>327</v>
      </c>
      <c r="E1306" s="18">
        <v>62</v>
      </c>
      <c r="F1306" t="s">
        <v>370</v>
      </c>
      <c r="G1306" s="18" t="s">
        <v>13</v>
      </c>
      <c r="H1306" s="18" t="s">
        <v>14</v>
      </c>
      <c r="I1306" s="18">
        <v>36900</v>
      </c>
      <c r="J1306" s="18">
        <v>2</v>
      </c>
      <c r="K1306" s="19">
        <f t="shared" si="60"/>
        <v>73800</v>
      </c>
      <c r="L1306" s="20">
        <v>45397</v>
      </c>
      <c r="M1306" s="18" t="str">
        <f t="shared" si="61"/>
        <v>Monday</v>
      </c>
      <c r="N1306" s="18" t="str">
        <f t="shared" si="62"/>
        <v>Weekday</v>
      </c>
      <c r="Q1306" s="18"/>
      <c r="R1306" s="18"/>
      <c r="S1306" s="21"/>
      <c r="T1306"/>
      <c r="U1306" s="6"/>
      <c r="W1306" s="7"/>
      <c r="Z1306" s="4"/>
    </row>
    <row r="1307" spans="1:26" x14ac:dyDescent="0.3">
      <c r="A1307" t="s">
        <v>1678</v>
      </c>
      <c r="B1307" s="22" t="s">
        <v>311</v>
      </c>
      <c r="C1307" s="24" t="s">
        <v>11</v>
      </c>
      <c r="D1307" s="24" t="s">
        <v>322</v>
      </c>
      <c r="E1307" s="24">
        <v>21</v>
      </c>
      <c r="F1307" t="s">
        <v>381</v>
      </c>
      <c r="G1307" s="24" t="s">
        <v>31</v>
      </c>
      <c r="H1307" s="24" t="s">
        <v>18</v>
      </c>
      <c r="I1307" s="24">
        <v>6150</v>
      </c>
      <c r="J1307" s="24">
        <v>5</v>
      </c>
      <c r="K1307" s="25">
        <f t="shared" si="60"/>
        <v>30750</v>
      </c>
      <c r="L1307" s="26">
        <v>45446</v>
      </c>
      <c r="M1307" s="24" t="str">
        <f t="shared" si="61"/>
        <v>Monday</v>
      </c>
      <c r="N1307" s="24" t="str">
        <f t="shared" si="62"/>
        <v>Weekday</v>
      </c>
      <c r="Q1307" s="24"/>
      <c r="R1307" s="24"/>
      <c r="S1307" s="27"/>
      <c r="T1307"/>
      <c r="U1307" s="6"/>
      <c r="W1307" s="7"/>
      <c r="Z1307" s="4"/>
    </row>
    <row r="1308" spans="1:26" x14ac:dyDescent="0.3">
      <c r="A1308" t="s">
        <v>1679</v>
      </c>
      <c r="B1308" s="16" t="s">
        <v>207</v>
      </c>
      <c r="C1308" s="18" t="s">
        <v>20</v>
      </c>
      <c r="D1308" s="18" t="s">
        <v>329</v>
      </c>
      <c r="E1308" s="18">
        <v>52</v>
      </c>
      <c r="F1308" t="s">
        <v>373</v>
      </c>
      <c r="G1308" s="18" t="s">
        <v>31</v>
      </c>
      <c r="H1308" s="18" t="s">
        <v>18</v>
      </c>
      <c r="I1308" s="18">
        <v>6150</v>
      </c>
      <c r="J1308" s="18">
        <v>1</v>
      </c>
      <c r="K1308" s="19">
        <f t="shared" si="60"/>
        <v>6150</v>
      </c>
      <c r="L1308" s="20">
        <v>45410</v>
      </c>
      <c r="M1308" s="18" t="str">
        <f t="shared" si="61"/>
        <v>Sunday</v>
      </c>
      <c r="N1308" s="18" t="str">
        <f t="shared" si="62"/>
        <v>Weekday</v>
      </c>
      <c r="Q1308" s="18"/>
      <c r="R1308" s="18"/>
      <c r="S1308" s="21"/>
      <c r="T1308"/>
      <c r="U1308" s="6"/>
      <c r="W1308" s="7"/>
      <c r="Z1308" s="4"/>
    </row>
    <row r="1309" spans="1:26" x14ac:dyDescent="0.3">
      <c r="A1309" t="s">
        <v>1680</v>
      </c>
      <c r="B1309" s="22" t="s">
        <v>223</v>
      </c>
      <c r="C1309" s="24" t="s">
        <v>366</v>
      </c>
      <c r="D1309" s="24" t="s">
        <v>326</v>
      </c>
      <c r="E1309" s="24">
        <v>37</v>
      </c>
      <c r="F1309" t="s">
        <v>381</v>
      </c>
      <c r="G1309" s="24" t="s">
        <v>13</v>
      </c>
      <c r="H1309" s="24" t="s">
        <v>14</v>
      </c>
      <c r="I1309" s="24">
        <v>36900</v>
      </c>
      <c r="J1309" s="24">
        <v>3</v>
      </c>
      <c r="K1309" s="25">
        <f t="shared" si="60"/>
        <v>110700</v>
      </c>
      <c r="L1309" s="26">
        <v>45385</v>
      </c>
      <c r="M1309" s="24" t="str">
        <f t="shared" si="61"/>
        <v>Wednesday</v>
      </c>
      <c r="N1309" s="24" t="str">
        <f t="shared" si="62"/>
        <v>Weekday</v>
      </c>
      <c r="Q1309" s="24"/>
      <c r="R1309" s="24"/>
      <c r="S1309" s="27"/>
      <c r="T1309"/>
      <c r="U1309" s="6"/>
      <c r="W1309" s="7"/>
      <c r="Z1309" s="4"/>
    </row>
    <row r="1310" spans="1:26" x14ac:dyDescent="0.3">
      <c r="A1310" t="s">
        <v>1681</v>
      </c>
      <c r="B1310" s="16" t="s">
        <v>312</v>
      </c>
      <c r="C1310" s="18" t="s">
        <v>20</v>
      </c>
      <c r="D1310" s="18" t="s">
        <v>323</v>
      </c>
      <c r="E1310" s="18">
        <v>29</v>
      </c>
      <c r="F1310" t="s">
        <v>370</v>
      </c>
      <c r="G1310" s="18" t="s">
        <v>17</v>
      </c>
      <c r="H1310" s="18" t="s">
        <v>18</v>
      </c>
      <c r="I1310" s="18">
        <v>12300</v>
      </c>
      <c r="J1310" s="18">
        <v>5</v>
      </c>
      <c r="K1310" s="19">
        <f t="shared" si="60"/>
        <v>61500</v>
      </c>
      <c r="L1310" s="20">
        <v>45395</v>
      </c>
      <c r="M1310" s="18" t="str">
        <f t="shared" si="61"/>
        <v>Saturday</v>
      </c>
      <c r="N1310" s="18" t="str">
        <f t="shared" si="62"/>
        <v>Weekend</v>
      </c>
      <c r="Q1310" s="18"/>
      <c r="R1310" s="18"/>
      <c r="S1310" s="21"/>
      <c r="T1310"/>
      <c r="U1310" s="6"/>
      <c r="W1310" s="7"/>
      <c r="Z1310" s="4"/>
    </row>
    <row r="1311" spans="1:26" x14ac:dyDescent="0.3">
      <c r="A1311" t="s">
        <v>1682</v>
      </c>
      <c r="B1311" s="22" t="s">
        <v>112</v>
      </c>
      <c r="C1311" s="24" t="s">
        <v>366</v>
      </c>
      <c r="D1311" s="24" t="s">
        <v>325</v>
      </c>
      <c r="E1311" s="24">
        <v>38</v>
      </c>
      <c r="F1311" t="s">
        <v>370</v>
      </c>
      <c r="G1311" s="24" t="s">
        <v>17</v>
      </c>
      <c r="H1311" s="24" t="s">
        <v>18</v>
      </c>
      <c r="I1311" s="24">
        <v>12300</v>
      </c>
      <c r="J1311" s="24">
        <v>3</v>
      </c>
      <c r="K1311" s="25">
        <f t="shared" si="60"/>
        <v>36900</v>
      </c>
      <c r="L1311" s="26">
        <v>45631</v>
      </c>
      <c r="M1311" s="24" t="str">
        <f t="shared" si="61"/>
        <v>Thursday</v>
      </c>
      <c r="N1311" s="24" t="str">
        <f t="shared" si="62"/>
        <v>Weekday</v>
      </c>
      <c r="Q1311" s="24"/>
      <c r="R1311" s="24"/>
      <c r="S1311" s="27"/>
      <c r="T1311"/>
      <c r="U1311" s="6"/>
      <c r="W1311" s="7"/>
      <c r="Z1311" s="4"/>
    </row>
    <row r="1312" spans="1:26" x14ac:dyDescent="0.3">
      <c r="A1312" t="s">
        <v>1683</v>
      </c>
      <c r="B1312" s="16" t="s">
        <v>58</v>
      </c>
      <c r="C1312" s="18" t="s">
        <v>366</v>
      </c>
      <c r="D1312" s="18" t="s">
        <v>322</v>
      </c>
      <c r="E1312" s="18">
        <v>35</v>
      </c>
      <c r="F1312" t="s">
        <v>370</v>
      </c>
      <c r="G1312" s="18" t="s">
        <v>17</v>
      </c>
      <c r="H1312" s="18" t="s">
        <v>18</v>
      </c>
      <c r="I1312" s="18">
        <v>12300</v>
      </c>
      <c r="J1312" s="18">
        <v>4</v>
      </c>
      <c r="K1312" s="19">
        <f t="shared" si="60"/>
        <v>49200</v>
      </c>
      <c r="L1312" s="20">
        <v>45520</v>
      </c>
      <c r="M1312" s="18" t="str">
        <f t="shared" si="61"/>
        <v>Friday</v>
      </c>
      <c r="N1312" s="18" t="str">
        <f t="shared" si="62"/>
        <v>Weekend</v>
      </c>
      <c r="Q1312" s="18"/>
      <c r="R1312" s="18"/>
      <c r="S1312" s="21"/>
      <c r="T1312"/>
      <c r="U1312" s="6"/>
      <c r="W1312" s="7"/>
      <c r="Z1312" s="4"/>
    </row>
    <row r="1313" spans="1:26" x14ac:dyDescent="0.3">
      <c r="A1313" t="s">
        <v>1684</v>
      </c>
      <c r="B1313" s="22" t="s">
        <v>65</v>
      </c>
      <c r="C1313" s="24" t="s">
        <v>11</v>
      </c>
      <c r="D1313" s="24" t="s">
        <v>326</v>
      </c>
      <c r="E1313" s="24">
        <v>61</v>
      </c>
      <c r="F1313" t="s">
        <v>373</v>
      </c>
      <c r="G1313" s="24" t="s">
        <v>24</v>
      </c>
      <c r="H1313" s="24" t="s">
        <v>14</v>
      </c>
      <c r="I1313" s="24">
        <v>184500</v>
      </c>
      <c r="J1313" s="24">
        <v>3</v>
      </c>
      <c r="K1313" s="25">
        <f t="shared" si="60"/>
        <v>553500</v>
      </c>
      <c r="L1313" s="26">
        <v>45647</v>
      </c>
      <c r="M1313" s="24" t="str">
        <f t="shared" si="61"/>
        <v>Saturday</v>
      </c>
      <c r="N1313" s="24" t="str">
        <f t="shared" si="62"/>
        <v>Weekend</v>
      </c>
      <c r="Q1313" s="24"/>
      <c r="R1313" s="24"/>
      <c r="S1313" s="27"/>
      <c r="T1313"/>
      <c r="U1313" s="6"/>
      <c r="W1313" s="7"/>
      <c r="Z1313" s="4"/>
    </row>
    <row r="1314" spans="1:26" x14ac:dyDescent="0.3">
      <c r="A1314" t="s">
        <v>1685</v>
      </c>
      <c r="B1314" s="16" t="s">
        <v>279</v>
      </c>
      <c r="C1314" s="18" t="s">
        <v>20</v>
      </c>
      <c r="D1314" s="18" t="s">
        <v>323</v>
      </c>
      <c r="E1314" s="18">
        <v>29</v>
      </c>
      <c r="F1314" t="s">
        <v>375</v>
      </c>
      <c r="G1314" s="18" t="s">
        <v>31</v>
      </c>
      <c r="H1314" s="18" t="s">
        <v>18</v>
      </c>
      <c r="I1314" s="18">
        <v>6150</v>
      </c>
      <c r="J1314" s="18">
        <v>5</v>
      </c>
      <c r="K1314" s="19">
        <f t="shared" si="60"/>
        <v>30750</v>
      </c>
      <c r="L1314" s="20">
        <v>45356</v>
      </c>
      <c r="M1314" s="18" t="str">
        <f t="shared" si="61"/>
        <v>Tuesday</v>
      </c>
      <c r="N1314" s="18" t="str">
        <f t="shared" si="62"/>
        <v>Weekday</v>
      </c>
      <c r="Q1314" s="18"/>
      <c r="R1314" s="18"/>
      <c r="S1314" s="21"/>
      <c r="T1314"/>
      <c r="U1314" s="6"/>
      <c r="W1314" s="7"/>
      <c r="Z1314" s="4"/>
    </row>
    <row r="1315" spans="1:26" x14ac:dyDescent="0.3">
      <c r="A1315" t="s">
        <v>1686</v>
      </c>
      <c r="B1315" s="22" t="s">
        <v>181</v>
      </c>
      <c r="C1315" s="24" t="s">
        <v>20</v>
      </c>
      <c r="D1315" s="24" t="s">
        <v>325</v>
      </c>
      <c r="E1315" s="24">
        <v>61</v>
      </c>
      <c r="F1315" t="s">
        <v>375</v>
      </c>
      <c r="G1315" s="24" t="s">
        <v>13</v>
      </c>
      <c r="H1315" s="24" t="s">
        <v>14</v>
      </c>
      <c r="I1315" s="24">
        <v>36900</v>
      </c>
      <c r="J1315" s="24">
        <v>4</v>
      </c>
      <c r="K1315" s="25">
        <f t="shared" si="60"/>
        <v>147600</v>
      </c>
      <c r="L1315" s="26">
        <v>45517</v>
      </c>
      <c r="M1315" s="24" t="str">
        <f t="shared" si="61"/>
        <v>Tuesday</v>
      </c>
      <c r="N1315" s="24" t="str">
        <f t="shared" si="62"/>
        <v>Weekday</v>
      </c>
      <c r="Q1315" s="24"/>
      <c r="R1315" s="24"/>
      <c r="S1315" s="27"/>
      <c r="T1315"/>
      <c r="U1315" s="6"/>
      <c r="W1315" s="7"/>
      <c r="Z1315" s="4"/>
    </row>
    <row r="1316" spans="1:26" x14ac:dyDescent="0.3">
      <c r="A1316" t="s">
        <v>1687</v>
      </c>
      <c r="B1316" s="16" t="s">
        <v>194</v>
      </c>
      <c r="C1316" s="18" t="s">
        <v>11</v>
      </c>
      <c r="D1316" s="18" t="s">
        <v>323</v>
      </c>
      <c r="E1316" s="18">
        <v>28</v>
      </c>
      <c r="F1316" t="s">
        <v>381</v>
      </c>
      <c r="G1316" s="18" t="s">
        <v>26</v>
      </c>
      <c r="H1316" s="18" t="s">
        <v>27</v>
      </c>
      <c r="I1316" s="18">
        <v>24600</v>
      </c>
      <c r="J1316" s="18">
        <v>3</v>
      </c>
      <c r="K1316" s="19">
        <f t="shared" si="60"/>
        <v>73800</v>
      </c>
      <c r="L1316" s="20">
        <v>45555</v>
      </c>
      <c r="M1316" s="18" t="str">
        <f t="shared" si="61"/>
        <v>Friday</v>
      </c>
      <c r="N1316" s="18" t="str">
        <f t="shared" si="62"/>
        <v>Weekend</v>
      </c>
      <c r="Q1316" s="18"/>
      <c r="R1316" s="18"/>
      <c r="S1316" s="21"/>
      <c r="T1316"/>
      <c r="U1316" s="6"/>
      <c r="W1316" s="7"/>
      <c r="Z1316" s="4"/>
    </row>
    <row r="1317" spans="1:26" x14ac:dyDescent="0.3">
      <c r="A1317" t="s">
        <v>1688</v>
      </c>
      <c r="B1317" s="22" t="s">
        <v>95</v>
      </c>
      <c r="C1317" s="24" t="s">
        <v>11</v>
      </c>
      <c r="D1317" s="24" t="s">
        <v>322</v>
      </c>
      <c r="E1317" s="24">
        <v>47</v>
      </c>
      <c r="F1317" t="s">
        <v>373</v>
      </c>
      <c r="G1317" s="24" t="s">
        <v>24</v>
      </c>
      <c r="H1317" s="24" t="s">
        <v>14</v>
      </c>
      <c r="I1317" s="24">
        <v>184500</v>
      </c>
      <c r="J1317" s="24">
        <v>3</v>
      </c>
      <c r="K1317" s="25">
        <f t="shared" si="60"/>
        <v>553500</v>
      </c>
      <c r="L1317" s="26">
        <v>45633</v>
      </c>
      <c r="M1317" s="24" t="str">
        <f t="shared" si="61"/>
        <v>Saturday</v>
      </c>
      <c r="N1317" s="24" t="str">
        <f t="shared" si="62"/>
        <v>Weekend</v>
      </c>
      <c r="Q1317" s="24"/>
      <c r="R1317" s="24"/>
      <c r="S1317" s="27"/>
      <c r="T1317"/>
      <c r="U1317" s="6"/>
      <c r="W1317" s="7"/>
      <c r="Z1317" s="4"/>
    </row>
    <row r="1318" spans="1:26" x14ac:dyDescent="0.3">
      <c r="A1318" t="s">
        <v>1689</v>
      </c>
      <c r="B1318" s="16" t="s">
        <v>271</v>
      </c>
      <c r="C1318" s="18" t="s">
        <v>20</v>
      </c>
      <c r="D1318" s="18" t="s">
        <v>322</v>
      </c>
      <c r="E1318" s="18">
        <v>48</v>
      </c>
      <c r="F1318" t="s">
        <v>381</v>
      </c>
      <c r="G1318" s="18" t="s">
        <v>24</v>
      </c>
      <c r="H1318" s="18" t="s">
        <v>14</v>
      </c>
      <c r="I1318" s="18">
        <v>184500</v>
      </c>
      <c r="J1318" s="18">
        <v>2</v>
      </c>
      <c r="K1318" s="19">
        <f t="shared" si="60"/>
        <v>369000</v>
      </c>
      <c r="L1318" s="20">
        <v>45453</v>
      </c>
      <c r="M1318" s="18" t="str">
        <f t="shared" si="61"/>
        <v>Monday</v>
      </c>
      <c r="N1318" s="18" t="str">
        <f t="shared" si="62"/>
        <v>Weekday</v>
      </c>
      <c r="Q1318" s="18"/>
      <c r="R1318" s="18"/>
      <c r="S1318" s="21"/>
      <c r="T1318"/>
      <c r="U1318" s="6"/>
      <c r="W1318" s="7"/>
      <c r="Z1318" s="4"/>
    </row>
    <row r="1319" spans="1:26" x14ac:dyDescent="0.3">
      <c r="A1319" t="s">
        <v>1690</v>
      </c>
      <c r="B1319" s="22" t="s">
        <v>277</v>
      </c>
      <c r="C1319" s="24" t="s">
        <v>11</v>
      </c>
      <c r="D1319" s="24" t="s">
        <v>325</v>
      </c>
      <c r="E1319" s="24">
        <v>34</v>
      </c>
      <c r="F1319" t="s">
        <v>381</v>
      </c>
      <c r="G1319" s="24" t="s">
        <v>31</v>
      </c>
      <c r="H1319" s="24" t="s">
        <v>18</v>
      </c>
      <c r="I1319" s="24">
        <v>6150</v>
      </c>
      <c r="J1319" s="24">
        <v>2</v>
      </c>
      <c r="K1319" s="25">
        <f t="shared" si="60"/>
        <v>12300</v>
      </c>
      <c r="L1319" s="26">
        <v>45318</v>
      </c>
      <c r="M1319" s="24" t="str">
        <f t="shared" si="61"/>
        <v>Saturday</v>
      </c>
      <c r="N1319" s="24" t="str">
        <f t="shared" si="62"/>
        <v>Weekend</v>
      </c>
      <c r="Q1319" s="24"/>
      <c r="R1319" s="24"/>
      <c r="S1319" s="27"/>
      <c r="T1319"/>
      <c r="U1319" s="6"/>
      <c r="W1319" s="7"/>
      <c r="Z1319" s="4"/>
    </row>
    <row r="1320" spans="1:26" x14ac:dyDescent="0.3">
      <c r="A1320" t="s">
        <v>1691</v>
      </c>
      <c r="B1320" s="16" t="s">
        <v>227</v>
      </c>
      <c r="C1320" s="18" t="s">
        <v>20</v>
      </c>
      <c r="D1320" s="18" t="s">
        <v>325</v>
      </c>
      <c r="E1320" s="18">
        <v>19</v>
      </c>
      <c r="F1320" t="s">
        <v>375</v>
      </c>
      <c r="G1320" s="18" t="s">
        <v>24</v>
      </c>
      <c r="H1320" s="18" t="s">
        <v>14</v>
      </c>
      <c r="I1320" s="18">
        <v>184500</v>
      </c>
      <c r="J1320" s="18">
        <v>1</v>
      </c>
      <c r="K1320" s="19">
        <f t="shared" si="60"/>
        <v>184500</v>
      </c>
      <c r="L1320" s="20">
        <v>45401</v>
      </c>
      <c r="M1320" s="18" t="str">
        <f t="shared" si="61"/>
        <v>Friday</v>
      </c>
      <c r="N1320" s="18" t="str">
        <f t="shared" si="62"/>
        <v>Weekend</v>
      </c>
      <c r="Q1320" s="18"/>
      <c r="R1320" s="18"/>
      <c r="S1320" s="21"/>
      <c r="T1320"/>
      <c r="U1320" s="6"/>
      <c r="W1320" s="7"/>
      <c r="Z1320" s="4"/>
    </row>
    <row r="1321" spans="1:26" x14ac:dyDescent="0.3">
      <c r="A1321" t="s">
        <v>1692</v>
      </c>
      <c r="B1321" s="22" t="s">
        <v>305</v>
      </c>
      <c r="C1321" s="24" t="s">
        <v>11</v>
      </c>
      <c r="D1321" s="24" t="s">
        <v>322</v>
      </c>
      <c r="E1321" s="24">
        <v>61</v>
      </c>
      <c r="F1321" t="s">
        <v>373</v>
      </c>
      <c r="G1321" s="24" t="s">
        <v>17</v>
      </c>
      <c r="H1321" s="24" t="s">
        <v>18</v>
      </c>
      <c r="I1321" s="24">
        <v>12300</v>
      </c>
      <c r="J1321" s="24">
        <v>5</v>
      </c>
      <c r="K1321" s="25">
        <f t="shared" si="60"/>
        <v>61500</v>
      </c>
      <c r="L1321" s="26">
        <v>45366</v>
      </c>
      <c r="M1321" s="24" t="str">
        <f t="shared" si="61"/>
        <v>Friday</v>
      </c>
      <c r="N1321" s="24" t="str">
        <f t="shared" si="62"/>
        <v>Weekend</v>
      </c>
      <c r="Q1321" s="24"/>
      <c r="R1321" s="24"/>
      <c r="S1321" s="27"/>
      <c r="T1321"/>
      <c r="U1321" s="6"/>
      <c r="W1321" s="7"/>
      <c r="Z1321" s="4"/>
    </row>
    <row r="1322" spans="1:26" x14ac:dyDescent="0.3">
      <c r="A1322" t="s">
        <v>1693</v>
      </c>
      <c r="B1322" s="16" t="s">
        <v>133</v>
      </c>
      <c r="C1322" s="18" t="s">
        <v>20</v>
      </c>
      <c r="D1322" s="18" t="s">
        <v>322</v>
      </c>
      <c r="E1322" s="18">
        <v>30</v>
      </c>
      <c r="F1322" t="s">
        <v>370</v>
      </c>
      <c r="G1322" s="18" t="s">
        <v>26</v>
      </c>
      <c r="H1322" s="18" t="s">
        <v>27</v>
      </c>
      <c r="I1322" s="18">
        <v>24600</v>
      </c>
      <c r="J1322" s="18">
        <v>3</v>
      </c>
      <c r="K1322" s="19">
        <f t="shared" si="60"/>
        <v>73800</v>
      </c>
      <c r="L1322" s="20">
        <v>45500</v>
      </c>
      <c r="M1322" s="18" t="str">
        <f t="shared" si="61"/>
        <v>Saturday</v>
      </c>
      <c r="N1322" s="18" t="str">
        <f t="shared" si="62"/>
        <v>Weekend</v>
      </c>
      <c r="Q1322" s="18"/>
      <c r="R1322" s="18"/>
      <c r="S1322" s="21"/>
      <c r="T1322"/>
      <c r="U1322" s="6"/>
      <c r="W1322" s="7"/>
      <c r="Z1322" s="4"/>
    </row>
    <row r="1323" spans="1:26" x14ac:dyDescent="0.3">
      <c r="A1323" t="s">
        <v>1694</v>
      </c>
      <c r="B1323" s="22" t="s">
        <v>235</v>
      </c>
      <c r="C1323" s="24" t="s">
        <v>20</v>
      </c>
      <c r="D1323" s="24" t="s">
        <v>326</v>
      </c>
      <c r="E1323" s="24">
        <v>38</v>
      </c>
      <c r="F1323" t="s">
        <v>381</v>
      </c>
      <c r="G1323" s="24" t="s">
        <v>32</v>
      </c>
      <c r="H1323" s="24" t="s">
        <v>18</v>
      </c>
      <c r="I1323" s="24">
        <v>3690</v>
      </c>
      <c r="J1323" s="24">
        <v>4</v>
      </c>
      <c r="K1323" s="25">
        <f t="shared" si="60"/>
        <v>14760</v>
      </c>
      <c r="L1323" s="26">
        <v>45604</v>
      </c>
      <c r="M1323" s="24" t="str">
        <f t="shared" si="61"/>
        <v>Friday</v>
      </c>
      <c r="N1323" s="24" t="str">
        <f t="shared" si="62"/>
        <v>Weekend</v>
      </c>
      <c r="Q1323" s="24"/>
      <c r="R1323" s="24"/>
      <c r="S1323" s="27"/>
      <c r="T1323"/>
      <c r="U1323" s="6"/>
      <c r="W1323" s="7"/>
      <c r="Z1323" s="4"/>
    </row>
    <row r="1324" spans="1:26" x14ac:dyDescent="0.3">
      <c r="A1324" t="s">
        <v>1695</v>
      </c>
      <c r="B1324" s="16" t="s">
        <v>155</v>
      </c>
      <c r="C1324" s="18" t="s">
        <v>11</v>
      </c>
      <c r="D1324" s="18" t="s">
        <v>328</v>
      </c>
      <c r="E1324" s="18">
        <v>43</v>
      </c>
      <c r="F1324" t="s">
        <v>370</v>
      </c>
      <c r="G1324" s="18" t="s">
        <v>32</v>
      </c>
      <c r="H1324" s="18" t="s">
        <v>18</v>
      </c>
      <c r="I1324" s="18">
        <v>3690</v>
      </c>
      <c r="J1324" s="18">
        <v>2</v>
      </c>
      <c r="K1324" s="19">
        <f t="shared" si="60"/>
        <v>7380</v>
      </c>
      <c r="L1324" s="20">
        <v>45294</v>
      </c>
      <c r="M1324" s="18" t="str">
        <f t="shared" si="61"/>
        <v>Wednesday</v>
      </c>
      <c r="N1324" s="18" t="str">
        <f t="shared" si="62"/>
        <v>Weekday</v>
      </c>
      <c r="Q1324" s="18"/>
      <c r="R1324" s="18"/>
      <c r="S1324" s="21"/>
      <c r="T1324"/>
      <c r="U1324" s="6"/>
      <c r="W1324" s="7"/>
      <c r="Z1324" s="4"/>
    </row>
    <row r="1325" spans="1:26" x14ac:dyDescent="0.3">
      <c r="A1325" t="s">
        <v>1696</v>
      </c>
      <c r="B1325" s="22" t="s">
        <v>255</v>
      </c>
      <c r="C1325" s="24" t="s">
        <v>20</v>
      </c>
      <c r="D1325" s="24" t="s">
        <v>322</v>
      </c>
      <c r="E1325" s="24">
        <v>56</v>
      </c>
      <c r="F1325" t="s">
        <v>373</v>
      </c>
      <c r="G1325" s="24" t="s">
        <v>31</v>
      </c>
      <c r="H1325" s="24" t="s">
        <v>18</v>
      </c>
      <c r="I1325" s="24">
        <v>6150</v>
      </c>
      <c r="J1325" s="24">
        <v>4</v>
      </c>
      <c r="K1325" s="25">
        <f t="shared" si="60"/>
        <v>24600</v>
      </c>
      <c r="L1325" s="26">
        <v>45429</v>
      </c>
      <c r="M1325" s="24" t="str">
        <f t="shared" si="61"/>
        <v>Friday</v>
      </c>
      <c r="N1325" s="24" t="str">
        <f t="shared" si="62"/>
        <v>Weekend</v>
      </c>
      <c r="Q1325" s="24"/>
      <c r="R1325" s="24"/>
      <c r="S1325" s="27"/>
      <c r="T1325"/>
      <c r="U1325" s="6"/>
      <c r="W1325" s="7"/>
      <c r="Z1325" s="4"/>
    </row>
    <row r="1326" spans="1:26" x14ac:dyDescent="0.3">
      <c r="A1326" t="s">
        <v>1697</v>
      </c>
      <c r="B1326" s="16" t="s">
        <v>240</v>
      </c>
      <c r="C1326" s="18" t="s">
        <v>20</v>
      </c>
      <c r="D1326" s="18" t="s">
        <v>323</v>
      </c>
      <c r="E1326" s="18">
        <v>58</v>
      </c>
      <c r="F1326" t="s">
        <v>381</v>
      </c>
      <c r="G1326" s="18" t="s">
        <v>31</v>
      </c>
      <c r="H1326" s="18" t="s">
        <v>18</v>
      </c>
      <c r="I1326" s="18">
        <v>6150</v>
      </c>
      <c r="J1326" s="18">
        <v>1</v>
      </c>
      <c r="K1326" s="19">
        <f t="shared" si="60"/>
        <v>6150</v>
      </c>
      <c r="L1326" s="20">
        <v>45466</v>
      </c>
      <c r="M1326" s="18" t="str">
        <f t="shared" si="61"/>
        <v>Sunday</v>
      </c>
      <c r="N1326" s="18" t="str">
        <f t="shared" si="62"/>
        <v>Weekday</v>
      </c>
      <c r="Q1326" s="18"/>
      <c r="R1326" s="18"/>
      <c r="S1326" s="21"/>
      <c r="T1326"/>
      <c r="U1326" s="6"/>
      <c r="W1326" s="7"/>
      <c r="Z1326" s="4"/>
    </row>
    <row r="1327" spans="1:26" x14ac:dyDescent="0.3">
      <c r="A1327" t="s">
        <v>1698</v>
      </c>
      <c r="B1327" s="22" t="s">
        <v>300</v>
      </c>
      <c r="C1327" s="24" t="s">
        <v>20</v>
      </c>
      <c r="D1327" s="24" t="s">
        <v>324</v>
      </c>
      <c r="E1327" s="24">
        <v>35</v>
      </c>
      <c r="F1327" t="s">
        <v>370</v>
      </c>
      <c r="G1327" s="24" t="s">
        <v>31</v>
      </c>
      <c r="H1327" s="24" t="s">
        <v>18</v>
      </c>
      <c r="I1327" s="24">
        <v>6150</v>
      </c>
      <c r="J1327" s="24">
        <v>1</v>
      </c>
      <c r="K1327" s="25">
        <f t="shared" si="60"/>
        <v>6150</v>
      </c>
      <c r="L1327" s="26">
        <v>45404</v>
      </c>
      <c r="M1327" s="24" t="str">
        <f t="shared" si="61"/>
        <v>Monday</v>
      </c>
      <c r="N1327" s="24" t="str">
        <f t="shared" si="62"/>
        <v>Weekday</v>
      </c>
      <c r="Q1327" s="24"/>
      <c r="R1327" s="24"/>
      <c r="S1327" s="27"/>
      <c r="T1327"/>
      <c r="U1327" s="6"/>
      <c r="W1327" s="7"/>
      <c r="Z1327" s="4"/>
    </row>
    <row r="1328" spans="1:26" x14ac:dyDescent="0.3">
      <c r="A1328" t="s">
        <v>1699</v>
      </c>
      <c r="B1328" s="16" t="s">
        <v>207</v>
      </c>
      <c r="C1328" s="18" t="s">
        <v>20</v>
      </c>
      <c r="D1328" s="18" t="s">
        <v>329</v>
      </c>
      <c r="E1328" s="18">
        <v>52</v>
      </c>
      <c r="F1328" t="s">
        <v>370</v>
      </c>
      <c r="G1328" s="18" t="s">
        <v>17</v>
      </c>
      <c r="H1328" s="18" t="s">
        <v>18</v>
      </c>
      <c r="I1328" s="18">
        <v>12300</v>
      </c>
      <c r="J1328" s="18">
        <v>5</v>
      </c>
      <c r="K1328" s="19">
        <f t="shared" si="60"/>
        <v>61500</v>
      </c>
      <c r="L1328" s="20">
        <v>45587</v>
      </c>
      <c r="M1328" s="18" t="str">
        <f t="shared" si="61"/>
        <v>Tuesday</v>
      </c>
      <c r="N1328" s="18" t="str">
        <f t="shared" si="62"/>
        <v>Weekday</v>
      </c>
      <c r="Q1328" s="18"/>
      <c r="R1328" s="18"/>
      <c r="S1328" s="21"/>
      <c r="T1328"/>
      <c r="U1328" s="6"/>
      <c r="W1328" s="7"/>
      <c r="Z1328" s="4"/>
    </row>
    <row r="1329" spans="1:26" x14ac:dyDescent="0.3">
      <c r="A1329" t="s">
        <v>1700</v>
      </c>
      <c r="B1329" s="22" t="s">
        <v>230</v>
      </c>
      <c r="C1329" s="24" t="s">
        <v>11</v>
      </c>
      <c r="D1329" s="24" t="s">
        <v>328</v>
      </c>
      <c r="E1329" s="24">
        <v>22</v>
      </c>
      <c r="F1329" t="s">
        <v>375</v>
      </c>
      <c r="G1329" s="24" t="s">
        <v>42</v>
      </c>
      <c r="H1329" s="24" t="s">
        <v>14</v>
      </c>
      <c r="I1329" s="24">
        <v>98400</v>
      </c>
      <c r="J1329" s="24">
        <v>3</v>
      </c>
      <c r="K1329" s="25">
        <f t="shared" si="60"/>
        <v>295200</v>
      </c>
      <c r="L1329" s="26">
        <v>45600</v>
      </c>
      <c r="M1329" s="24" t="str">
        <f t="shared" si="61"/>
        <v>Monday</v>
      </c>
      <c r="N1329" s="24" t="str">
        <f t="shared" si="62"/>
        <v>Weekday</v>
      </c>
      <c r="Q1329" s="24"/>
      <c r="R1329" s="24"/>
      <c r="S1329" s="27"/>
      <c r="T1329"/>
      <c r="U1329" s="6"/>
      <c r="W1329" s="7"/>
      <c r="Z1329" s="4"/>
    </row>
    <row r="1330" spans="1:26" x14ac:dyDescent="0.3">
      <c r="A1330" t="s">
        <v>1701</v>
      </c>
      <c r="B1330" s="16" t="s">
        <v>25</v>
      </c>
      <c r="C1330" s="18" t="s">
        <v>11</v>
      </c>
      <c r="D1330" s="18" t="s">
        <v>323</v>
      </c>
      <c r="E1330" s="18">
        <v>64</v>
      </c>
      <c r="F1330" t="s">
        <v>373</v>
      </c>
      <c r="G1330" s="18" t="s">
        <v>13</v>
      </c>
      <c r="H1330" s="18" t="s">
        <v>14</v>
      </c>
      <c r="I1330" s="18">
        <v>36900</v>
      </c>
      <c r="J1330" s="18">
        <v>3</v>
      </c>
      <c r="K1330" s="19">
        <f t="shared" si="60"/>
        <v>110700</v>
      </c>
      <c r="L1330" s="20">
        <v>45613</v>
      </c>
      <c r="M1330" s="18" t="str">
        <f t="shared" si="61"/>
        <v>Sunday</v>
      </c>
      <c r="N1330" s="18" t="str">
        <f t="shared" si="62"/>
        <v>Weekday</v>
      </c>
      <c r="Q1330" s="18"/>
      <c r="R1330" s="18"/>
      <c r="S1330" s="21"/>
      <c r="T1330"/>
      <c r="U1330" s="6"/>
      <c r="W1330" s="7"/>
      <c r="Z1330" s="4"/>
    </row>
    <row r="1331" spans="1:26" x14ac:dyDescent="0.3">
      <c r="A1331" t="s">
        <v>1702</v>
      </c>
      <c r="B1331" s="22" t="s">
        <v>311</v>
      </c>
      <c r="C1331" s="24" t="s">
        <v>11</v>
      </c>
      <c r="D1331" s="24" t="s">
        <v>322</v>
      </c>
      <c r="E1331" s="24">
        <v>21</v>
      </c>
      <c r="F1331" t="s">
        <v>373</v>
      </c>
      <c r="G1331" s="24" t="s">
        <v>31</v>
      </c>
      <c r="H1331" s="24" t="s">
        <v>18</v>
      </c>
      <c r="I1331" s="24">
        <v>6150</v>
      </c>
      <c r="J1331" s="24">
        <v>5</v>
      </c>
      <c r="K1331" s="25">
        <f t="shared" si="60"/>
        <v>30750</v>
      </c>
      <c r="L1331" s="26">
        <v>45578</v>
      </c>
      <c r="M1331" s="24" t="str">
        <f t="shared" si="61"/>
        <v>Sunday</v>
      </c>
      <c r="N1331" s="24" t="str">
        <f t="shared" si="62"/>
        <v>Weekday</v>
      </c>
      <c r="Q1331" s="24"/>
      <c r="R1331" s="24"/>
      <c r="S1331" s="27"/>
      <c r="T1331"/>
      <c r="U1331" s="6"/>
      <c r="W1331" s="7"/>
      <c r="Z1331" s="4"/>
    </row>
    <row r="1332" spans="1:26" x14ac:dyDescent="0.3">
      <c r="A1332" t="s">
        <v>1703</v>
      </c>
      <c r="B1332" s="16" t="s">
        <v>263</v>
      </c>
      <c r="C1332" s="18" t="s">
        <v>366</v>
      </c>
      <c r="D1332" s="18" t="s">
        <v>322</v>
      </c>
      <c r="E1332" s="18">
        <v>26</v>
      </c>
      <c r="F1332" t="s">
        <v>373</v>
      </c>
      <c r="G1332" s="18" t="s">
        <v>42</v>
      </c>
      <c r="H1332" s="18" t="s">
        <v>14</v>
      </c>
      <c r="I1332" s="18">
        <v>98400</v>
      </c>
      <c r="J1332" s="18">
        <v>5</v>
      </c>
      <c r="K1332" s="19">
        <f t="shared" si="60"/>
        <v>492000</v>
      </c>
      <c r="L1332" s="20">
        <v>45547</v>
      </c>
      <c r="M1332" s="18" t="str">
        <f t="shared" si="61"/>
        <v>Thursday</v>
      </c>
      <c r="N1332" s="18" t="str">
        <f t="shared" si="62"/>
        <v>Weekday</v>
      </c>
      <c r="Q1332" s="18"/>
      <c r="R1332" s="18"/>
      <c r="S1332" s="21"/>
      <c r="T1332"/>
      <c r="U1332" s="6"/>
      <c r="W1332" s="7"/>
      <c r="Z1332" s="4"/>
    </row>
    <row r="1333" spans="1:26" x14ac:dyDescent="0.3">
      <c r="A1333" t="s">
        <v>1704</v>
      </c>
      <c r="B1333" s="22" t="s">
        <v>37</v>
      </c>
      <c r="C1333" s="24" t="s">
        <v>11</v>
      </c>
      <c r="D1333" s="24" t="s">
        <v>323</v>
      </c>
      <c r="E1333" s="24">
        <v>60</v>
      </c>
      <c r="F1333" t="s">
        <v>381</v>
      </c>
      <c r="G1333" s="24" t="s">
        <v>26</v>
      </c>
      <c r="H1333" s="24" t="s">
        <v>27</v>
      </c>
      <c r="I1333" s="24">
        <v>24600</v>
      </c>
      <c r="J1333" s="24">
        <v>1</v>
      </c>
      <c r="K1333" s="25">
        <f t="shared" si="60"/>
        <v>24600</v>
      </c>
      <c r="L1333" s="26">
        <v>45416</v>
      </c>
      <c r="M1333" s="24" t="str">
        <f t="shared" si="61"/>
        <v>Saturday</v>
      </c>
      <c r="N1333" s="24" t="str">
        <f t="shared" si="62"/>
        <v>Weekend</v>
      </c>
      <c r="Q1333" s="24"/>
      <c r="R1333" s="24"/>
      <c r="S1333" s="27"/>
      <c r="T1333"/>
      <c r="U1333" s="6"/>
      <c r="W1333" s="7"/>
      <c r="Z1333" s="4"/>
    </row>
    <row r="1334" spans="1:26" x14ac:dyDescent="0.3">
      <c r="A1334" t="s">
        <v>1705</v>
      </c>
      <c r="B1334" s="16" t="s">
        <v>98</v>
      </c>
      <c r="C1334" s="18" t="s">
        <v>11</v>
      </c>
      <c r="D1334" s="18" t="s">
        <v>323</v>
      </c>
      <c r="E1334" s="18">
        <v>64</v>
      </c>
      <c r="F1334" t="s">
        <v>375</v>
      </c>
      <c r="G1334" s="18" t="s">
        <v>24</v>
      </c>
      <c r="H1334" s="18" t="s">
        <v>14</v>
      </c>
      <c r="I1334" s="18">
        <v>184500</v>
      </c>
      <c r="J1334" s="18">
        <v>3</v>
      </c>
      <c r="K1334" s="19">
        <f t="shared" si="60"/>
        <v>553500</v>
      </c>
      <c r="L1334" s="20">
        <v>45308</v>
      </c>
      <c r="M1334" s="18" t="str">
        <f t="shared" si="61"/>
        <v>Wednesday</v>
      </c>
      <c r="N1334" s="18" t="str">
        <f t="shared" si="62"/>
        <v>Weekday</v>
      </c>
      <c r="Q1334" s="18"/>
      <c r="R1334" s="18"/>
      <c r="S1334" s="21"/>
      <c r="T1334"/>
      <c r="U1334" s="6"/>
      <c r="W1334" s="7"/>
      <c r="Z1334" s="4"/>
    </row>
    <row r="1335" spans="1:26" x14ac:dyDescent="0.3">
      <c r="A1335" t="s">
        <v>1706</v>
      </c>
      <c r="B1335" s="22" t="s">
        <v>273</v>
      </c>
      <c r="C1335" s="24" t="s">
        <v>366</v>
      </c>
      <c r="D1335" s="24" t="s">
        <v>322</v>
      </c>
      <c r="E1335" s="24">
        <v>65</v>
      </c>
      <c r="F1335" t="s">
        <v>381</v>
      </c>
      <c r="G1335" s="24" t="s">
        <v>24</v>
      </c>
      <c r="H1335" s="24" t="s">
        <v>14</v>
      </c>
      <c r="I1335" s="24">
        <v>184500</v>
      </c>
      <c r="J1335" s="24">
        <v>4</v>
      </c>
      <c r="K1335" s="25">
        <f t="shared" si="60"/>
        <v>738000</v>
      </c>
      <c r="L1335" s="26">
        <v>45435</v>
      </c>
      <c r="M1335" s="24" t="str">
        <f t="shared" si="61"/>
        <v>Thursday</v>
      </c>
      <c r="N1335" s="24" t="str">
        <f t="shared" si="62"/>
        <v>Weekday</v>
      </c>
      <c r="Q1335" s="24"/>
      <c r="R1335" s="24"/>
      <c r="S1335" s="27"/>
      <c r="T1335"/>
      <c r="U1335" s="6"/>
      <c r="W1335" s="7"/>
      <c r="Z1335" s="4"/>
    </row>
    <row r="1336" spans="1:26" x14ac:dyDescent="0.3">
      <c r="A1336" t="s">
        <v>1707</v>
      </c>
      <c r="B1336" s="16" t="s">
        <v>257</v>
      </c>
      <c r="C1336" s="18" t="s">
        <v>11</v>
      </c>
      <c r="D1336" s="18" t="s">
        <v>325</v>
      </c>
      <c r="E1336" s="18">
        <v>39</v>
      </c>
      <c r="F1336" t="s">
        <v>373</v>
      </c>
      <c r="G1336" s="18" t="s">
        <v>24</v>
      </c>
      <c r="H1336" s="18" t="s">
        <v>14</v>
      </c>
      <c r="I1336" s="18">
        <v>184500</v>
      </c>
      <c r="J1336" s="18">
        <v>1</v>
      </c>
      <c r="K1336" s="19">
        <f t="shared" si="60"/>
        <v>184500</v>
      </c>
      <c r="L1336" s="20">
        <v>45539</v>
      </c>
      <c r="M1336" s="18" t="str">
        <f t="shared" si="61"/>
        <v>Wednesday</v>
      </c>
      <c r="N1336" s="18" t="str">
        <f t="shared" si="62"/>
        <v>Weekday</v>
      </c>
      <c r="Q1336" s="18"/>
      <c r="R1336" s="18"/>
      <c r="S1336" s="21"/>
      <c r="T1336"/>
      <c r="U1336" s="6"/>
      <c r="W1336" s="7"/>
      <c r="Z1336" s="4"/>
    </row>
    <row r="1337" spans="1:26" x14ac:dyDescent="0.3">
      <c r="A1337" t="s">
        <v>1708</v>
      </c>
      <c r="B1337" s="22" t="s">
        <v>36</v>
      </c>
      <c r="C1337" s="24" t="s">
        <v>366</v>
      </c>
      <c r="D1337" s="24" t="s">
        <v>324</v>
      </c>
      <c r="E1337" s="24">
        <v>41</v>
      </c>
      <c r="F1337" t="s">
        <v>381</v>
      </c>
      <c r="G1337" s="24" t="s">
        <v>42</v>
      </c>
      <c r="H1337" s="24" t="s">
        <v>14</v>
      </c>
      <c r="I1337" s="24">
        <v>98400</v>
      </c>
      <c r="J1337" s="24">
        <v>3</v>
      </c>
      <c r="K1337" s="25">
        <f t="shared" si="60"/>
        <v>295200</v>
      </c>
      <c r="L1337" s="26">
        <v>45591</v>
      </c>
      <c r="M1337" s="24" t="str">
        <f t="shared" si="61"/>
        <v>Saturday</v>
      </c>
      <c r="N1337" s="24" t="str">
        <f t="shared" si="62"/>
        <v>Weekend</v>
      </c>
      <c r="Q1337" s="24"/>
      <c r="R1337" s="24"/>
      <c r="S1337" s="27"/>
      <c r="T1337"/>
      <c r="U1337" s="6"/>
      <c r="W1337" s="7"/>
      <c r="Z1337" s="4"/>
    </row>
    <row r="1338" spans="1:26" x14ac:dyDescent="0.3">
      <c r="A1338" t="s">
        <v>1709</v>
      </c>
      <c r="B1338" s="16" t="s">
        <v>110</v>
      </c>
      <c r="C1338" s="18" t="s">
        <v>11</v>
      </c>
      <c r="D1338" s="18" t="s">
        <v>323</v>
      </c>
      <c r="E1338" s="18">
        <v>25</v>
      </c>
      <c r="F1338" t="s">
        <v>370</v>
      </c>
      <c r="G1338" s="18" t="s">
        <v>32</v>
      </c>
      <c r="H1338" s="18" t="s">
        <v>18</v>
      </c>
      <c r="I1338" s="18">
        <v>3690</v>
      </c>
      <c r="J1338" s="18">
        <v>2</v>
      </c>
      <c r="K1338" s="19">
        <f t="shared" si="60"/>
        <v>7380</v>
      </c>
      <c r="L1338" s="20">
        <v>45541</v>
      </c>
      <c r="M1338" s="18" t="str">
        <f t="shared" si="61"/>
        <v>Friday</v>
      </c>
      <c r="N1338" s="18" t="str">
        <f t="shared" si="62"/>
        <v>Weekend</v>
      </c>
      <c r="Q1338" s="18"/>
      <c r="R1338" s="18"/>
      <c r="S1338" s="21"/>
      <c r="T1338"/>
      <c r="U1338" s="6"/>
      <c r="W1338" s="7"/>
      <c r="Z1338" s="4"/>
    </row>
    <row r="1339" spans="1:26" x14ac:dyDescent="0.3">
      <c r="A1339" t="s">
        <v>1710</v>
      </c>
      <c r="B1339" s="22" t="s">
        <v>195</v>
      </c>
      <c r="C1339" s="24" t="s">
        <v>20</v>
      </c>
      <c r="D1339" s="24" t="s">
        <v>323</v>
      </c>
      <c r="E1339" s="24">
        <v>52</v>
      </c>
      <c r="F1339" t="s">
        <v>381</v>
      </c>
      <c r="G1339" s="24" t="s">
        <v>31</v>
      </c>
      <c r="H1339" s="24" t="s">
        <v>18</v>
      </c>
      <c r="I1339" s="24">
        <v>6150</v>
      </c>
      <c r="J1339" s="24">
        <v>4</v>
      </c>
      <c r="K1339" s="25">
        <f t="shared" si="60"/>
        <v>24600</v>
      </c>
      <c r="L1339" s="26">
        <v>45530</v>
      </c>
      <c r="M1339" s="24" t="str">
        <f t="shared" si="61"/>
        <v>Monday</v>
      </c>
      <c r="N1339" s="24" t="str">
        <f t="shared" si="62"/>
        <v>Weekday</v>
      </c>
      <c r="Q1339" s="24"/>
      <c r="R1339" s="24"/>
      <c r="S1339" s="27"/>
      <c r="T1339"/>
      <c r="U1339" s="6"/>
      <c r="W1339" s="7"/>
      <c r="Z1339" s="4"/>
    </row>
    <row r="1340" spans="1:26" x14ac:dyDescent="0.3">
      <c r="A1340" t="s">
        <v>1711</v>
      </c>
      <c r="B1340" s="16" t="s">
        <v>233</v>
      </c>
      <c r="C1340" s="18" t="s">
        <v>20</v>
      </c>
      <c r="D1340" s="18" t="s">
        <v>327</v>
      </c>
      <c r="E1340" s="18">
        <v>64</v>
      </c>
      <c r="F1340" t="s">
        <v>381</v>
      </c>
      <c r="G1340" s="18" t="s">
        <v>32</v>
      </c>
      <c r="H1340" s="18" t="s">
        <v>18</v>
      </c>
      <c r="I1340" s="18">
        <v>3690</v>
      </c>
      <c r="J1340" s="18">
        <v>2</v>
      </c>
      <c r="K1340" s="19">
        <f t="shared" si="60"/>
        <v>7380</v>
      </c>
      <c r="L1340" s="20">
        <v>45305</v>
      </c>
      <c r="M1340" s="18" t="str">
        <f t="shared" si="61"/>
        <v>Sunday</v>
      </c>
      <c r="N1340" s="18" t="str">
        <f t="shared" si="62"/>
        <v>Weekday</v>
      </c>
      <c r="Q1340" s="18"/>
      <c r="R1340" s="18"/>
      <c r="S1340" s="21"/>
      <c r="T1340"/>
      <c r="U1340" s="6"/>
      <c r="W1340" s="7"/>
      <c r="Z1340" s="4"/>
    </row>
    <row r="1341" spans="1:26" x14ac:dyDescent="0.3">
      <c r="A1341" t="s">
        <v>1712</v>
      </c>
      <c r="B1341" s="22" t="s">
        <v>228</v>
      </c>
      <c r="C1341" s="24" t="s">
        <v>11</v>
      </c>
      <c r="D1341" s="24" t="s">
        <v>325</v>
      </c>
      <c r="E1341" s="24">
        <v>33</v>
      </c>
      <c r="F1341" t="s">
        <v>373</v>
      </c>
      <c r="G1341" s="24" t="s">
        <v>13</v>
      </c>
      <c r="H1341" s="24" t="s">
        <v>14</v>
      </c>
      <c r="I1341" s="24">
        <v>36900</v>
      </c>
      <c r="J1341" s="24">
        <v>5</v>
      </c>
      <c r="K1341" s="25">
        <f t="shared" si="60"/>
        <v>184500</v>
      </c>
      <c r="L1341" s="26">
        <v>45645</v>
      </c>
      <c r="M1341" s="24" t="str">
        <f t="shared" si="61"/>
        <v>Thursday</v>
      </c>
      <c r="N1341" s="24" t="str">
        <f t="shared" si="62"/>
        <v>Weekday</v>
      </c>
      <c r="Q1341" s="24"/>
      <c r="R1341" s="24"/>
      <c r="S1341" s="27"/>
      <c r="T1341"/>
      <c r="U1341" s="6"/>
      <c r="W1341" s="7"/>
      <c r="Z1341" s="4"/>
    </row>
    <row r="1342" spans="1:26" x14ac:dyDescent="0.3">
      <c r="A1342" t="s">
        <v>1713</v>
      </c>
      <c r="B1342" s="16" t="s">
        <v>58</v>
      </c>
      <c r="C1342" s="18" t="s">
        <v>366</v>
      </c>
      <c r="D1342" s="18" t="s">
        <v>322</v>
      </c>
      <c r="E1342" s="18">
        <v>35</v>
      </c>
      <c r="F1342" t="s">
        <v>370</v>
      </c>
      <c r="G1342" s="18" t="s">
        <v>31</v>
      </c>
      <c r="H1342" s="18" t="s">
        <v>18</v>
      </c>
      <c r="I1342" s="18">
        <v>6150</v>
      </c>
      <c r="J1342" s="18">
        <v>1</v>
      </c>
      <c r="K1342" s="19">
        <f t="shared" si="60"/>
        <v>6150</v>
      </c>
      <c r="L1342" s="20">
        <v>45449</v>
      </c>
      <c r="M1342" s="18" t="str">
        <f t="shared" si="61"/>
        <v>Thursday</v>
      </c>
      <c r="N1342" s="18" t="str">
        <f t="shared" si="62"/>
        <v>Weekday</v>
      </c>
      <c r="Q1342" s="18"/>
      <c r="R1342" s="18"/>
      <c r="S1342" s="21"/>
      <c r="T1342"/>
      <c r="U1342" s="6"/>
      <c r="W1342" s="7"/>
      <c r="Z1342" s="4"/>
    </row>
    <row r="1343" spans="1:26" x14ac:dyDescent="0.3">
      <c r="A1343" t="s">
        <v>1714</v>
      </c>
      <c r="B1343" s="22" t="s">
        <v>213</v>
      </c>
      <c r="C1343" s="24" t="s">
        <v>11</v>
      </c>
      <c r="D1343" s="24" t="s">
        <v>326</v>
      </c>
      <c r="E1343" s="24">
        <v>66</v>
      </c>
      <c r="F1343" t="s">
        <v>373</v>
      </c>
      <c r="G1343" s="24" t="s">
        <v>24</v>
      </c>
      <c r="H1343" s="24" t="s">
        <v>14</v>
      </c>
      <c r="I1343" s="24">
        <v>184500</v>
      </c>
      <c r="J1343" s="24">
        <v>2</v>
      </c>
      <c r="K1343" s="25">
        <f t="shared" si="60"/>
        <v>369000</v>
      </c>
      <c r="L1343" s="26">
        <v>45344</v>
      </c>
      <c r="M1343" s="24" t="str">
        <f t="shared" si="61"/>
        <v>Thursday</v>
      </c>
      <c r="N1343" s="24" t="str">
        <f t="shared" si="62"/>
        <v>Weekday</v>
      </c>
      <c r="Q1343" s="24"/>
      <c r="R1343" s="24"/>
      <c r="S1343" s="27"/>
      <c r="T1343"/>
      <c r="U1343" s="6"/>
      <c r="W1343" s="7"/>
      <c r="Z1343" s="4"/>
    </row>
    <row r="1344" spans="1:26" x14ac:dyDescent="0.3">
      <c r="A1344" t="s">
        <v>1715</v>
      </c>
      <c r="B1344" s="16" t="s">
        <v>276</v>
      </c>
      <c r="C1344" s="18" t="s">
        <v>20</v>
      </c>
      <c r="D1344" s="18" t="s">
        <v>324</v>
      </c>
      <c r="E1344" s="18">
        <v>56</v>
      </c>
      <c r="F1344" t="s">
        <v>370</v>
      </c>
      <c r="G1344" s="18" t="s">
        <v>31</v>
      </c>
      <c r="H1344" s="18" t="s">
        <v>18</v>
      </c>
      <c r="I1344" s="18">
        <v>6150</v>
      </c>
      <c r="J1344" s="18">
        <v>3</v>
      </c>
      <c r="K1344" s="19">
        <f t="shared" si="60"/>
        <v>18450</v>
      </c>
      <c r="L1344" s="20">
        <v>45456</v>
      </c>
      <c r="M1344" s="18" t="str">
        <f t="shared" si="61"/>
        <v>Thursday</v>
      </c>
      <c r="N1344" s="18" t="str">
        <f t="shared" si="62"/>
        <v>Weekday</v>
      </c>
      <c r="Q1344" s="18"/>
      <c r="R1344" s="18"/>
      <c r="S1344" s="21"/>
      <c r="T1344"/>
      <c r="U1344" s="6"/>
      <c r="W1344" s="7"/>
      <c r="Z1344" s="4"/>
    </row>
    <row r="1345" spans="1:26" x14ac:dyDescent="0.3">
      <c r="A1345" t="s">
        <v>1716</v>
      </c>
      <c r="B1345" s="22" t="s">
        <v>84</v>
      </c>
      <c r="C1345" s="24" t="s">
        <v>20</v>
      </c>
      <c r="D1345" s="24" t="s">
        <v>322</v>
      </c>
      <c r="E1345" s="24">
        <v>24</v>
      </c>
      <c r="F1345" t="s">
        <v>370</v>
      </c>
      <c r="G1345" s="24" t="s">
        <v>24</v>
      </c>
      <c r="H1345" s="24" t="s">
        <v>14</v>
      </c>
      <c r="I1345" s="24">
        <v>184500</v>
      </c>
      <c r="J1345" s="24">
        <v>3</v>
      </c>
      <c r="K1345" s="25">
        <f t="shared" si="60"/>
        <v>553500</v>
      </c>
      <c r="L1345" s="26">
        <v>45449</v>
      </c>
      <c r="M1345" s="24" t="str">
        <f t="shared" si="61"/>
        <v>Thursday</v>
      </c>
      <c r="N1345" s="24" t="str">
        <f t="shared" si="62"/>
        <v>Weekday</v>
      </c>
      <c r="Q1345" s="24"/>
      <c r="R1345" s="24"/>
      <c r="S1345" s="27"/>
      <c r="T1345"/>
      <c r="U1345" s="6"/>
      <c r="W1345" s="7"/>
      <c r="Z1345" s="4"/>
    </row>
    <row r="1346" spans="1:26" x14ac:dyDescent="0.3">
      <c r="A1346" t="s">
        <v>1717</v>
      </c>
      <c r="B1346" s="16" t="s">
        <v>178</v>
      </c>
      <c r="C1346" s="18" t="s">
        <v>11</v>
      </c>
      <c r="D1346" s="18" t="s">
        <v>328</v>
      </c>
      <c r="E1346" s="18">
        <v>20</v>
      </c>
      <c r="F1346" t="s">
        <v>370</v>
      </c>
      <c r="G1346" s="18" t="s">
        <v>31</v>
      </c>
      <c r="H1346" s="18" t="s">
        <v>18</v>
      </c>
      <c r="I1346" s="18">
        <v>6150</v>
      </c>
      <c r="J1346" s="18">
        <v>5</v>
      </c>
      <c r="K1346" s="19">
        <f t="shared" ref="K1346:K1409" si="63">I1346*J1346</f>
        <v>30750</v>
      </c>
      <c r="L1346" s="20">
        <v>45423</v>
      </c>
      <c r="M1346" s="18" t="str">
        <f t="shared" ref="M1346:M1409" si="64">TEXT(L1346, "dddd")</f>
        <v>Saturday</v>
      </c>
      <c r="N1346" s="18" t="str">
        <f t="shared" ref="N1346:N1409" si="65">IF(OR(WEEKDAY(L1346, 2)=5, WEEKDAY(L1346, 2)=6), "Weekend", "Weekday")</f>
        <v>Weekend</v>
      </c>
      <c r="Q1346" s="18"/>
      <c r="R1346" s="18"/>
      <c r="S1346" s="21"/>
      <c r="T1346"/>
      <c r="U1346" s="6"/>
      <c r="W1346" s="7"/>
      <c r="Z1346" s="4"/>
    </row>
    <row r="1347" spans="1:26" x14ac:dyDescent="0.3">
      <c r="A1347" t="s">
        <v>1718</v>
      </c>
      <c r="B1347" s="22" t="s">
        <v>86</v>
      </c>
      <c r="C1347" s="24" t="s">
        <v>11</v>
      </c>
      <c r="D1347" s="24" t="s">
        <v>326</v>
      </c>
      <c r="E1347" s="24">
        <v>28</v>
      </c>
      <c r="F1347" t="s">
        <v>373</v>
      </c>
      <c r="G1347" s="24" t="s">
        <v>17</v>
      </c>
      <c r="H1347" s="24" t="s">
        <v>18</v>
      </c>
      <c r="I1347" s="24">
        <v>12300</v>
      </c>
      <c r="J1347" s="24">
        <v>3</v>
      </c>
      <c r="K1347" s="25">
        <f t="shared" si="63"/>
        <v>36900</v>
      </c>
      <c r="L1347" s="26">
        <v>45496</v>
      </c>
      <c r="M1347" s="24" t="str">
        <f t="shared" si="64"/>
        <v>Tuesday</v>
      </c>
      <c r="N1347" s="24" t="str">
        <f t="shared" si="65"/>
        <v>Weekday</v>
      </c>
      <c r="Q1347" s="24"/>
      <c r="R1347" s="24"/>
      <c r="S1347" s="27"/>
      <c r="T1347"/>
      <c r="U1347" s="6"/>
      <c r="W1347" s="7"/>
      <c r="Z1347" s="4"/>
    </row>
    <row r="1348" spans="1:26" x14ac:dyDescent="0.3">
      <c r="A1348" t="s">
        <v>1719</v>
      </c>
      <c r="B1348" s="16" t="s">
        <v>98</v>
      </c>
      <c r="C1348" s="18" t="s">
        <v>11</v>
      </c>
      <c r="D1348" s="18" t="s">
        <v>323</v>
      </c>
      <c r="E1348" s="18">
        <v>64</v>
      </c>
      <c r="F1348" t="s">
        <v>370</v>
      </c>
      <c r="G1348" s="18" t="s">
        <v>31</v>
      </c>
      <c r="H1348" s="18" t="s">
        <v>18</v>
      </c>
      <c r="I1348" s="18">
        <v>6150</v>
      </c>
      <c r="J1348" s="18">
        <v>4</v>
      </c>
      <c r="K1348" s="19">
        <f t="shared" si="63"/>
        <v>24600</v>
      </c>
      <c r="L1348" s="20">
        <v>45584</v>
      </c>
      <c r="M1348" s="18" t="str">
        <f t="shared" si="64"/>
        <v>Saturday</v>
      </c>
      <c r="N1348" s="18" t="str">
        <f t="shared" si="65"/>
        <v>Weekend</v>
      </c>
      <c r="Q1348" s="18"/>
      <c r="R1348" s="18"/>
      <c r="S1348" s="21"/>
      <c r="T1348"/>
      <c r="U1348" s="6"/>
      <c r="W1348" s="7"/>
      <c r="Z1348" s="4"/>
    </row>
    <row r="1349" spans="1:26" x14ac:dyDescent="0.3">
      <c r="A1349" t="s">
        <v>1720</v>
      </c>
      <c r="B1349" s="22" t="s">
        <v>222</v>
      </c>
      <c r="C1349" s="24" t="s">
        <v>11</v>
      </c>
      <c r="D1349" s="24" t="s">
        <v>323</v>
      </c>
      <c r="E1349" s="24">
        <v>18</v>
      </c>
      <c r="F1349" t="s">
        <v>375</v>
      </c>
      <c r="G1349" s="24" t="s">
        <v>26</v>
      </c>
      <c r="H1349" s="24" t="s">
        <v>27</v>
      </c>
      <c r="I1349" s="24">
        <v>24600</v>
      </c>
      <c r="J1349" s="24">
        <v>2</v>
      </c>
      <c r="K1349" s="25">
        <f t="shared" si="63"/>
        <v>49200</v>
      </c>
      <c r="L1349" s="26">
        <v>45345</v>
      </c>
      <c r="M1349" s="24" t="str">
        <f t="shared" si="64"/>
        <v>Friday</v>
      </c>
      <c r="N1349" s="24" t="str">
        <f t="shared" si="65"/>
        <v>Weekend</v>
      </c>
      <c r="Q1349" s="24"/>
      <c r="R1349" s="24"/>
      <c r="S1349" s="27"/>
      <c r="T1349"/>
      <c r="U1349" s="6"/>
      <c r="W1349" s="7"/>
      <c r="Z1349" s="4"/>
    </row>
    <row r="1350" spans="1:26" x14ac:dyDescent="0.3">
      <c r="A1350" t="s">
        <v>1721</v>
      </c>
      <c r="B1350" s="16" t="s">
        <v>114</v>
      </c>
      <c r="C1350" s="18" t="s">
        <v>20</v>
      </c>
      <c r="D1350" s="18" t="s">
        <v>324</v>
      </c>
      <c r="E1350" s="18">
        <v>40</v>
      </c>
      <c r="F1350" t="s">
        <v>375</v>
      </c>
      <c r="G1350" s="18" t="s">
        <v>31</v>
      </c>
      <c r="H1350" s="18" t="s">
        <v>18</v>
      </c>
      <c r="I1350" s="18">
        <v>6150</v>
      </c>
      <c r="J1350" s="18">
        <v>2</v>
      </c>
      <c r="K1350" s="19">
        <f t="shared" si="63"/>
        <v>12300</v>
      </c>
      <c r="L1350" s="20">
        <v>45541</v>
      </c>
      <c r="M1350" s="18" t="str">
        <f t="shared" si="64"/>
        <v>Friday</v>
      </c>
      <c r="N1350" s="18" t="str">
        <f t="shared" si="65"/>
        <v>Weekend</v>
      </c>
      <c r="Q1350" s="18"/>
      <c r="R1350" s="18"/>
      <c r="S1350" s="21"/>
      <c r="T1350"/>
      <c r="U1350" s="6"/>
      <c r="W1350" s="7"/>
      <c r="Z1350" s="4"/>
    </row>
    <row r="1351" spans="1:26" x14ac:dyDescent="0.3">
      <c r="A1351" t="s">
        <v>1722</v>
      </c>
      <c r="B1351" s="22" t="s">
        <v>187</v>
      </c>
      <c r="C1351" s="24" t="s">
        <v>11</v>
      </c>
      <c r="D1351" s="24" t="s">
        <v>324</v>
      </c>
      <c r="E1351" s="24">
        <v>68</v>
      </c>
      <c r="F1351" t="s">
        <v>375</v>
      </c>
      <c r="G1351" s="24" t="s">
        <v>42</v>
      </c>
      <c r="H1351" s="24" t="s">
        <v>14</v>
      </c>
      <c r="I1351" s="24">
        <v>98400</v>
      </c>
      <c r="J1351" s="24">
        <v>4</v>
      </c>
      <c r="K1351" s="25">
        <f t="shared" si="63"/>
        <v>393600</v>
      </c>
      <c r="L1351" s="26">
        <v>45383</v>
      </c>
      <c r="M1351" s="24" t="str">
        <f t="shared" si="64"/>
        <v>Monday</v>
      </c>
      <c r="N1351" s="24" t="str">
        <f t="shared" si="65"/>
        <v>Weekday</v>
      </c>
      <c r="Q1351" s="24"/>
      <c r="R1351" s="24"/>
      <c r="S1351" s="27"/>
      <c r="T1351"/>
      <c r="U1351" s="6"/>
      <c r="W1351" s="7"/>
      <c r="Z1351" s="4"/>
    </row>
    <row r="1352" spans="1:26" x14ac:dyDescent="0.3">
      <c r="A1352" t="s">
        <v>1723</v>
      </c>
      <c r="B1352" s="16" t="s">
        <v>274</v>
      </c>
      <c r="C1352" s="18" t="s">
        <v>11</v>
      </c>
      <c r="D1352" s="18" t="s">
        <v>326</v>
      </c>
      <c r="E1352" s="18">
        <v>51</v>
      </c>
      <c r="F1352" t="s">
        <v>375</v>
      </c>
      <c r="G1352" s="18" t="s">
        <v>17</v>
      </c>
      <c r="H1352" s="18" t="s">
        <v>18</v>
      </c>
      <c r="I1352" s="18">
        <v>12300</v>
      </c>
      <c r="J1352" s="18">
        <v>2</v>
      </c>
      <c r="K1352" s="19">
        <f t="shared" si="63"/>
        <v>24600</v>
      </c>
      <c r="L1352" s="20">
        <v>45582</v>
      </c>
      <c r="M1352" s="18" t="str">
        <f t="shared" si="64"/>
        <v>Thursday</v>
      </c>
      <c r="N1352" s="18" t="str">
        <f t="shared" si="65"/>
        <v>Weekday</v>
      </c>
      <c r="Q1352" s="18"/>
      <c r="R1352" s="18"/>
      <c r="S1352" s="21"/>
      <c r="T1352"/>
      <c r="U1352" s="6"/>
      <c r="W1352" s="7"/>
      <c r="Z1352" s="4"/>
    </row>
    <row r="1353" spans="1:26" x14ac:dyDescent="0.3">
      <c r="A1353" t="s">
        <v>1724</v>
      </c>
      <c r="B1353" s="22" t="s">
        <v>279</v>
      </c>
      <c r="C1353" s="24" t="s">
        <v>20</v>
      </c>
      <c r="D1353" s="24" t="s">
        <v>323</v>
      </c>
      <c r="E1353" s="24">
        <v>29</v>
      </c>
      <c r="F1353" t="s">
        <v>373</v>
      </c>
      <c r="G1353" s="24" t="s">
        <v>26</v>
      </c>
      <c r="H1353" s="24" t="s">
        <v>27</v>
      </c>
      <c r="I1353" s="24">
        <v>24600</v>
      </c>
      <c r="J1353" s="24">
        <v>4</v>
      </c>
      <c r="K1353" s="25">
        <f t="shared" si="63"/>
        <v>98400</v>
      </c>
      <c r="L1353" s="26">
        <v>45398</v>
      </c>
      <c r="M1353" s="24" t="str">
        <f t="shared" si="64"/>
        <v>Tuesday</v>
      </c>
      <c r="N1353" s="24" t="str">
        <f t="shared" si="65"/>
        <v>Weekday</v>
      </c>
      <c r="Q1353" s="24"/>
      <c r="R1353" s="24"/>
      <c r="S1353" s="27"/>
      <c r="T1353"/>
      <c r="U1353" s="6"/>
      <c r="W1353" s="7"/>
      <c r="Z1353" s="4"/>
    </row>
    <row r="1354" spans="1:26" x14ac:dyDescent="0.3">
      <c r="A1354" t="s">
        <v>1725</v>
      </c>
      <c r="B1354" s="16" t="s">
        <v>111</v>
      </c>
      <c r="C1354" s="18" t="s">
        <v>20</v>
      </c>
      <c r="D1354" s="18" t="s">
        <v>329</v>
      </c>
      <c r="E1354" s="18">
        <v>57</v>
      </c>
      <c r="F1354" t="s">
        <v>381</v>
      </c>
      <c r="G1354" s="18" t="s">
        <v>13</v>
      </c>
      <c r="H1354" s="18" t="s">
        <v>14</v>
      </c>
      <c r="I1354" s="18">
        <v>36900</v>
      </c>
      <c r="J1354" s="18">
        <v>5</v>
      </c>
      <c r="K1354" s="19">
        <f t="shared" si="63"/>
        <v>184500</v>
      </c>
      <c r="L1354" s="20">
        <v>45604</v>
      </c>
      <c r="M1354" s="18" t="str">
        <f t="shared" si="64"/>
        <v>Friday</v>
      </c>
      <c r="N1354" s="18" t="str">
        <f t="shared" si="65"/>
        <v>Weekend</v>
      </c>
      <c r="Q1354" s="18"/>
      <c r="R1354" s="18"/>
      <c r="S1354" s="21"/>
      <c r="T1354"/>
      <c r="U1354" s="6"/>
      <c r="W1354" s="7"/>
      <c r="Z1354" s="4"/>
    </row>
    <row r="1355" spans="1:26" x14ac:dyDescent="0.3">
      <c r="A1355" t="s">
        <v>1726</v>
      </c>
      <c r="B1355" s="22" t="s">
        <v>175</v>
      </c>
      <c r="C1355" s="24" t="s">
        <v>20</v>
      </c>
      <c r="D1355" s="24" t="s">
        <v>322</v>
      </c>
      <c r="E1355" s="24">
        <v>60</v>
      </c>
      <c r="F1355" t="s">
        <v>381</v>
      </c>
      <c r="G1355" s="24" t="s">
        <v>13</v>
      </c>
      <c r="H1355" s="24" t="s">
        <v>14</v>
      </c>
      <c r="I1355" s="24">
        <v>36900</v>
      </c>
      <c r="J1355" s="24">
        <v>3</v>
      </c>
      <c r="K1355" s="25">
        <f t="shared" si="63"/>
        <v>110700</v>
      </c>
      <c r="L1355" s="26">
        <v>45388</v>
      </c>
      <c r="M1355" s="24" t="str">
        <f t="shared" si="64"/>
        <v>Saturday</v>
      </c>
      <c r="N1355" s="24" t="str">
        <f t="shared" si="65"/>
        <v>Weekend</v>
      </c>
      <c r="Q1355" s="24"/>
      <c r="R1355" s="24"/>
      <c r="S1355" s="27"/>
      <c r="T1355"/>
      <c r="U1355" s="6"/>
      <c r="W1355" s="7"/>
      <c r="Z1355" s="4"/>
    </row>
    <row r="1356" spans="1:26" x14ac:dyDescent="0.3">
      <c r="A1356" t="s">
        <v>1727</v>
      </c>
      <c r="B1356" s="16" t="s">
        <v>260</v>
      </c>
      <c r="C1356" s="18" t="s">
        <v>11</v>
      </c>
      <c r="D1356" s="18" t="s">
        <v>322</v>
      </c>
      <c r="E1356" s="18">
        <v>55</v>
      </c>
      <c r="F1356" t="s">
        <v>375</v>
      </c>
      <c r="G1356" s="18" t="s">
        <v>31</v>
      </c>
      <c r="H1356" s="18" t="s">
        <v>18</v>
      </c>
      <c r="I1356" s="18">
        <v>6150</v>
      </c>
      <c r="J1356" s="18">
        <v>4</v>
      </c>
      <c r="K1356" s="19">
        <f t="shared" si="63"/>
        <v>24600</v>
      </c>
      <c r="L1356" s="20">
        <v>45341</v>
      </c>
      <c r="M1356" s="18" t="str">
        <f t="shared" si="64"/>
        <v>Monday</v>
      </c>
      <c r="N1356" s="18" t="str">
        <f t="shared" si="65"/>
        <v>Weekday</v>
      </c>
      <c r="Q1356" s="18"/>
      <c r="R1356" s="18"/>
      <c r="S1356" s="21"/>
      <c r="T1356"/>
      <c r="U1356" s="6"/>
      <c r="W1356" s="7"/>
      <c r="Z1356" s="4"/>
    </row>
    <row r="1357" spans="1:26" x14ac:dyDescent="0.3">
      <c r="A1357" t="s">
        <v>1728</v>
      </c>
      <c r="B1357" s="22" t="s">
        <v>84</v>
      </c>
      <c r="C1357" s="24" t="s">
        <v>20</v>
      </c>
      <c r="D1357" s="24" t="s">
        <v>322</v>
      </c>
      <c r="E1357" s="24">
        <v>24</v>
      </c>
      <c r="F1357" t="s">
        <v>381</v>
      </c>
      <c r="G1357" s="24" t="s">
        <v>24</v>
      </c>
      <c r="H1357" s="24" t="s">
        <v>14</v>
      </c>
      <c r="I1357" s="24">
        <v>184500</v>
      </c>
      <c r="J1357" s="24">
        <v>5</v>
      </c>
      <c r="K1357" s="25">
        <f t="shared" si="63"/>
        <v>922500</v>
      </c>
      <c r="L1357" s="26">
        <v>45461</v>
      </c>
      <c r="M1357" s="24" t="str">
        <f t="shared" si="64"/>
        <v>Tuesday</v>
      </c>
      <c r="N1357" s="24" t="str">
        <f t="shared" si="65"/>
        <v>Weekday</v>
      </c>
      <c r="Q1357" s="24"/>
      <c r="R1357" s="24"/>
      <c r="S1357" s="27"/>
      <c r="T1357"/>
      <c r="U1357" s="6"/>
      <c r="W1357" s="7"/>
      <c r="Z1357" s="4"/>
    </row>
    <row r="1358" spans="1:26" x14ac:dyDescent="0.3">
      <c r="A1358" t="s">
        <v>1729</v>
      </c>
      <c r="B1358" s="16" t="s">
        <v>47</v>
      </c>
      <c r="C1358" s="18" t="s">
        <v>20</v>
      </c>
      <c r="D1358" s="18" t="s">
        <v>324</v>
      </c>
      <c r="E1358" s="18">
        <v>52</v>
      </c>
      <c r="F1358" t="s">
        <v>375</v>
      </c>
      <c r="G1358" s="18" t="s">
        <v>42</v>
      </c>
      <c r="H1358" s="18" t="s">
        <v>14</v>
      </c>
      <c r="I1358" s="18">
        <v>98400</v>
      </c>
      <c r="J1358" s="18">
        <v>4</v>
      </c>
      <c r="K1358" s="19">
        <f t="shared" si="63"/>
        <v>393600</v>
      </c>
      <c r="L1358" s="20">
        <v>45326</v>
      </c>
      <c r="M1358" s="18" t="str">
        <f t="shared" si="64"/>
        <v>Sunday</v>
      </c>
      <c r="N1358" s="18" t="str">
        <f t="shared" si="65"/>
        <v>Weekday</v>
      </c>
      <c r="Q1358" s="18"/>
      <c r="R1358" s="18"/>
      <c r="S1358" s="21"/>
      <c r="T1358"/>
      <c r="U1358" s="6"/>
      <c r="W1358" s="7"/>
      <c r="Z1358" s="4"/>
    </row>
    <row r="1359" spans="1:26" x14ac:dyDescent="0.3">
      <c r="A1359" t="s">
        <v>1730</v>
      </c>
      <c r="B1359" s="22" t="s">
        <v>152</v>
      </c>
      <c r="C1359" s="24" t="s">
        <v>20</v>
      </c>
      <c r="D1359" s="24" t="s">
        <v>327</v>
      </c>
      <c r="E1359" s="24">
        <v>36</v>
      </c>
      <c r="F1359" t="s">
        <v>375</v>
      </c>
      <c r="G1359" s="24" t="s">
        <v>24</v>
      </c>
      <c r="H1359" s="24" t="s">
        <v>14</v>
      </c>
      <c r="I1359" s="24">
        <v>184500</v>
      </c>
      <c r="J1359" s="24">
        <v>1</v>
      </c>
      <c r="K1359" s="25">
        <f t="shared" si="63"/>
        <v>184500</v>
      </c>
      <c r="L1359" s="26">
        <v>45593</v>
      </c>
      <c r="M1359" s="24" t="str">
        <f t="shared" si="64"/>
        <v>Monday</v>
      </c>
      <c r="N1359" s="24" t="str">
        <f t="shared" si="65"/>
        <v>Weekday</v>
      </c>
      <c r="Q1359" s="24"/>
      <c r="R1359" s="24"/>
      <c r="S1359" s="27"/>
      <c r="T1359"/>
      <c r="U1359" s="6"/>
      <c r="W1359" s="7"/>
      <c r="Z1359" s="4"/>
    </row>
    <row r="1360" spans="1:26" x14ac:dyDescent="0.3">
      <c r="A1360" t="s">
        <v>1731</v>
      </c>
      <c r="B1360" s="16" t="s">
        <v>70</v>
      </c>
      <c r="C1360" s="18" t="s">
        <v>11</v>
      </c>
      <c r="D1360" s="18" t="s">
        <v>329</v>
      </c>
      <c r="E1360" s="18">
        <v>44</v>
      </c>
      <c r="F1360" t="s">
        <v>381</v>
      </c>
      <c r="G1360" s="18" t="s">
        <v>26</v>
      </c>
      <c r="H1360" s="18" t="s">
        <v>27</v>
      </c>
      <c r="I1360" s="18">
        <v>24600</v>
      </c>
      <c r="J1360" s="18">
        <v>1</v>
      </c>
      <c r="K1360" s="19">
        <f t="shared" si="63"/>
        <v>24600</v>
      </c>
      <c r="L1360" s="20">
        <v>45480</v>
      </c>
      <c r="M1360" s="18" t="str">
        <f t="shared" si="64"/>
        <v>Sunday</v>
      </c>
      <c r="N1360" s="18" t="str">
        <f t="shared" si="65"/>
        <v>Weekday</v>
      </c>
      <c r="Q1360" s="18"/>
      <c r="R1360" s="18"/>
      <c r="S1360" s="21"/>
      <c r="T1360"/>
      <c r="U1360" s="6"/>
      <c r="W1360" s="7"/>
      <c r="Z1360" s="4"/>
    </row>
    <row r="1361" spans="1:26" x14ac:dyDescent="0.3">
      <c r="A1361" t="s">
        <v>1732</v>
      </c>
      <c r="B1361" s="22" t="s">
        <v>205</v>
      </c>
      <c r="C1361" s="24" t="s">
        <v>20</v>
      </c>
      <c r="D1361" s="24" t="s">
        <v>328</v>
      </c>
      <c r="E1361" s="24">
        <v>61</v>
      </c>
      <c r="F1361" t="s">
        <v>381</v>
      </c>
      <c r="G1361" s="24" t="s">
        <v>42</v>
      </c>
      <c r="H1361" s="24" t="s">
        <v>14</v>
      </c>
      <c r="I1361" s="24">
        <v>98400</v>
      </c>
      <c r="J1361" s="24">
        <v>5</v>
      </c>
      <c r="K1361" s="25">
        <f t="shared" si="63"/>
        <v>492000</v>
      </c>
      <c r="L1361" s="26">
        <v>45432</v>
      </c>
      <c r="M1361" s="24" t="str">
        <f t="shared" si="64"/>
        <v>Monday</v>
      </c>
      <c r="N1361" s="24" t="str">
        <f t="shared" si="65"/>
        <v>Weekday</v>
      </c>
      <c r="Q1361" s="24"/>
      <c r="R1361" s="24"/>
      <c r="S1361" s="27"/>
      <c r="T1361"/>
      <c r="U1361" s="6"/>
      <c r="W1361" s="7"/>
      <c r="Z1361" s="4"/>
    </row>
    <row r="1362" spans="1:26" x14ac:dyDescent="0.3">
      <c r="A1362" t="s">
        <v>1733</v>
      </c>
      <c r="B1362" s="16" t="s">
        <v>97</v>
      </c>
      <c r="C1362" s="18" t="s">
        <v>20</v>
      </c>
      <c r="D1362" s="18" t="s">
        <v>322</v>
      </c>
      <c r="E1362" s="18">
        <v>33</v>
      </c>
      <c r="F1362" t="s">
        <v>370</v>
      </c>
      <c r="G1362" s="18" t="s">
        <v>42</v>
      </c>
      <c r="H1362" s="18" t="s">
        <v>14</v>
      </c>
      <c r="I1362" s="18">
        <v>98400</v>
      </c>
      <c r="J1362" s="18">
        <v>2</v>
      </c>
      <c r="K1362" s="19">
        <f t="shared" si="63"/>
        <v>196800</v>
      </c>
      <c r="L1362" s="20">
        <v>45645</v>
      </c>
      <c r="M1362" s="18" t="str">
        <f t="shared" si="64"/>
        <v>Thursday</v>
      </c>
      <c r="N1362" s="18" t="str">
        <f t="shared" si="65"/>
        <v>Weekday</v>
      </c>
      <c r="Q1362" s="18"/>
      <c r="R1362" s="18"/>
      <c r="S1362" s="21"/>
      <c r="T1362"/>
      <c r="U1362" s="6"/>
      <c r="W1362" s="7"/>
      <c r="Z1362" s="4"/>
    </row>
    <row r="1363" spans="1:26" x14ac:dyDescent="0.3">
      <c r="A1363" t="s">
        <v>1734</v>
      </c>
      <c r="B1363" s="22" t="s">
        <v>205</v>
      </c>
      <c r="C1363" s="24" t="s">
        <v>20</v>
      </c>
      <c r="D1363" s="24" t="s">
        <v>328</v>
      </c>
      <c r="E1363" s="24">
        <v>61</v>
      </c>
      <c r="F1363" t="s">
        <v>375</v>
      </c>
      <c r="G1363" s="24" t="s">
        <v>31</v>
      </c>
      <c r="H1363" s="24" t="s">
        <v>18</v>
      </c>
      <c r="I1363" s="24">
        <v>6150</v>
      </c>
      <c r="J1363" s="24">
        <v>3</v>
      </c>
      <c r="K1363" s="25">
        <f t="shared" si="63"/>
        <v>18450</v>
      </c>
      <c r="L1363" s="26">
        <v>45637</v>
      </c>
      <c r="M1363" s="24" t="str">
        <f t="shared" si="64"/>
        <v>Wednesday</v>
      </c>
      <c r="N1363" s="24" t="str">
        <f t="shared" si="65"/>
        <v>Weekday</v>
      </c>
      <c r="Q1363" s="24"/>
      <c r="R1363" s="24"/>
      <c r="S1363" s="27"/>
      <c r="T1363"/>
      <c r="U1363" s="6"/>
      <c r="W1363" s="7"/>
      <c r="Z1363" s="4"/>
    </row>
    <row r="1364" spans="1:26" x14ac:dyDescent="0.3">
      <c r="A1364" t="s">
        <v>1735</v>
      </c>
      <c r="B1364" s="16" t="s">
        <v>175</v>
      </c>
      <c r="C1364" s="18" t="s">
        <v>20</v>
      </c>
      <c r="D1364" s="18" t="s">
        <v>322</v>
      </c>
      <c r="E1364" s="18">
        <v>60</v>
      </c>
      <c r="F1364" t="s">
        <v>381</v>
      </c>
      <c r="G1364" s="18" t="s">
        <v>24</v>
      </c>
      <c r="H1364" s="18" t="s">
        <v>14</v>
      </c>
      <c r="I1364" s="18">
        <v>184500</v>
      </c>
      <c r="J1364" s="18">
        <v>5</v>
      </c>
      <c r="K1364" s="19">
        <f t="shared" si="63"/>
        <v>922500</v>
      </c>
      <c r="L1364" s="20">
        <v>45472</v>
      </c>
      <c r="M1364" s="18" t="str">
        <f t="shared" si="64"/>
        <v>Saturday</v>
      </c>
      <c r="N1364" s="18" t="str">
        <f t="shared" si="65"/>
        <v>Weekend</v>
      </c>
      <c r="Q1364" s="18"/>
      <c r="R1364" s="18"/>
      <c r="S1364" s="21"/>
      <c r="T1364"/>
      <c r="U1364" s="6"/>
      <c r="W1364" s="7"/>
      <c r="Z1364" s="4"/>
    </row>
    <row r="1365" spans="1:26" x14ac:dyDescent="0.3">
      <c r="A1365" t="s">
        <v>1736</v>
      </c>
      <c r="B1365" s="22" t="s">
        <v>74</v>
      </c>
      <c r="C1365" s="24" t="s">
        <v>20</v>
      </c>
      <c r="D1365" s="24" t="s">
        <v>322</v>
      </c>
      <c r="E1365" s="24">
        <v>42</v>
      </c>
      <c r="F1365" t="s">
        <v>381</v>
      </c>
      <c r="G1365" s="24" t="s">
        <v>17</v>
      </c>
      <c r="H1365" s="24" t="s">
        <v>18</v>
      </c>
      <c r="I1365" s="24">
        <v>12300</v>
      </c>
      <c r="J1365" s="24">
        <v>4</v>
      </c>
      <c r="K1365" s="25">
        <f t="shared" si="63"/>
        <v>49200</v>
      </c>
      <c r="L1365" s="26">
        <v>45624</v>
      </c>
      <c r="M1365" s="24" t="str">
        <f t="shared" si="64"/>
        <v>Thursday</v>
      </c>
      <c r="N1365" s="24" t="str">
        <f t="shared" si="65"/>
        <v>Weekday</v>
      </c>
      <c r="Q1365" s="24"/>
      <c r="R1365" s="24"/>
      <c r="S1365" s="27"/>
      <c r="T1365"/>
      <c r="U1365" s="6"/>
      <c r="W1365" s="7"/>
      <c r="Z1365" s="4"/>
    </row>
    <row r="1366" spans="1:26" x14ac:dyDescent="0.3">
      <c r="A1366" t="s">
        <v>1737</v>
      </c>
      <c r="B1366" s="16" t="s">
        <v>90</v>
      </c>
      <c r="C1366" s="18" t="s">
        <v>20</v>
      </c>
      <c r="D1366" s="18" t="s">
        <v>323</v>
      </c>
      <c r="E1366" s="18">
        <v>50</v>
      </c>
      <c r="F1366" t="s">
        <v>381</v>
      </c>
      <c r="G1366" s="18" t="s">
        <v>32</v>
      </c>
      <c r="H1366" s="18" t="s">
        <v>18</v>
      </c>
      <c r="I1366" s="18">
        <v>3690</v>
      </c>
      <c r="J1366" s="18">
        <v>2</v>
      </c>
      <c r="K1366" s="19">
        <f t="shared" si="63"/>
        <v>7380</v>
      </c>
      <c r="L1366" s="20">
        <v>45393</v>
      </c>
      <c r="M1366" s="18" t="str">
        <f t="shared" si="64"/>
        <v>Thursday</v>
      </c>
      <c r="N1366" s="18" t="str">
        <f t="shared" si="65"/>
        <v>Weekday</v>
      </c>
      <c r="Q1366" s="18"/>
      <c r="R1366" s="18"/>
      <c r="S1366" s="21"/>
      <c r="T1366"/>
      <c r="U1366" s="6"/>
      <c r="W1366" s="7"/>
      <c r="Z1366" s="4"/>
    </row>
    <row r="1367" spans="1:26" x14ac:dyDescent="0.3">
      <c r="A1367" t="s">
        <v>1738</v>
      </c>
      <c r="B1367" s="22" t="s">
        <v>152</v>
      </c>
      <c r="C1367" s="24" t="s">
        <v>20</v>
      </c>
      <c r="D1367" s="24" t="s">
        <v>327</v>
      </c>
      <c r="E1367" s="24">
        <v>36</v>
      </c>
      <c r="F1367" t="s">
        <v>370</v>
      </c>
      <c r="G1367" s="24" t="s">
        <v>42</v>
      </c>
      <c r="H1367" s="24" t="s">
        <v>14</v>
      </c>
      <c r="I1367" s="24">
        <v>98400</v>
      </c>
      <c r="J1367" s="24">
        <v>4</v>
      </c>
      <c r="K1367" s="25">
        <f t="shared" si="63"/>
        <v>393600</v>
      </c>
      <c r="L1367" s="26">
        <v>45433</v>
      </c>
      <c r="M1367" s="24" t="str">
        <f t="shared" si="64"/>
        <v>Tuesday</v>
      </c>
      <c r="N1367" s="24" t="str">
        <f t="shared" si="65"/>
        <v>Weekday</v>
      </c>
      <c r="Q1367" s="24"/>
      <c r="R1367" s="24"/>
      <c r="S1367" s="27"/>
      <c r="T1367"/>
      <c r="U1367" s="6"/>
      <c r="W1367" s="7"/>
      <c r="Z1367" s="4"/>
    </row>
    <row r="1368" spans="1:26" x14ac:dyDescent="0.3">
      <c r="A1368" t="s">
        <v>1739</v>
      </c>
      <c r="B1368" s="16" t="s">
        <v>163</v>
      </c>
      <c r="C1368" s="18" t="s">
        <v>11</v>
      </c>
      <c r="D1368" s="18" t="s">
        <v>323</v>
      </c>
      <c r="E1368" s="18">
        <v>65</v>
      </c>
      <c r="F1368" t="s">
        <v>375</v>
      </c>
      <c r="G1368" s="18" t="s">
        <v>32</v>
      </c>
      <c r="H1368" s="18" t="s">
        <v>18</v>
      </c>
      <c r="I1368" s="18">
        <v>3690</v>
      </c>
      <c r="J1368" s="18">
        <v>4</v>
      </c>
      <c r="K1368" s="19">
        <f t="shared" si="63"/>
        <v>14760</v>
      </c>
      <c r="L1368" s="20">
        <v>45403</v>
      </c>
      <c r="M1368" s="18" t="str">
        <f t="shared" si="64"/>
        <v>Sunday</v>
      </c>
      <c r="N1368" s="18" t="str">
        <f t="shared" si="65"/>
        <v>Weekday</v>
      </c>
      <c r="Q1368" s="18"/>
      <c r="R1368" s="18"/>
      <c r="S1368" s="21"/>
      <c r="T1368"/>
      <c r="U1368" s="6"/>
      <c r="W1368" s="7"/>
      <c r="Z1368" s="4"/>
    </row>
    <row r="1369" spans="1:26" x14ac:dyDescent="0.3">
      <c r="A1369" t="s">
        <v>1740</v>
      </c>
      <c r="B1369" s="22" t="s">
        <v>73</v>
      </c>
      <c r="C1369" s="24" t="s">
        <v>11</v>
      </c>
      <c r="D1369" s="24" t="s">
        <v>322</v>
      </c>
      <c r="E1369" s="24">
        <v>68</v>
      </c>
      <c r="F1369" t="s">
        <v>375</v>
      </c>
      <c r="G1369" s="24" t="s">
        <v>26</v>
      </c>
      <c r="H1369" s="24" t="s">
        <v>27</v>
      </c>
      <c r="I1369" s="24">
        <v>24600</v>
      </c>
      <c r="J1369" s="24">
        <v>5</v>
      </c>
      <c r="K1369" s="25">
        <f t="shared" si="63"/>
        <v>123000</v>
      </c>
      <c r="L1369" s="26">
        <v>45473</v>
      </c>
      <c r="M1369" s="24" t="str">
        <f t="shared" si="64"/>
        <v>Sunday</v>
      </c>
      <c r="N1369" s="24" t="str">
        <f t="shared" si="65"/>
        <v>Weekday</v>
      </c>
      <c r="Q1369" s="24"/>
      <c r="R1369" s="24"/>
      <c r="S1369" s="27"/>
      <c r="T1369"/>
      <c r="U1369" s="6"/>
      <c r="W1369" s="7"/>
      <c r="Z1369" s="4"/>
    </row>
    <row r="1370" spans="1:26" x14ac:dyDescent="0.3">
      <c r="A1370" t="s">
        <v>1741</v>
      </c>
      <c r="B1370" s="16" t="s">
        <v>214</v>
      </c>
      <c r="C1370" s="18" t="s">
        <v>11</v>
      </c>
      <c r="D1370" s="18" t="s">
        <v>325</v>
      </c>
      <c r="E1370" s="18">
        <v>67</v>
      </c>
      <c r="F1370" t="s">
        <v>373</v>
      </c>
      <c r="G1370" s="18" t="s">
        <v>26</v>
      </c>
      <c r="H1370" s="18" t="s">
        <v>27</v>
      </c>
      <c r="I1370" s="18">
        <v>24600</v>
      </c>
      <c r="J1370" s="18">
        <v>4</v>
      </c>
      <c r="K1370" s="19">
        <f t="shared" si="63"/>
        <v>98400</v>
      </c>
      <c r="L1370" s="20">
        <v>45440</v>
      </c>
      <c r="M1370" s="18" t="str">
        <f t="shared" si="64"/>
        <v>Tuesday</v>
      </c>
      <c r="N1370" s="18" t="str">
        <f t="shared" si="65"/>
        <v>Weekday</v>
      </c>
      <c r="Q1370" s="18"/>
      <c r="R1370" s="18"/>
      <c r="S1370" s="21"/>
      <c r="T1370"/>
      <c r="U1370" s="6"/>
      <c r="W1370" s="7"/>
      <c r="Z1370" s="4"/>
    </row>
    <row r="1371" spans="1:26" x14ac:dyDescent="0.3">
      <c r="A1371" t="s">
        <v>1742</v>
      </c>
      <c r="B1371" s="22" t="s">
        <v>73</v>
      </c>
      <c r="C1371" s="24" t="s">
        <v>11</v>
      </c>
      <c r="D1371" s="24" t="s">
        <v>322</v>
      </c>
      <c r="E1371" s="24">
        <v>68</v>
      </c>
      <c r="F1371" t="s">
        <v>370</v>
      </c>
      <c r="G1371" s="24" t="s">
        <v>32</v>
      </c>
      <c r="H1371" s="24" t="s">
        <v>18</v>
      </c>
      <c r="I1371" s="24">
        <v>3690</v>
      </c>
      <c r="J1371" s="24">
        <v>4</v>
      </c>
      <c r="K1371" s="25">
        <f t="shared" si="63"/>
        <v>14760</v>
      </c>
      <c r="L1371" s="26">
        <v>45334</v>
      </c>
      <c r="M1371" s="24" t="str">
        <f t="shared" si="64"/>
        <v>Monday</v>
      </c>
      <c r="N1371" s="24" t="str">
        <f t="shared" si="65"/>
        <v>Weekday</v>
      </c>
      <c r="Q1371" s="24"/>
      <c r="R1371" s="24"/>
      <c r="S1371" s="27"/>
      <c r="T1371"/>
      <c r="U1371" s="6"/>
      <c r="W1371" s="7"/>
      <c r="Z1371" s="4"/>
    </row>
    <row r="1372" spans="1:26" x14ac:dyDescent="0.3">
      <c r="A1372" t="s">
        <v>1743</v>
      </c>
      <c r="B1372" s="16" t="s">
        <v>58</v>
      </c>
      <c r="C1372" s="18" t="s">
        <v>366</v>
      </c>
      <c r="D1372" s="18" t="s">
        <v>322</v>
      </c>
      <c r="E1372" s="18">
        <v>35</v>
      </c>
      <c r="F1372" t="s">
        <v>370</v>
      </c>
      <c r="G1372" s="18" t="s">
        <v>42</v>
      </c>
      <c r="H1372" s="18" t="s">
        <v>14</v>
      </c>
      <c r="I1372" s="18">
        <v>98400</v>
      </c>
      <c r="J1372" s="18">
        <v>5</v>
      </c>
      <c r="K1372" s="19">
        <f t="shared" si="63"/>
        <v>492000</v>
      </c>
      <c r="L1372" s="20">
        <v>45409</v>
      </c>
      <c r="M1372" s="18" t="str">
        <f t="shared" si="64"/>
        <v>Saturday</v>
      </c>
      <c r="N1372" s="18" t="str">
        <f t="shared" si="65"/>
        <v>Weekend</v>
      </c>
      <c r="Q1372" s="18"/>
      <c r="R1372" s="18"/>
      <c r="S1372" s="21"/>
      <c r="T1372"/>
      <c r="U1372" s="6"/>
      <c r="W1372" s="7"/>
      <c r="Z1372" s="4"/>
    </row>
    <row r="1373" spans="1:26" x14ac:dyDescent="0.3">
      <c r="A1373" t="s">
        <v>1744</v>
      </c>
      <c r="B1373" s="22" t="s">
        <v>134</v>
      </c>
      <c r="C1373" s="24" t="s">
        <v>366</v>
      </c>
      <c r="D1373" s="24" t="s">
        <v>322</v>
      </c>
      <c r="E1373" s="24">
        <v>33</v>
      </c>
      <c r="F1373" t="s">
        <v>375</v>
      </c>
      <c r="G1373" s="24" t="s">
        <v>26</v>
      </c>
      <c r="H1373" s="24" t="s">
        <v>27</v>
      </c>
      <c r="I1373" s="24">
        <v>24600</v>
      </c>
      <c r="J1373" s="24">
        <v>3</v>
      </c>
      <c r="K1373" s="25">
        <f t="shared" si="63"/>
        <v>73800</v>
      </c>
      <c r="L1373" s="26">
        <v>45393</v>
      </c>
      <c r="M1373" s="24" t="str">
        <f t="shared" si="64"/>
        <v>Thursday</v>
      </c>
      <c r="N1373" s="24" t="str">
        <f t="shared" si="65"/>
        <v>Weekday</v>
      </c>
      <c r="Q1373" s="24"/>
      <c r="R1373" s="24"/>
      <c r="S1373" s="27"/>
      <c r="T1373"/>
      <c r="U1373" s="6"/>
      <c r="W1373" s="7"/>
      <c r="Z1373" s="4"/>
    </row>
    <row r="1374" spans="1:26" x14ac:dyDescent="0.3">
      <c r="A1374" t="s">
        <v>1745</v>
      </c>
      <c r="B1374" s="16" t="s">
        <v>306</v>
      </c>
      <c r="C1374" s="18" t="s">
        <v>366</v>
      </c>
      <c r="D1374" s="18" t="s">
        <v>323</v>
      </c>
      <c r="E1374" s="18">
        <v>35</v>
      </c>
      <c r="F1374" t="s">
        <v>373</v>
      </c>
      <c r="G1374" s="18" t="s">
        <v>31</v>
      </c>
      <c r="H1374" s="18" t="s">
        <v>18</v>
      </c>
      <c r="I1374" s="18">
        <v>6150</v>
      </c>
      <c r="J1374" s="18">
        <v>2</v>
      </c>
      <c r="K1374" s="19">
        <f t="shared" si="63"/>
        <v>12300</v>
      </c>
      <c r="L1374" s="20">
        <v>45499</v>
      </c>
      <c r="M1374" s="18" t="str">
        <f t="shared" si="64"/>
        <v>Friday</v>
      </c>
      <c r="N1374" s="18" t="str">
        <f t="shared" si="65"/>
        <v>Weekend</v>
      </c>
      <c r="Q1374" s="18"/>
      <c r="R1374" s="18"/>
      <c r="S1374" s="21"/>
      <c r="T1374"/>
      <c r="U1374" s="6"/>
      <c r="W1374" s="7"/>
      <c r="Z1374" s="4"/>
    </row>
    <row r="1375" spans="1:26" x14ac:dyDescent="0.3">
      <c r="A1375" t="s">
        <v>1746</v>
      </c>
      <c r="B1375" s="22" t="s">
        <v>201</v>
      </c>
      <c r="C1375" s="24" t="s">
        <v>20</v>
      </c>
      <c r="D1375" s="24" t="s">
        <v>322</v>
      </c>
      <c r="E1375" s="24">
        <v>50</v>
      </c>
      <c r="F1375" t="s">
        <v>373</v>
      </c>
      <c r="G1375" s="24" t="s">
        <v>32</v>
      </c>
      <c r="H1375" s="24" t="s">
        <v>18</v>
      </c>
      <c r="I1375" s="24">
        <v>3690</v>
      </c>
      <c r="J1375" s="24">
        <v>1</v>
      </c>
      <c r="K1375" s="25">
        <f t="shared" si="63"/>
        <v>3690</v>
      </c>
      <c r="L1375" s="26">
        <v>45499</v>
      </c>
      <c r="M1375" s="24" t="str">
        <f t="shared" si="64"/>
        <v>Friday</v>
      </c>
      <c r="N1375" s="24" t="str">
        <f t="shared" si="65"/>
        <v>Weekend</v>
      </c>
      <c r="Q1375" s="24"/>
      <c r="R1375" s="24"/>
      <c r="S1375" s="27"/>
      <c r="T1375"/>
      <c r="U1375" s="6"/>
      <c r="W1375" s="7"/>
      <c r="Z1375" s="4"/>
    </row>
    <row r="1376" spans="1:26" x14ac:dyDescent="0.3">
      <c r="A1376" t="s">
        <v>1747</v>
      </c>
      <c r="B1376" s="16" t="s">
        <v>261</v>
      </c>
      <c r="C1376" s="18" t="s">
        <v>20</v>
      </c>
      <c r="D1376" s="18" t="s">
        <v>325</v>
      </c>
      <c r="E1376" s="18">
        <v>49</v>
      </c>
      <c r="F1376" t="s">
        <v>375</v>
      </c>
      <c r="G1376" s="18" t="s">
        <v>13</v>
      </c>
      <c r="H1376" s="18" t="s">
        <v>14</v>
      </c>
      <c r="I1376" s="18">
        <v>36900</v>
      </c>
      <c r="J1376" s="18">
        <v>1</v>
      </c>
      <c r="K1376" s="19">
        <f t="shared" si="63"/>
        <v>36900</v>
      </c>
      <c r="L1376" s="20">
        <v>45458</v>
      </c>
      <c r="M1376" s="18" t="str">
        <f t="shared" si="64"/>
        <v>Saturday</v>
      </c>
      <c r="N1376" s="18" t="str">
        <f t="shared" si="65"/>
        <v>Weekend</v>
      </c>
      <c r="Q1376" s="18"/>
      <c r="R1376" s="18"/>
      <c r="S1376" s="21"/>
      <c r="T1376"/>
      <c r="U1376" s="6"/>
      <c r="W1376" s="7"/>
      <c r="Z1376" s="4"/>
    </row>
    <row r="1377" spans="1:26" x14ac:dyDescent="0.3">
      <c r="A1377" t="s">
        <v>1748</v>
      </c>
      <c r="B1377" s="22" t="s">
        <v>259</v>
      </c>
      <c r="C1377" s="24" t="s">
        <v>366</v>
      </c>
      <c r="D1377" s="24" t="s">
        <v>328</v>
      </c>
      <c r="E1377" s="24">
        <v>58</v>
      </c>
      <c r="F1377" t="s">
        <v>381</v>
      </c>
      <c r="G1377" s="24" t="s">
        <v>13</v>
      </c>
      <c r="H1377" s="24" t="s">
        <v>14</v>
      </c>
      <c r="I1377" s="24">
        <v>36900</v>
      </c>
      <c r="J1377" s="24">
        <v>4</v>
      </c>
      <c r="K1377" s="25">
        <f t="shared" si="63"/>
        <v>147600</v>
      </c>
      <c r="L1377" s="26">
        <v>45321</v>
      </c>
      <c r="M1377" s="24" t="str">
        <f t="shared" si="64"/>
        <v>Tuesday</v>
      </c>
      <c r="N1377" s="24" t="str">
        <f t="shared" si="65"/>
        <v>Weekday</v>
      </c>
      <c r="Q1377" s="24"/>
      <c r="R1377" s="24"/>
      <c r="S1377" s="27"/>
      <c r="T1377"/>
      <c r="U1377" s="6"/>
      <c r="W1377" s="7"/>
      <c r="Z1377" s="4"/>
    </row>
    <row r="1378" spans="1:26" x14ac:dyDescent="0.3">
      <c r="A1378" t="s">
        <v>1749</v>
      </c>
      <c r="B1378" s="16" t="s">
        <v>93</v>
      </c>
      <c r="C1378" s="18" t="s">
        <v>366</v>
      </c>
      <c r="D1378" s="18" t="s">
        <v>327</v>
      </c>
      <c r="E1378" s="18">
        <v>54</v>
      </c>
      <c r="F1378" t="s">
        <v>370</v>
      </c>
      <c r="G1378" s="18" t="s">
        <v>32</v>
      </c>
      <c r="H1378" s="18" t="s">
        <v>18</v>
      </c>
      <c r="I1378" s="18">
        <v>3690</v>
      </c>
      <c r="J1378" s="18">
        <v>3</v>
      </c>
      <c r="K1378" s="19">
        <f t="shared" si="63"/>
        <v>11070</v>
      </c>
      <c r="L1378" s="20">
        <v>45446</v>
      </c>
      <c r="M1378" s="18" t="str">
        <f t="shared" si="64"/>
        <v>Monday</v>
      </c>
      <c r="N1378" s="18" t="str">
        <f t="shared" si="65"/>
        <v>Weekday</v>
      </c>
      <c r="Q1378" s="18"/>
      <c r="R1378" s="18"/>
      <c r="S1378" s="21"/>
      <c r="T1378"/>
      <c r="U1378" s="6"/>
      <c r="W1378" s="7"/>
      <c r="Z1378" s="4"/>
    </row>
    <row r="1379" spans="1:26" x14ac:dyDescent="0.3">
      <c r="A1379" t="s">
        <v>1750</v>
      </c>
      <c r="B1379" s="22" t="s">
        <v>210</v>
      </c>
      <c r="C1379" s="24" t="s">
        <v>11</v>
      </c>
      <c r="D1379" s="24" t="s">
        <v>322</v>
      </c>
      <c r="E1379" s="24">
        <v>26</v>
      </c>
      <c r="F1379" t="s">
        <v>373</v>
      </c>
      <c r="G1379" s="24" t="s">
        <v>24</v>
      </c>
      <c r="H1379" s="24" t="s">
        <v>14</v>
      </c>
      <c r="I1379" s="24">
        <v>184500</v>
      </c>
      <c r="J1379" s="24">
        <v>1</v>
      </c>
      <c r="K1379" s="25">
        <f t="shared" si="63"/>
        <v>184500</v>
      </c>
      <c r="L1379" s="26">
        <v>45541</v>
      </c>
      <c r="M1379" s="24" t="str">
        <f t="shared" si="64"/>
        <v>Friday</v>
      </c>
      <c r="N1379" s="24" t="str">
        <f t="shared" si="65"/>
        <v>Weekend</v>
      </c>
      <c r="Q1379" s="24"/>
      <c r="R1379" s="24"/>
      <c r="S1379" s="27"/>
      <c r="T1379"/>
      <c r="U1379" s="6"/>
      <c r="W1379" s="7"/>
      <c r="Z1379" s="4"/>
    </row>
    <row r="1380" spans="1:26" x14ac:dyDescent="0.3">
      <c r="A1380" t="s">
        <v>1751</v>
      </c>
      <c r="B1380" s="16" t="s">
        <v>52</v>
      </c>
      <c r="C1380" s="18" t="s">
        <v>366</v>
      </c>
      <c r="D1380" s="18" t="s">
        <v>327</v>
      </c>
      <c r="E1380" s="18">
        <v>31</v>
      </c>
      <c r="F1380" t="s">
        <v>381</v>
      </c>
      <c r="G1380" s="18" t="s">
        <v>26</v>
      </c>
      <c r="H1380" s="18" t="s">
        <v>27</v>
      </c>
      <c r="I1380" s="18">
        <v>24600</v>
      </c>
      <c r="J1380" s="18">
        <v>3</v>
      </c>
      <c r="K1380" s="19">
        <f t="shared" si="63"/>
        <v>73800</v>
      </c>
      <c r="L1380" s="20">
        <v>45481</v>
      </c>
      <c r="M1380" s="18" t="str">
        <f t="shared" si="64"/>
        <v>Monday</v>
      </c>
      <c r="N1380" s="18" t="str">
        <f t="shared" si="65"/>
        <v>Weekday</v>
      </c>
      <c r="Q1380" s="18"/>
      <c r="R1380" s="18"/>
      <c r="S1380" s="21"/>
      <c r="T1380"/>
      <c r="U1380" s="6"/>
      <c r="W1380" s="7"/>
      <c r="Z1380" s="4"/>
    </row>
    <row r="1381" spans="1:26" x14ac:dyDescent="0.3">
      <c r="A1381" t="s">
        <v>1752</v>
      </c>
      <c r="B1381" s="22" t="s">
        <v>270</v>
      </c>
      <c r="C1381" s="24" t="s">
        <v>366</v>
      </c>
      <c r="D1381" s="24" t="s">
        <v>322</v>
      </c>
      <c r="E1381" s="24">
        <v>43</v>
      </c>
      <c r="F1381" t="s">
        <v>373</v>
      </c>
      <c r="G1381" s="24" t="s">
        <v>13</v>
      </c>
      <c r="H1381" s="24" t="s">
        <v>14</v>
      </c>
      <c r="I1381" s="24">
        <v>36900</v>
      </c>
      <c r="J1381" s="24">
        <v>2</v>
      </c>
      <c r="K1381" s="25">
        <f t="shared" si="63"/>
        <v>73800</v>
      </c>
      <c r="L1381" s="26">
        <v>45526</v>
      </c>
      <c r="M1381" s="24" t="str">
        <f t="shared" si="64"/>
        <v>Thursday</v>
      </c>
      <c r="N1381" s="24" t="str">
        <f t="shared" si="65"/>
        <v>Weekday</v>
      </c>
      <c r="Q1381" s="24"/>
      <c r="R1381" s="24"/>
      <c r="S1381" s="27"/>
      <c r="T1381"/>
      <c r="U1381" s="6"/>
      <c r="W1381" s="7"/>
      <c r="Z1381" s="4"/>
    </row>
    <row r="1382" spans="1:26" x14ac:dyDescent="0.3">
      <c r="A1382" t="s">
        <v>1753</v>
      </c>
      <c r="B1382" s="16" t="s">
        <v>253</v>
      </c>
      <c r="C1382" s="18" t="s">
        <v>366</v>
      </c>
      <c r="D1382" s="18" t="s">
        <v>323</v>
      </c>
      <c r="E1382" s="18">
        <v>51</v>
      </c>
      <c r="F1382" t="s">
        <v>381</v>
      </c>
      <c r="G1382" s="18" t="s">
        <v>13</v>
      </c>
      <c r="H1382" s="18" t="s">
        <v>14</v>
      </c>
      <c r="I1382" s="18">
        <v>36900</v>
      </c>
      <c r="J1382" s="18">
        <v>1</v>
      </c>
      <c r="K1382" s="19">
        <f t="shared" si="63"/>
        <v>36900</v>
      </c>
      <c r="L1382" s="20">
        <v>45379</v>
      </c>
      <c r="M1382" s="18" t="str">
        <f t="shared" si="64"/>
        <v>Thursday</v>
      </c>
      <c r="N1382" s="18" t="str">
        <f t="shared" si="65"/>
        <v>Weekday</v>
      </c>
      <c r="Q1382" s="18"/>
      <c r="R1382" s="18"/>
      <c r="S1382" s="21"/>
      <c r="T1382"/>
      <c r="U1382" s="6"/>
      <c r="W1382" s="7"/>
      <c r="Z1382" s="4"/>
    </row>
    <row r="1383" spans="1:26" x14ac:dyDescent="0.3">
      <c r="A1383" t="s">
        <v>1754</v>
      </c>
      <c r="B1383" s="22" t="s">
        <v>242</v>
      </c>
      <c r="C1383" s="24" t="s">
        <v>20</v>
      </c>
      <c r="D1383" s="24" t="s">
        <v>322</v>
      </c>
      <c r="E1383" s="24">
        <v>27</v>
      </c>
      <c r="F1383" t="s">
        <v>381</v>
      </c>
      <c r="G1383" s="24" t="s">
        <v>32</v>
      </c>
      <c r="H1383" s="24" t="s">
        <v>18</v>
      </c>
      <c r="I1383" s="24">
        <v>3690</v>
      </c>
      <c r="J1383" s="24">
        <v>2</v>
      </c>
      <c r="K1383" s="25">
        <f t="shared" si="63"/>
        <v>7380</v>
      </c>
      <c r="L1383" s="26">
        <v>45395</v>
      </c>
      <c r="M1383" s="24" t="str">
        <f t="shared" si="64"/>
        <v>Saturday</v>
      </c>
      <c r="N1383" s="24" t="str">
        <f t="shared" si="65"/>
        <v>Weekend</v>
      </c>
      <c r="Q1383" s="24"/>
      <c r="R1383" s="24"/>
      <c r="S1383" s="27"/>
      <c r="T1383"/>
      <c r="U1383" s="6"/>
      <c r="W1383" s="7"/>
      <c r="Z1383" s="4"/>
    </row>
    <row r="1384" spans="1:26" x14ac:dyDescent="0.3">
      <c r="A1384" t="s">
        <v>1755</v>
      </c>
      <c r="B1384" s="16" t="s">
        <v>71</v>
      </c>
      <c r="C1384" s="18" t="s">
        <v>20</v>
      </c>
      <c r="D1384" s="18" t="s">
        <v>323</v>
      </c>
      <c r="E1384" s="18">
        <v>67</v>
      </c>
      <c r="F1384" t="s">
        <v>370</v>
      </c>
      <c r="G1384" s="18" t="s">
        <v>32</v>
      </c>
      <c r="H1384" s="18" t="s">
        <v>18</v>
      </c>
      <c r="I1384" s="18">
        <v>3690</v>
      </c>
      <c r="J1384" s="18">
        <v>1</v>
      </c>
      <c r="K1384" s="19">
        <f t="shared" si="63"/>
        <v>3690</v>
      </c>
      <c r="L1384" s="20">
        <v>45533</v>
      </c>
      <c r="M1384" s="18" t="str">
        <f t="shared" si="64"/>
        <v>Thursday</v>
      </c>
      <c r="N1384" s="18" t="str">
        <f t="shared" si="65"/>
        <v>Weekday</v>
      </c>
      <c r="Q1384" s="18"/>
      <c r="R1384" s="18"/>
      <c r="S1384" s="21"/>
      <c r="T1384"/>
      <c r="U1384" s="6"/>
      <c r="W1384" s="7"/>
      <c r="Z1384" s="4"/>
    </row>
    <row r="1385" spans="1:26" x14ac:dyDescent="0.3">
      <c r="A1385" t="s">
        <v>1756</v>
      </c>
      <c r="B1385" s="22" t="s">
        <v>179</v>
      </c>
      <c r="C1385" s="24" t="s">
        <v>11</v>
      </c>
      <c r="D1385" s="24" t="s">
        <v>322</v>
      </c>
      <c r="E1385" s="24">
        <v>29</v>
      </c>
      <c r="F1385" t="s">
        <v>373</v>
      </c>
      <c r="G1385" s="24" t="s">
        <v>17</v>
      </c>
      <c r="H1385" s="24" t="s">
        <v>18</v>
      </c>
      <c r="I1385" s="24">
        <v>12300</v>
      </c>
      <c r="J1385" s="24">
        <v>4</v>
      </c>
      <c r="K1385" s="25">
        <f t="shared" si="63"/>
        <v>49200</v>
      </c>
      <c r="L1385" s="26">
        <v>45440</v>
      </c>
      <c r="M1385" s="24" t="str">
        <f t="shared" si="64"/>
        <v>Tuesday</v>
      </c>
      <c r="N1385" s="24" t="str">
        <f t="shared" si="65"/>
        <v>Weekday</v>
      </c>
      <c r="Q1385" s="24"/>
      <c r="R1385" s="24"/>
      <c r="S1385" s="27"/>
      <c r="T1385"/>
      <c r="U1385" s="6"/>
      <c r="W1385" s="7"/>
      <c r="Z1385" s="4"/>
    </row>
    <row r="1386" spans="1:26" x14ac:dyDescent="0.3">
      <c r="A1386" t="s">
        <v>1757</v>
      </c>
      <c r="B1386" s="16" t="s">
        <v>94</v>
      </c>
      <c r="C1386" s="18" t="s">
        <v>11</v>
      </c>
      <c r="D1386" s="18" t="s">
        <v>326</v>
      </c>
      <c r="E1386" s="18">
        <v>63</v>
      </c>
      <c r="F1386" t="s">
        <v>373</v>
      </c>
      <c r="G1386" s="18" t="s">
        <v>32</v>
      </c>
      <c r="H1386" s="18" t="s">
        <v>18</v>
      </c>
      <c r="I1386" s="18">
        <v>3690</v>
      </c>
      <c r="J1386" s="18">
        <v>2</v>
      </c>
      <c r="K1386" s="19">
        <f t="shared" si="63"/>
        <v>7380</v>
      </c>
      <c r="L1386" s="20">
        <v>45292</v>
      </c>
      <c r="M1386" s="18" t="str">
        <f t="shared" si="64"/>
        <v>Monday</v>
      </c>
      <c r="N1386" s="18" t="str">
        <f t="shared" si="65"/>
        <v>Weekday</v>
      </c>
      <c r="Q1386" s="18"/>
      <c r="R1386" s="18"/>
      <c r="S1386" s="21"/>
      <c r="T1386"/>
      <c r="U1386" s="6"/>
      <c r="W1386" s="7"/>
      <c r="Z1386" s="4"/>
    </row>
    <row r="1387" spans="1:26" x14ac:dyDescent="0.3">
      <c r="A1387" t="s">
        <v>1758</v>
      </c>
      <c r="B1387" s="22" t="s">
        <v>110</v>
      </c>
      <c r="C1387" s="24" t="s">
        <v>11</v>
      </c>
      <c r="D1387" s="24" t="s">
        <v>323</v>
      </c>
      <c r="E1387" s="24">
        <v>25</v>
      </c>
      <c r="F1387" t="s">
        <v>381</v>
      </c>
      <c r="G1387" s="24" t="s">
        <v>26</v>
      </c>
      <c r="H1387" s="24" t="s">
        <v>27</v>
      </c>
      <c r="I1387" s="24">
        <v>24600</v>
      </c>
      <c r="J1387" s="24">
        <v>3</v>
      </c>
      <c r="K1387" s="25">
        <f t="shared" si="63"/>
        <v>73800</v>
      </c>
      <c r="L1387" s="26">
        <v>45620</v>
      </c>
      <c r="M1387" s="24" t="str">
        <f t="shared" si="64"/>
        <v>Sunday</v>
      </c>
      <c r="N1387" s="24" t="str">
        <f t="shared" si="65"/>
        <v>Weekday</v>
      </c>
      <c r="Q1387" s="24"/>
      <c r="R1387" s="24"/>
      <c r="S1387" s="27"/>
      <c r="T1387"/>
      <c r="U1387" s="6"/>
      <c r="W1387" s="7"/>
      <c r="Z1387" s="4"/>
    </row>
    <row r="1388" spans="1:26" x14ac:dyDescent="0.3">
      <c r="A1388" t="s">
        <v>1759</v>
      </c>
      <c r="B1388" s="16" t="s">
        <v>103</v>
      </c>
      <c r="C1388" s="18" t="s">
        <v>366</v>
      </c>
      <c r="D1388" s="18" t="s">
        <v>326</v>
      </c>
      <c r="E1388" s="18">
        <v>51</v>
      </c>
      <c r="F1388" t="s">
        <v>375</v>
      </c>
      <c r="G1388" s="18" t="s">
        <v>26</v>
      </c>
      <c r="H1388" s="18" t="s">
        <v>27</v>
      </c>
      <c r="I1388" s="18">
        <v>24600</v>
      </c>
      <c r="J1388" s="18">
        <v>5</v>
      </c>
      <c r="K1388" s="19">
        <f t="shared" si="63"/>
        <v>123000</v>
      </c>
      <c r="L1388" s="20">
        <v>45629</v>
      </c>
      <c r="M1388" s="18" t="str">
        <f t="shared" si="64"/>
        <v>Tuesday</v>
      </c>
      <c r="N1388" s="18" t="str">
        <f t="shared" si="65"/>
        <v>Weekday</v>
      </c>
      <c r="Q1388" s="18"/>
      <c r="R1388" s="18"/>
      <c r="S1388" s="21"/>
      <c r="T1388"/>
      <c r="U1388" s="6"/>
      <c r="W1388" s="7"/>
      <c r="Z1388" s="4"/>
    </row>
    <row r="1389" spans="1:26" x14ac:dyDescent="0.3">
      <c r="A1389" t="s">
        <v>1760</v>
      </c>
      <c r="B1389" s="22" t="s">
        <v>77</v>
      </c>
      <c r="C1389" s="24" t="s">
        <v>366</v>
      </c>
      <c r="D1389" s="24" t="s">
        <v>322</v>
      </c>
      <c r="E1389" s="24">
        <v>49</v>
      </c>
      <c r="F1389" t="s">
        <v>373</v>
      </c>
      <c r="G1389" s="24" t="s">
        <v>17</v>
      </c>
      <c r="H1389" s="24" t="s">
        <v>18</v>
      </c>
      <c r="I1389" s="24">
        <v>12300</v>
      </c>
      <c r="J1389" s="24">
        <v>1</v>
      </c>
      <c r="K1389" s="25">
        <f t="shared" si="63"/>
        <v>12300</v>
      </c>
      <c r="L1389" s="26">
        <v>45424</v>
      </c>
      <c r="M1389" s="24" t="str">
        <f t="shared" si="64"/>
        <v>Sunday</v>
      </c>
      <c r="N1389" s="24" t="str">
        <f t="shared" si="65"/>
        <v>Weekday</v>
      </c>
      <c r="Q1389" s="24"/>
      <c r="R1389" s="24"/>
      <c r="S1389" s="27"/>
      <c r="T1389"/>
      <c r="U1389" s="6"/>
      <c r="W1389" s="7"/>
      <c r="Z1389" s="4"/>
    </row>
    <row r="1390" spans="1:26" x14ac:dyDescent="0.3">
      <c r="A1390" t="s">
        <v>1761</v>
      </c>
      <c r="B1390" s="16" t="s">
        <v>153</v>
      </c>
      <c r="C1390" s="18" t="s">
        <v>366</v>
      </c>
      <c r="D1390" s="18" t="s">
        <v>323</v>
      </c>
      <c r="E1390" s="18">
        <v>66</v>
      </c>
      <c r="F1390" t="s">
        <v>370</v>
      </c>
      <c r="G1390" s="18" t="s">
        <v>31</v>
      </c>
      <c r="H1390" s="18" t="s">
        <v>18</v>
      </c>
      <c r="I1390" s="18">
        <v>6150</v>
      </c>
      <c r="J1390" s="18">
        <v>5</v>
      </c>
      <c r="K1390" s="19">
        <f t="shared" si="63"/>
        <v>30750</v>
      </c>
      <c r="L1390" s="20">
        <v>45483</v>
      </c>
      <c r="M1390" s="18" t="str">
        <f t="shared" si="64"/>
        <v>Wednesday</v>
      </c>
      <c r="N1390" s="18" t="str">
        <f t="shared" si="65"/>
        <v>Weekday</v>
      </c>
      <c r="Q1390" s="18"/>
      <c r="R1390" s="18"/>
      <c r="S1390" s="21"/>
      <c r="T1390"/>
      <c r="U1390" s="6"/>
      <c r="W1390" s="7"/>
      <c r="Z1390" s="4"/>
    </row>
    <row r="1391" spans="1:26" x14ac:dyDescent="0.3">
      <c r="A1391" t="s">
        <v>1762</v>
      </c>
      <c r="B1391" s="22" t="s">
        <v>38</v>
      </c>
      <c r="C1391" s="24" t="s">
        <v>11</v>
      </c>
      <c r="D1391" s="24" t="s">
        <v>322</v>
      </c>
      <c r="E1391" s="24">
        <v>66</v>
      </c>
      <c r="F1391" t="s">
        <v>375</v>
      </c>
      <c r="G1391" s="24" t="s">
        <v>42</v>
      </c>
      <c r="H1391" s="24" t="s">
        <v>14</v>
      </c>
      <c r="I1391" s="24">
        <v>98400</v>
      </c>
      <c r="J1391" s="24">
        <v>3</v>
      </c>
      <c r="K1391" s="25">
        <f t="shared" si="63"/>
        <v>295200</v>
      </c>
      <c r="L1391" s="26">
        <v>45460</v>
      </c>
      <c r="M1391" s="24" t="str">
        <f t="shared" si="64"/>
        <v>Monday</v>
      </c>
      <c r="N1391" s="24" t="str">
        <f t="shared" si="65"/>
        <v>Weekday</v>
      </c>
      <c r="Q1391" s="24"/>
      <c r="R1391" s="24"/>
      <c r="S1391" s="27"/>
      <c r="T1391"/>
      <c r="U1391" s="6"/>
      <c r="W1391" s="7"/>
      <c r="Z1391" s="4"/>
    </row>
    <row r="1392" spans="1:26" x14ac:dyDescent="0.3">
      <c r="A1392" t="s">
        <v>1763</v>
      </c>
      <c r="B1392" s="16" t="s">
        <v>122</v>
      </c>
      <c r="C1392" s="18" t="s">
        <v>11</v>
      </c>
      <c r="D1392" s="18" t="s">
        <v>324</v>
      </c>
      <c r="E1392" s="18">
        <v>58</v>
      </c>
      <c r="F1392" t="s">
        <v>373</v>
      </c>
      <c r="G1392" s="18" t="s">
        <v>32</v>
      </c>
      <c r="H1392" s="18" t="s">
        <v>18</v>
      </c>
      <c r="I1392" s="18">
        <v>3690</v>
      </c>
      <c r="J1392" s="18">
        <v>4</v>
      </c>
      <c r="K1392" s="19">
        <f t="shared" si="63"/>
        <v>14760</v>
      </c>
      <c r="L1392" s="20">
        <v>45561</v>
      </c>
      <c r="M1392" s="18" t="str">
        <f t="shared" si="64"/>
        <v>Thursday</v>
      </c>
      <c r="N1392" s="18" t="str">
        <f t="shared" si="65"/>
        <v>Weekday</v>
      </c>
      <c r="Q1392" s="18"/>
      <c r="R1392" s="18"/>
      <c r="S1392" s="21"/>
      <c r="T1392"/>
      <c r="U1392" s="6"/>
      <c r="W1392" s="7"/>
      <c r="Z1392" s="4"/>
    </row>
    <row r="1393" spans="1:26" x14ac:dyDescent="0.3">
      <c r="A1393" t="s">
        <v>1764</v>
      </c>
      <c r="B1393" s="22" t="s">
        <v>148</v>
      </c>
      <c r="C1393" s="24" t="s">
        <v>20</v>
      </c>
      <c r="D1393" s="24" t="s">
        <v>323</v>
      </c>
      <c r="E1393" s="24">
        <v>68</v>
      </c>
      <c r="F1393" t="s">
        <v>370</v>
      </c>
      <c r="G1393" s="24" t="s">
        <v>26</v>
      </c>
      <c r="H1393" s="24" t="s">
        <v>27</v>
      </c>
      <c r="I1393" s="24">
        <v>24600</v>
      </c>
      <c r="J1393" s="24">
        <v>4</v>
      </c>
      <c r="K1393" s="25">
        <f t="shared" si="63"/>
        <v>98400</v>
      </c>
      <c r="L1393" s="26">
        <v>45433</v>
      </c>
      <c r="M1393" s="24" t="str">
        <f t="shared" si="64"/>
        <v>Tuesday</v>
      </c>
      <c r="N1393" s="24" t="str">
        <f t="shared" si="65"/>
        <v>Weekday</v>
      </c>
      <c r="Q1393" s="24"/>
      <c r="R1393" s="24"/>
      <c r="S1393" s="27"/>
      <c r="T1393"/>
      <c r="U1393" s="6"/>
      <c r="W1393" s="7"/>
      <c r="Z1393" s="4"/>
    </row>
    <row r="1394" spans="1:26" x14ac:dyDescent="0.3">
      <c r="A1394" t="s">
        <v>1765</v>
      </c>
      <c r="B1394" s="16" t="s">
        <v>62</v>
      </c>
      <c r="C1394" s="18" t="s">
        <v>366</v>
      </c>
      <c r="D1394" s="18" t="s">
        <v>329</v>
      </c>
      <c r="E1394" s="18">
        <v>43</v>
      </c>
      <c r="F1394" t="s">
        <v>375</v>
      </c>
      <c r="G1394" s="18" t="s">
        <v>31</v>
      </c>
      <c r="H1394" s="18" t="s">
        <v>18</v>
      </c>
      <c r="I1394" s="18">
        <v>6150</v>
      </c>
      <c r="J1394" s="18">
        <v>1</v>
      </c>
      <c r="K1394" s="19">
        <f t="shared" si="63"/>
        <v>6150</v>
      </c>
      <c r="L1394" s="20">
        <v>45601</v>
      </c>
      <c r="M1394" s="18" t="str">
        <f t="shared" si="64"/>
        <v>Tuesday</v>
      </c>
      <c r="N1394" s="18" t="str">
        <f t="shared" si="65"/>
        <v>Weekday</v>
      </c>
      <c r="Q1394" s="18"/>
      <c r="R1394" s="18"/>
      <c r="S1394" s="21"/>
      <c r="T1394"/>
      <c r="U1394" s="6"/>
      <c r="W1394" s="7"/>
      <c r="Z1394" s="4"/>
    </row>
    <row r="1395" spans="1:26" x14ac:dyDescent="0.3">
      <c r="A1395" t="s">
        <v>1766</v>
      </c>
      <c r="B1395" s="22" t="s">
        <v>224</v>
      </c>
      <c r="C1395" s="24" t="s">
        <v>11</v>
      </c>
      <c r="D1395" s="24" t="s">
        <v>323</v>
      </c>
      <c r="E1395" s="24">
        <v>67</v>
      </c>
      <c r="F1395" t="s">
        <v>373</v>
      </c>
      <c r="G1395" s="24" t="s">
        <v>42</v>
      </c>
      <c r="H1395" s="24" t="s">
        <v>14</v>
      </c>
      <c r="I1395" s="24">
        <v>98400</v>
      </c>
      <c r="J1395" s="24">
        <v>5</v>
      </c>
      <c r="K1395" s="25">
        <f t="shared" si="63"/>
        <v>492000</v>
      </c>
      <c r="L1395" s="26">
        <v>45526</v>
      </c>
      <c r="M1395" s="24" t="str">
        <f t="shared" si="64"/>
        <v>Thursday</v>
      </c>
      <c r="N1395" s="24" t="str">
        <f t="shared" si="65"/>
        <v>Weekday</v>
      </c>
      <c r="Q1395" s="24"/>
      <c r="R1395" s="24"/>
      <c r="S1395" s="27"/>
      <c r="T1395"/>
      <c r="U1395" s="6"/>
      <c r="W1395" s="7"/>
      <c r="Z1395" s="4"/>
    </row>
    <row r="1396" spans="1:26" x14ac:dyDescent="0.3">
      <c r="A1396" t="s">
        <v>1767</v>
      </c>
      <c r="B1396" s="16" t="s">
        <v>114</v>
      </c>
      <c r="C1396" s="18" t="s">
        <v>20</v>
      </c>
      <c r="D1396" s="18" t="s">
        <v>324</v>
      </c>
      <c r="E1396" s="18">
        <v>40</v>
      </c>
      <c r="F1396" t="s">
        <v>370</v>
      </c>
      <c r="G1396" s="18" t="s">
        <v>42</v>
      </c>
      <c r="H1396" s="18" t="s">
        <v>14</v>
      </c>
      <c r="I1396" s="18">
        <v>98400</v>
      </c>
      <c r="J1396" s="18">
        <v>4</v>
      </c>
      <c r="K1396" s="19">
        <f t="shared" si="63"/>
        <v>393600</v>
      </c>
      <c r="L1396" s="20">
        <v>45325</v>
      </c>
      <c r="M1396" s="18" t="str">
        <f t="shared" si="64"/>
        <v>Saturday</v>
      </c>
      <c r="N1396" s="18" t="str">
        <f t="shared" si="65"/>
        <v>Weekend</v>
      </c>
      <c r="Q1396" s="18"/>
      <c r="R1396" s="18"/>
      <c r="S1396" s="21"/>
      <c r="T1396"/>
      <c r="U1396" s="6"/>
      <c r="W1396" s="7"/>
      <c r="Z1396" s="4"/>
    </row>
    <row r="1397" spans="1:26" x14ac:dyDescent="0.3">
      <c r="A1397" t="s">
        <v>1768</v>
      </c>
      <c r="B1397" s="22" t="s">
        <v>33</v>
      </c>
      <c r="C1397" s="24" t="s">
        <v>11</v>
      </c>
      <c r="D1397" s="24" t="s">
        <v>323</v>
      </c>
      <c r="E1397" s="24">
        <v>29</v>
      </c>
      <c r="F1397" t="s">
        <v>375</v>
      </c>
      <c r="G1397" s="24" t="s">
        <v>31</v>
      </c>
      <c r="H1397" s="24" t="s">
        <v>18</v>
      </c>
      <c r="I1397" s="24">
        <v>6150</v>
      </c>
      <c r="J1397" s="24">
        <v>1</v>
      </c>
      <c r="K1397" s="25">
        <f t="shared" si="63"/>
        <v>6150</v>
      </c>
      <c r="L1397" s="26">
        <v>45537</v>
      </c>
      <c r="M1397" s="24" t="str">
        <f t="shared" si="64"/>
        <v>Monday</v>
      </c>
      <c r="N1397" s="24" t="str">
        <f t="shared" si="65"/>
        <v>Weekday</v>
      </c>
      <c r="Q1397" s="24"/>
      <c r="R1397" s="24"/>
      <c r="S1397" s="27"/>
      <c r="T1397"/>
      <c r="U1397" s="6"/>
      <c r="W1397" s="7"/>
      <c r="Z1397" s="4"/>
    </row>
    <row r="1398" spans="1:26" x14ac:dyDescent="0.3">
      <c r="A1398" t="s">
        <v>1769</v>
      </c>
      <c r="B1398" s="16" t="s">
        <v>56</v>
      </c>
      <c r="C1398" s="18" t="s">
        <v>20</v>
      </c>
      <c r="D1398" s="18" t="s">
        <v>329</v>
      </c>
      <c r="E1398" s="18">
        <v>53</v>
      </c>
      <c r="F1398" t="s">
        <v>373</v>
      </c>
      <c r="G1398" s="18" t="s">
        <v>42</v>
      </c>
      <c r="H1398" s="18" t="s">
        <v>14</v>
      </c>
      <c r="I1398" s="18">
        <v>98400</v>
      </c>
      <c r="J1398" s="18">
        <v>4</v>
      </c>
      <c r="K1398" s="19">
        <f t="shared" si="63"/>
        <v>393600</v>
      </c>
      <c r="L1398" s="20">
        <v>45649</v>
      </c>
      <c r="M1398" s="18" t="str">
        <f t="shared" si="64"/>
        <v>Monday</v>
      </c>
      <c r="N1398" s="18" t="str">
        <f t="shared" si="65"/>
        <v>Weekday</v>
      </c>
      <c r="Q1398" s="18"/>
      <c r="R1398" s="18"/>
      <c r="S1398" s="21"/>
      <c r="T1398"/>
      <c r="U1398" s="6"/>
      <c r="W1398" s="7"/>
      <c r="Z1398" s="4"/>
    </row>
    <row r="1399" spans="1:26" x14ac:dyDescent="0.3">
      <c r="A1399" t="s">
        <v>1770</v>
      </c>
      <c r="B1399" s="22" t="s">
        <v>282</v>
      </c>
      <c r="C1399" s="24" t="s">
        <v>11</v>
      </c>
      <c r="D1399" s="24" t="s">
        <v>325</v>
      </c>
      <c r="E1399" s="24">
        <v>26</v>
      </c>
      <c r="F1399" t="s">
        <v>375</v>
      </c>
      <c r="G1399" s="24" t="s">
        <v>42</v>
      </c>
      <c r="H1399" s="24" t="s">
        <v>14</v>
      </c>
      <c r="I1399" s="24">
        <v>98400</v>
      </c>
      <c r="J1399" s="24">
        <v>4</v>
      </c>
      <c r="K1399" s="25">
        <f t="shared" si="63"/>
        <v>393600</v>
      </c>
      <c r="L1399" s="26">
        <v>45599</v>
      </c>
      <c r="M1399" s="24" t="str">
        <f t="shared" si="64"/>
        <v>Sunday</v>
      </c>
      <c r="N1399" s="24" t="str">
        <f t="shared" si="65"/>
        <v>Weekday</v>
      </c>
      <c r="Q1399" s="24"/>
      <c r="R1399" s="24"/>
      <c r="S1399" s="27"/>
      <c r="T1399"/>
      <c r="U1399" s="6"/>
      <c r="W1399" s="7"/>
      <c r="Z1399" s="4"/>
    </row>
    <row r="1400" spans="1:26" x14ac:dyDescent="0.3">
      <c r="A1400" t="s">
        <v>1771</v>
      </c>
      <c r="B1400" s="16" t="s">
        <v>300</v>
      </c>
      <c r="C1400" s="18" t="s">
        <v>20</v>
      </c>
      <c r="D1400" s="18" t="s">
        <v>324</v>
      </c>
      <c r="E1400" s="18">
        <v>35</v>
      </c>
      <c r="F1400" t="s">
        <v>381</v>
      </c>
      <c r="G1400" s="18" t="s">
        <v>31</v>
      </c>
      <c r="H1400" s="18" t="s">
        <v>18</v>
      </c>
      <c r="I1400" s="18">
        <v>6150</v>
      </c>
      <c r="J1400" s="18">
        <v>5</v>
      </c>
      <c r="K1400" s="19">
        <f t="shared" si="63"/>
        <v>30750</v>
      </c>
      <c r="L1400" s="20">
        <v>45483</v>
      </c>
      <c r="M1400" s="18" t="str">
        <f t="shared" si="64"/>
        <v>Wednesday</v>
      </c>
      <c r="N1400" s="18" t="str">
        <f t="shared" si="65"/>
        <v>Weekday</v>
      </c>
      <c r="Q1400" s="18"/>
      <c r="R1400" s="18"/>
      <c r="S1400" s="21"/>
      <c r="T1400"/>
      <c r="U1400" s="6"/>
      <c r="W1400" s="7"/>
      <c r="Z1400" s="4"/>
    </row>
    <row r="1401" spans="1:26" x14ac:dyDescent="0.3">
      <c r="A1401" t="s">
        <v>1772</v>
      </c>
      <c r="B1401" s="22" t="s">
        <v>66</v>
      </c>
      <c r="C1401" s="24" t="s">
        <v>11</v>
      </c>
      <c r="D1401" s="24" t="s">
        <v>322</v>
      </c>
      <c r="E1401" s="24">
        <v>19</v>
      </c>
      <c r="F1401" t="s">
        <v>381</v>
      </c>
      <c r="G1401" s="24" t="s">
        <v>31</v>
      </c>
      <c r="H1401" s="24" t="s">
        <v>18</v>
      </c>
      <c r="I1401" s="24">
        <v>6150</v>
      </c>
      <c r="J1401" s="24">
        <v>2</v>
      </c>
      <c r="K1401" s="25">
        <f t="shared" si="63"/>
        <v>12300</v>
      </c>
      <c r="L1401" s="26">
        <v>45430</v>
      </c>
      <c r="M1401" s="24" t="str">
        <f t="shared" si="64"/>
        <v>Saturday</v>
      </c>
      <c r="N1401" s="24" t="str">
        <f t="shared" si="65"/>
        <v>Weekend</v>
      </c>
      <c r="Q1401" s="24"/>
      <c r="R1401" s="24"/>
      <c r="S1401" s="27"/>
      <c r="T1401"/>
      <c r="U1401" s="6"/>
      <c r="W1401" s="7"/>
      <c r="Z1401" s="4"/>
    </row>
    <row r="1402" spans="1:26" x14ac:dyDescent="0.3">
      <c r="A1402" t="s">
        <v>1773</v>
      </c>
      <c r="B1402" s="16" t="s">
        <v>193</v>
      </c>
      <c r="C1402" s="18" t="s">
        <v>20</v>
      </c>
      <c r="D1402" s="18" t="s">
        <v>323</v>
      </c>
      <c r="E1402" s="18">
        <v>64</v>
      </c>
      <c r="F1402" t="s">
        <v>375</v>
      </c>
      <c r="G1402" s="18" t="s">
        <v>26</v>
      </c>
      <c r="H1402" s="18" t="s">
        <v>27</v>
      </c>
      <c r="I1402" s="18">
        <v>24600</v>
      </c>
      <c r="J1402" s="18">
        <v>5</v>
      </c>
      <c r="K1402" s="19">
        <f t="shared" si="63"/>
        <v>123000</v>
      </c>
      <c r="L1402" s="20">
        <v>45587</v>
      </c>
      <c r="M1402" s="18" t="str">
        <f t="shared" si="64"/>
        <v>Tuesday</v>
      </c>
      <c r="N1402" s="18" t="str">
        <f t="shared" si="65"/>
        <v>Weekday</v>
      </c>
      <c r="Q1402" s="18"/>
      <c r="R1402" s="18"/>
      <c r="S1402" s="21"/>
      <c r="T1402"/>
      <c r="U1402" s="6"/>
      <c r="W1402" s="7"/>
      <c r="Z1402" s="4"/>
    </row>
    <row r="1403" spans="1:26" x14ac:dyDescent="0.3">
      <c r="A1403" t="s">
        <v>1774</v>
      </c>
      <c r="B1403" s="22" t="s">
        <v>59</v>
      </c>
      <c r="C1403" s="24" t="s">
        <v>11</v>
      </c>
      <c r="D1403" s="24" t="s">
        <v>322</v>
      </c>
      <c r="E1403" s="24">
        <v>41</v>
      </c>
      <c r="F1403" t="s">
        <v>381</v>
      </c>
      <c r="G1403" s="24" t="s">
        <v>24</v>
      </c>
      <c r="H1403" s="24" t="s">
        <v>14</v>
      </c>
      <c r="I1403" s="24">
        <v>184500</v>
      </c>
      <c r="J1403" s="24">
        <v>4</v>
      </c>
      <c r="K1403" s="25">
        <f t="shared" si="63"/>
        <v>738000</v>
      </c>
      <c r="L1403" s="26">
        <v>45384</v>
      </c>
      <c r="M1403" s="24" t="str">
        <f t="shared" si="64"/>
        <v>Tuesday</v>
      </c>
      <c r="N1403" s="24" t="str">
        <f t="shared" si="65"/>
        <v>Weekday</v>
      </c>
      <c r="Q1403" s="24"/>
      <c r="R1403" s="24"/>
      <c r="S1403" s="27"/>
      <c r="T1403"/>
      <c r="U1403" s="6"/>
      <c r="W1403" s="7"/>
      <c r="Z1403" s="4"/>
    </row>
    <row r="1404" spans="1:26" x14ac:dyDescent="0.3">
      <c r="A1404" t="s">
        <v>1775</v>
      </c>
      <c r="B1404" s="16" t="s">
        <v>151</v>
      </c>
      <c r="C1404" s="18" t="s">
        <v>11</v>
      </c>
      <c r="D1404" s="18" t="s">
        <v>329</v>
      </c>
      <c r="E1404" s="18">
        <v>59</v>
      </c>
      <c r="F1404" t="s">
        <v>381</v>
      </c>
      <c r="G1404" s="18" t="s">
        <v>13</v>
      </c>
      <c r="H1404" s="18" t="s">
        <v>14</v>
      </c>
      <c r="I1404" s="18">
        <v>36900</v>
      </c>
      <c r="J1404" s="18">
        <v>4</v>
      </c>
      <c r="K1404" s="19">
        <f t="shared" si="63"/>
        <v>147600</v>
      </c>
      <c r="L1404" s="20">
        <v>45646</v>
      </c>
      <c r="M1404" s="18" t="str">
        <f t="shared" si="64"/>
        <v>Friday</v>
      </c>
      <c r="N1404" s="18" t="str">
        <f t="shared" si="65"/>
        <v>Weekend</v>
      </c>
      <c r="Q1404" s="18"/>
      <c r="R1404" s="18"/>
      <c r="S1404" s="21"/>
      <c r="T1404"/>
      <c r="U1404" s="6"/>
      <c r="W1404" s="7"/>
      <c r="Z1404" s="4"/>
    </row>
    <row r="1405" spans="1:26" x14ac:dyDescent="0.3">
      <c r="A1405" t="s">
        <v>1776</v>
      </c>
      <c r="B1405" s="22" t="s">
        <v>54</v>
      </c>
      <c r="C1405" s="24" t="s">
        <v>11</v>
      </c>
      <c r="D1405" s="24" t="s">
        <v>322</v>
      </c>
      <c r="E1405" s="24">
        <v>57</v>
      </c>
      <c r="F1405" t="s">
        <v>375</v>
      </c>
      <c r="G1405" s="24" t="s">
        <v>24</v>
      </c>
      <c r="H1405" s="24" t="s">
        <v>14</v>
      </c>
      <c r="I1405" s="24">
        <v>184500</v>
      </c>
      <c r="J1405" s="24">
        <v>2</v>
      </c>
      <c r="K1405" s="25">
        <f t="shared" si="63"/>
        <v>369000</v>
      </c>
      <c r="L1405" s="26">
        <v>45356</v>
      </c>
      <c r="M1405" s="24" t="str">
        <f t="shared" si="64"/>
        <v>Tuesday</v>
      </c>
      <c r="N1405" s="24" t="str">
        <f t="shared" si="65"/>
        <v>Weekday</v>
      </c>
      <c r="Q1405" s="24"/>
      <c r="R1405" s="24"/>
      <c r="S1405" s="27"/>
      <c r="T1405"/>
      <c r="U1405" s="6"/>
      <c r="W1405" s="7"/>
      <c r="Z1405" s="4"/>
    </row>
    <row r="1406" spans="1:26" x14ac:dyDescent="0.3">
      <c r="A1406" t="s">
        <v>1777</v>
      </c>
      <c r="B1406" s="16" t="s">
        <v>25</v>
      </c>
      <c r="C1406" s="18" t="s">
        <v>11</v>
      </c>
      <c r="D1406" s="18" t="s">
        <v>323</v>
      </c>
      <c r="E1406" s="18">
        <v>64</v>
      </c>
      <c r="F1406" t="s">
        <v>381</v>
      </c>
      <c r="G1406" s="18" t="s">
        <v>17</v>
      </c>
      <c r="H1406" s="18" t="s">
        <v>18</v>
      </c>
      <c r="I1406" s="18">
        <v>12300</v>
      </c>
      <c r="J1406" s="18">
        <v>4</v>
      </c>
      <c r="K1406" s="19">
        <f t="shared" si="63"/>
        <v>49200</v>
      </c>
      <c r="L1406" s="20">
        <v>45643</v>
      </c>
      <c r="M1406" s="18" t="str">
        <f t="shared" si="64"/>
        <v>Tuesday</v>
      </c>
      <c r="N1406" s="18" t="str">
        <f t="shared" si="65"/>
        <v>Weekday</v>
      </c>
      <c r="Q1406" s="18"/>
      <c r="R1406" s="18"/>
      <c r="S1406" s="21"/>
      <c r="T1406"/>
      <c r="U1406" s="6"/>
      <c r="W1406" s="7"/>
      <c r="Z1406" s="4"/>
    </row>
    <row r="1407" spans="1:26" x14ac:dyDescent="0.3">
      <c r="A1407" t="s">
        <v>1778</v>
      </c>
      <c r="B1407" s="22" t="s">
        <v>158</v>
      </c>
      <c r="C1407" s="24" t="s">
        <v>20</v>
      </c>
      <c r="D1407" s="24" t="s">
        <v>322</v>
      </c>
      <c r="E1407" s="24">
        <v>54</v>
      </c>
      <c r="F1407" t="s">
        <v>375</v>
      </c>
      <c r="G1407" s="24" t="s">
        <v>17</v>
      </c>
      <c r="H1407" s="24" t="s">
        <v>18</v>
      </c>
      <c r="I1407" s="24">
        <v>12300</v>
      </c>
      <c r="J1407" s="24">
        <v>3</v>
      </c>
      <c r="K1407" s="25">
        <f t="shared" si="63"/>
        <v>36900</v>
      </c>
      <c r="L1407" s="26">
        <v>45319</v>
      </c>
      <c r="M1407" s="24" t="str">
        <f t="shared" si="64"/>
        <v>Sunday</v>
      </c>
      <c r="N1407" s="24" t="str">
        <f t="shared" si="65"/>
        <v>Weekday</v>
      </c>
      <c r="Q1407" s="24"/>
      <c r="R1407" s="24"/>
      <c r="S1407" s="27"/>
      <c r="T1407"/>
      <c r="U1407" s="6"/>
      <c r="W1407" s="7"/>
      <c r="Z1407" s="4"/>
    </row>
    <row r="1408" spans="1:26" x14ac:dyDescent="0.3">
      <c r="A1408" t="s">
        <v>1779</v>
      </c>
      <c r="B1408" s="16" t="s">
        <v>163</v>
      </c>
      <c r="C1408" s="18" t="s">
        <v>11</v>
      </c>
      <c r="D1408" s="18" t="s">
        <v>323</v>
      </c>
      <c r="E1408" s="18">
        <v>65</v>
      </c>
      <c r="F1408" t="s">
        <v>375</v>
      </c>
      <c r="G1408" s="18" t="s">
        <v>32</v>
      </c>
      <c r="H1408" s="18" t="s">
        <v>18</v>
      </c>
      <c r="I1408" s="18">
        <v>3690</v>
      </c>
      <c r="J1408" s="18">
        <v>1</v>
      </c>
      <c r="K1408" s="19">
        <f t="shared" si="63"/>
        <v>3690</v>
      </c>
      <c r="L1408" s="20">
        <v>45423</v>
      </c>
      <c r="M1408" s="18" t="str">
        <f t="shared" si="64"/>
        <v>Saturday</v>
      </c>
      <c r="N1408" s="18" t="str">
        <f t="shared" si="65"/>
        <v>Weekend</v>
      </c>
      <c r="Q1408" s="18"/>
      <c r="R1408" s="18"/>
      <c r="S1408" s="21"/>
      <c r="T1408"/>
      <c r="U1408" s="6"/>
      <c r="W1408" s="7"/>
      <c r="Z1408" s="4"/>
    </row>
    <row r="1409" spans="1:26" x14ac:dyDescent="0.3">
      <c r="A1409" t="s">
        <v>1780</v>
      </c>
      <c r="B1409" s="22" t="s">
        <v>65</v>
      </c>
      <c r="C1409" s="24" t="s">
        <v>11</v>
      </c>
      <c r="D1409" s="24" t="s">
        <v>326</v>
      </c>
      <c r="E1409" s="24">
        <v>61</v>
      </c>
      <c r="F1409" t="s">
        <v>381</v>
      </c>
      <c r="G1409" s="24" t="s">
        <v>26</v>
      </c>
      <c r="H1409" s="24" t="s">
        <v>27</v>
      </c>
      <c r="I1409" s="24">
        <v>24600</v>
      </c>
      <c r="J1409" s="24">
        <v>4</v>
      </c>
      <c r="K1409" s="25">
        <f t="shared" si="63"/>
        <v>98400</v>
      </c>
      <c r="L1409" s="26">
        <v>45581</v>
      </c>
      <c r="M1409" s="24" t="str">
        <f t="shared" si="64"/>
        <v>Wednesday</v>
      </c>
      <c r="N1409" s="24" t="str">
        <f t="shared" si="65"/>
        <v>Weekday</v>
      </c>
      <c r="Q1409" s="24"/>
      <c r="R1409" s="24"/>
      <c r="S1409" s="27"/>
      <c r="T1409"/>
      <c r="U1409" s="6"/>
      <c r="W1409" s="7"/>
      <c r="Z1409" s="4"/>
    </row>
    <row r="1410" spans="1:26" x14ac:dyDescent="0.3">
      <c r="A1410" t="s">
        <v>1781</v>
      </c>
      <c r="B1410" s="16" t="s">
        <v>316</v>
      </c>
      <c r="C1410" s="18" t="s">
        <v>20</v>
      </c>
      <c r="D1410" s="18" t="s">
        <v>322</v>
      </c>
      <c r="E1410" s="18">
        <v>54</v>
      </c>
      <c r="F1410" t="s">
        <v>373</v>
      </c>
      <c r="G1410" s="18" t="s">
        <v>17</v>
      </c>
      <c r="H1410" s="18" t="s">
        <v>18</v>
      </c>
      <c r="I1410" s="18">
        <v>12300</v>
      </c>
      <c r="J1410" s="18">
        <v>3</v>
      </c>
      <c r="K1410" s="19">
        <f t="shared" ref="K1410:K1473" si="66">I1410*J1410</f>
        <v>36900</v>
      </c>
      <c r="L1410" s="20">
        <v>45569</v>
      </c>
      <c r="M1410" s="18" t="str">
        <f t="shared" ref="M1410:M1473" si="67">TEXT(L1410, "dddd")</f>
        <v>Friday</v>
      </c>
      <c r="N1410" s="18" t="str">
        <f t="shared" ref="N1410:N1473" si="68">IF(OR(WEEKDAY(L1410, 2)=5, WEEKDAY(L1410, 2)=6), "Weekend", "Weekday")</f>
        <v>Weekend</v>
      </c>
      <c r="Q1410" s="18"/>
      <c r="R1410" s="18"/>
      <c r="S1410" s="21"/>
      <c r="T1410"/>
      <c r="U1410" s="6"/>
      <c r="W1410" s="7"/>
      <c r="Z1410" s="4"/>
    </row>
    <row r="1411" spans="1:26" x14ac:dyDescent="0.3">
      <c r="A1411" t="s">
        <v>1782</v>
      </c>
      <c r="B1411" s="22" t="s">
        <v>85</v>
      </c>
      <c r="C1411" s="24" t="s">
        <v>11</v>
      </c>
      <c r="D1411" s="24" t="s">
        <v>326</v>
      </c>
      <c r="E1411" s="24">
        <v>36</v>
      </c>
      <c r="F1411" t="s">
        <v>375</v>
      </c>
      <c r="G1411" s="24" t="s">
        <v>17</v>
      </c>
      <c r="H1411" s="24" t="s">
        <v>18</v>
      </c>
      <c r="I1411" s="24">
        <v>12300</v>
      </c>
      <c r="J1411" s="24">
        <v>5</v>
      </c>
      <c r="K1411" s="25">
        <f t="shared" si="66"/>
        <v>61500</v>
      </c>
      <c r="L1411" s="26">
        <v>45330</v>
      </c>
      <c r="M1411" s="24" t="str">
        <f t="shared" si="67"/>
        <v>Thursday</v>
      </c>
      <c r="N1411" s="24" t="str">
        <f t="shared" si="68"/>
        <v>Weekday</v>
      </c>
      <c r="Q1411" s="24"/>
      <c r="R1411" s="24"/>
      <c r="S1411" s="27"/>
      <c r="T1411"/>
      <c r="U1411" s="6"/>
      <c r="W1411" s="7"/>
      <c r="Z1411" s="4"/>
    </row>
    <row r="1412" spans="1:26" x14ac:dyDescent="0.3">
      <c r="A1412" t="s">
        <v>1783</v>
      </c>
      <c r="B1412" s="16" t="s">
        <v>49</v>
      </c>
      <c r="C1412" s="18" t="s">
        <v>20</v>
      </c>
      <c r="D1412" s="18" t="s">
        <v>323</v>
      </c>
      <c r="E1412" s="18">
        <v>57</v>
      </c>
      <c r="F1412" t="s">
        <v>375</v>
      </c>
      <c r="G1412" s="18" t="s">
        <v>26</v>
      </c>
      <c r="H1412" s="18" t="s">
        <v>27</v>
      </c>
      <c r="I1412" s="18">
        <v>24600</v>
      </c>
      <c r="J1412" s="18">
        <v>3</v>
      </c>
      <c r="K1412" s="19">
        <f t="shared" si="66"/>
        <v>73800</v>
      </c>
      <c r="L1412" s="20">
        <v>45297</v>
      </c>
      <c r="M1412" s="18" t="str">
        <f t="shared" si="67"/>
        <v>Saturday</v>
      </c>
      <c r="N1412" s="18" t="str">
        <f t="shared" si="68"/>
        <v>Weekend</v>
      </c>
      <c r="Q1412" s="18"/>
      <c r="R1412" s="18"/>
      <c r="S1412" s="21"/>
      <c r="T1412"/>
      <c r="U1412" s="6"/>
      <c r="W1412" s="7"/>
      <c r="Z1412" s="4"/>
    </row>
    <row r="1413" spans="1:26" x14ac:dyDescent="0.3">
      <c r="A1413" t="s">
        <v>1784</v>
      </c>
      <c r="B1413" s="22" t="s">
        <v>44</v>
      </c>
      <c r="C1413" s="24" t="s">
        <v>20</v>
      </c>
      <c r="D1413" s="24" t="s">
        <v>322</v>
      </c>
      <c r="E1413" s="24">
        <v>59</v>
      </c>
      <c r="F1413" t="s">
        <v>373</v>
      </c>
      <c r="G1413" s="24" t="s">
        <v>31</v>
      </c>
      <c r="H1413" s="24" t="s">
        <v>18</v>
      </c>
      <c r="I1413" s="24">
        <v>6150</v>
      </c>
      <c r="J1413" s="24">
        <v>4</v>
      </c>
      <c r="K1413" s="25">
        <f t="shared" si="66"/>
        <v>24600</v>
      </c>
      <c r="L1413" s="26">
        <v>45305</v>
      </c>
      <c r="M1413" s="24" t="str">
        <f t="shared" si="67"/>
        <v>Sunday</v>
      </c>
      <c r="N1413" s="24" t="str">
        <f t="shared" si="68"/>
        <v>Weekday</v>
      </c>
      <c r="Q1413" s="24"/>
      <c r="R1413" s="24"/>
      <c r="S1413" s="27"/>
      <c r="T1413"/>
      <c r="U1413" s="6"/>
      <c r="W1413" s="7"/>
      <c r="Z1413" s="4"/>
    </row>
    <row r="1414" spans="1:26" x14ac:dyDescent="0.3">
      <c r="A1414" t="s">
        <v>1785</v>
      </c>
      <c r="B1414" s="16" t="s">
        <v>189</v>
      </c>
      <c r="C1414" s="18" t="s">
        <v>20</v>
      </c>
      <c r="D1414" s="18" t="s">
        <v>322</v>
      </c>
      <c r="E1414" s="18">
        <v>48</v>
      </c>
      <c r="F1414" t="s">
        <v>381</v>
      </c>
      <c r="G1414" s="18" t="s">
        <v>24</v>
      </c>
      <c r="H1414" s="18" t="s">
        <v>14</v>
      </c>
      <c r="I1414" s="18">
        <v>184500</v>
      </c>
      <c r="J1414" s="18">
        <v>1</v>
      </c>
      <c r="K1414" s="19">
        <f t="shared" si="66"/>
        <v>184500</v>
      </c>
      <c r="L1414" s="20">
        <v>45521</v>
      </c>
      <c r="M1414" s="18" t="str">
        <f t="shared" si="67"/>
        <v>Saturday</v>
      </c>
      <c r="N1414" s="18" t="str">
        <f t="shared" si="68"/>
        <v>Weekend</v>
      </c>
      <c r="Q1414" s="18"/>
      <c r="R1414" s="18"/>
      <c r="S1414" s="21"/>
      <c r="T1414"/>
      <c r="U1414" s="6"/>
      <c r="W1414" s="7"/>
      <c r="Z1414" s="4"/>
    </row>
    <row r="1415" spans="1:26" x14ac:dyDescent="0.3">
      <c r="A1415" t="s">
        <v>1786</v>
      </c>
      <c r="B1415" s="22" t="s">
        <v>52</v>
      </c>
      <c r="C1415" s="24" t="s">
        <v>366</v>
      </c>
      <c r="D1415" s="24" t="s">
        <v>327</v>
      </c>
      <c r="E1415" s="24">
        <v>31</v>
      </c>
      <c r="F1415" t="s">
        <v>370</v>
      </c>
      <c r="G1415" s="24" t="s">
        <v>17</v>
      </c>
      <c r="H1415" s="24" t="s">
        <v>18</v>
      </c>
      <c r="I1415" s="24">
        <v>12300</v>
      </c>
      <c r="J1415" s="24">
        <v>2</v>
      </c>
      <c r="K1415" s="25">
        <f t="shared" si="66"/>
        <v>24600</v>
      </c>
      <c r="L1415" s="26">
        <v>45335</v>
      </c>
      <c r="M1415" s="24" t="str">
        <f t="shared" si="67"/>
        <v>Tuesday</v>
      </c>
      <c r="N1415" s="24" t="str">
        <f t="shared" si="68"/>
        <v>Weekday</v>
      </c>
      <c r="Q1415" s="24"/>
      <c r="R1415" s="24"/>
      <c r="S1415" s="27"/>
      <c r="T1415"/>
      <c r="U1415" s="6"/>
      <c r="W1415" s="7"/>
      <c r="Z1415" s="4"/>
    </row>
    <row r="1416" spans="1:26" x14ac:dyDescent="0.3">
      <c r="A1416" t="s">
        <v>1787</v>
      </c>
      <c r="B1416" s="16" t="s">
        <v>61</v>
      </c>
      <c r="C1416" s="18" t="s">
        <v>11</v>
      </c>
      <c r="D1416" s="18" t="s">
        <v>322</v>
      </c>
      <c r="E1416" s="18">
        <v>68</v>
      </c>
      <c r="F1416" t="s">
        <v>373</v>
      </c>
      <c r="G1416" s="18" t="s">
        <v>26</v>
      </c>
      <c r="H1416" s="18" t="s">
        <v>27</v>
      </c>
      <c r="I1416" s="18">
        <v>24600</v>
      </c>
      <c r="J1416" s="18">
        <v>3</v>
      </c>
      <c r="K1416" s="19">
        <f t="shared" si="66"/>
        <v>73800</v>
      </c>
      <c r="L1416" s="20">
        <v>45576</v>
      </c>
      <c r="M1416" s="18" t="str">
        <f t="shared" si="67"/>
        <v>Friday</v>
      </c>
      <c r="N1416" s="18" t="str">
        <f t="shared" si="68"/>
        <v>Weekend</v>
      </c>
      <c r="Q1416" s="18"/>
      <c r="R1416" s="18"/>
      <c r="S1416" s="21"/>
      <c r="T1416"/>
      <c r="U1416" s="6"/>
      <c r="W1416" s="7"/>
      <c r="Z1416" s="4"/>
    </row>
    <row r="1417" spans="1:26" x14ac:dyDescent="0.3">
      <c r="A1417" t="s">
        <v>1788</v>
      </c>
      <c r="B1417" s="22" t="s">
        <v>70</v>
      </c>
      <c r="C1417" s="24" t="s">
        <v>11</v>
      </c>
      <c r="D1417" s="24" t="s">
        <v>329</v>
      </c>
      <c r="E1417" s="24">
        <v>44</v>
      </c>
      <c r="F1417" t="s">
        <v>370</v>
      </c>
      <c r="G1417" s="24" t="s">
        <v>31</v>
      </c>
      <c r="H1417" s="24" t="s">
        <v>18</v>
      </c>
      <c r="I1417" s="24">
        <v>6150</v>
      </c>
      <c r="J1417" s="24">
        <v>4</v>
      </c>
      <c r="K1417" s="25">
        <f t="shared" si="66"/>
        <v>24600</v>
      </c>
      <c r="L1417" s="26">
        <v>45332</v>
      </c>
      <c r="M1417" s="24" t="str">
        <f t="shared" si="67"/>
        <v>Saturday</v>
      </c>
      <c r="N1417" s="24" t="str">
        <f t="shared" si="68"/>
        <v>Weekend</v>
      </c>
      <c r="Q1417" s="24"/>
      <c r="R1417" s="24"/>
      <c r="S1417" s="27"/>
      <c r="T1417"/>
      <c r="U1417" s="6"/>
      <c r="W1417" s="7"/>
      <c r="Z1417" s="4"/>
    </row>
    <row r="1418" spans="1:26" x14ac:dyDescent="0.3">
      <c r="A1418" t="s">
        <v>1789</v>
      </c>
      <c r="B1418" s="16" t="s">
        <v>314</v>
      </c>
      <c r="C1418" s="18" t="s">
        <v>11</v>
      </c>
      <c r="D1418" s="18" t="s">
        <v>322</v>
      </c>
      <c r="E1418" s="18">
        <v>63</v>
      </c>
      <c r="F1418" t="s">
        <v>381</v>
      </c>
      <c r="G1418" s="18" t="s">
        <v>42</v>
      </c>
      <c r="H1418" s="18" t="s">
        <v>14</v>
      </c>
      <c r="I1418" s="18">
        <v>98400</v>
      </c>
      <c r="J1418" s="18">
        <v>3</v>
      </c>
      <c r="K1418" s="19">
        <f t="shared" si="66"/>
        <v>295200</v>
      </c>
      <c r="L1418" s="20">
        <v>45519</v>
      </c>
      <c r="M1418" s="18" t="str">
        <f t="shared" si="67"/>
        <v>Thursday</v>
      </c>
      <c r="N1418" s="18" t="str">
        <f t="shared" si="68"/>
        <v>Weekday</v>
      </c>
      <c r="Q1418" s="18"/>
      <c r="R1418" s="18"/>
      <c r="S1418" s="21"/>
      <c r="T1418"/>
      <c r="U1418" s="6"/>
      <c r="W1418" s="7"/>
      <c r="Z1418" s="4"/>
    </row>
    <row r="1419" spans="1:26" x14ac:dyDescent="0.3">
      <c r="A1419" t="s">
        <v>1790</v>
      </c>
      <c r="B1419" s="22" t="s">
        <v>214</v>
      </c>
      <c r="C1419" s="24" t="s">
        <v>11</v>
      </c>
      <c r="D1419" s="24" t="s">
        <v>325</v>
      </c>
      <c r="E1419" s="24">
        <v>67</v>
      </c>
      <c r="F1419" t="s">
        <v>375</v>
      </c>
      <c r="G1419" s="24" t="s">
        <v>31</v>
      </c>
      <c r="H1419" s="24" t="s">
        <v>18</v>
      </c>
      <c r="I1419" s="24">
        <v>6150</v>
      </c>
      <c r="J1419" s="24">
        <v>4</v>
      </c>
      <c r="K1419" s="25">
        <f t="shared" si="66"/>
        <v>24600</v>
      </c>
      <c r="L1419" s="26">
        <v>45419</v>
      </c>
      <c r="M1419" s="24" t="str">
        <f t="shared" si="67"/>
        <v>Tuesday</v>
      </c>
      <c r="N1419" s="24" t="str">
        <f t="shared" si="68"/>
        <v>Weekday</v>
      </c>
      <c r="Q1419" s="24"/>
      <c r="R1419" s="24"/>
      <c r="S1419" s="27"/>
      <c r="T1419"/>
      <c r="U1419" s="6"/>
      <c r="W1419" s="7"/>
      <c r="Z1419" s="4"/>
    </row>
    <row r="1420" spans="1:26" x14ac:dyDescent="0.3">
      <c r="A1420" t="s">
        <v>1791</v>
      </c>
      <c r="B1420" s="16" t="s">
        <v>305</v>
      </c>
      <c r="C1420" s="18" t="s">
        <v>11</v>
      </c>
      <c r="D1420" s="18" t="s">
        <v>322</v>
      </c>
      <c r="E1420" s="18">
        <v>61</v>
      </c>
      <c r="F1420" t="s">
        <v>375</v>
      </c>
      <c r="G1420" s="18" t="s">
        <v>42</v>
      </c>
      <c r="H1420" s="18" t="s">
        <v>14</v>
      </c>
      <c r="I1420" s="18">
        <v>98400</v>
      </c>
      <c r="J1420" s="18">
        <v>2</v>
      </c>
      <c r="K1420" s="19">
        <f t="shared" si="66"/>
        <v>196800</v>
      </c>
      <c r="L1420" s="20">
        <v>45323</v>
      </c>
      <c r="M1420" s="18" t="str">
        <f t="shared" si="67"/>
        <v>Thursday</v>
      </c>
      <c r="N1420" s="18" t="str">
        <f t="shared" si="68"/>
        <v>Weekday</v>
      </c>
      <c r="Q1420" s="18"/>
      <c r="R1420" s="18"/>
      <c r="S1420" s="21"/>
      <c r="T1420"/>
      <c r="U1420" s="6"/>
      <c r="W1420" s="7"/>
      <c r="Z1420" s="4"/>
    </row>
    <row r="1421" spans="1:26" x14ac:dyDescent="0.3">
      <c r="A1421" t="s">
        <v>1792</v>
      </c>
      <c r="B1421" s="22" t="s">
        <v>145</v>
      </c>
      <c r="C1421" s="24" t="s">
        <v>11</v>
      </c>
      <c r="D1421" s="24" t="s">
        <v>325</v>
      </c>
      <c r="E1421" s="24">
        <v>50</v>
      </c>
      <c r="F1421" t="s">
        <v>381</v>
      </c>
      <c r="G1421" s="24" t="s">
        <v>31</v>
      </c>
      <c r="H1421" s="24" t="s">
        <v>18</v>
      </c>
      <c r="I1421" s="24">
        <v>6150</v>
      </c>
      <c r="J1421" s="24">
        <v>3</v>
      </c>
      <c r="K1421" s="25">
        <f t="shared" si="66"/>
        <v>18450</v>
      </c>
      <c r="L1421" s="26">
        <v>45441</v>
      </c>
      <c r="M1421" s="24" t="str">
        <f t="shared" si="67"/>
        <v>Wednesday</v>
      </c>
      <c r="N1421" s="24" t="str">
        <f t="shared" si="68"/>
        <v>Weekday</v>
      </c>
      <c r="Q1421" s="24"/>
      <c r="R1421" s="24"/>
      <c r="S1421" s="27"/>
      <c r="T1421"/>
      <c r="U1421" s="6"/>
      <c r="W1421" s="7"/>
      <c r="Z1421" s="4"/>
    </row>
    <row r="1422" spans="1:26" x14ac:dyDescent="0.3">
      <c r="A1422" t="s">
        <v>1793</v>
      </c>
      <c r="B1422" s="16" t="s">
        <v>23</v>
      </c>
      <c r="C1422" s="18" t="s">
        <v>11</v>
      </c>
      <c r="D1422" s="18" t="s">
        <v>322</v>
      </c>
      <c r="E1422" s="18">
        <v>65</v>
      </c>
      <c r="F1422" t="s">
        <v>381</v>
      </c>
      <c r="G1422" s="18" t="s">
        <v>24</v>
      </c>
      <c r="H1422" s="18" t="s">
        <v>14</v>
      </c>
      <c r="I1422" s="18">
        <v>184500</v>
      </c>
      <c r="J1422" s="18">
        <v>1</v>
      </c>
      <c r="K1422" s="19">
        <f t="shared" si="66"/>
        <v>184500</v>
      </c>
      <c r="L1422" s="20">
        <v>45471</v>
      </c>
      <c r="M1422" s="18" t="str">
        <f t="shared" si="67"/>
        <v>Friday</v>
      </c>
      <c r="N1422" s="18" t="str">
        <f t="shared" si="68"/>
        <v>Weekend</v>
      </c>
      <c r="Q1422" s="18"/>
      <c r="R1422" s="18"/>
      <c r="S1422" s="21"/>
      <c r="T1422"/>
      <c r="U1422" s="6"/>
      <c r="W1422" s="7"/>
      <c r="Z1422" s="4"/>
    </row>
    <row r="1423" spans="1:26" x14ac:dyDescent="0.3">
      <c r="A1423" t="s">
        <v>1794</v>
      </c>
      <c r="B1423" s="22" t="s">
        <v>183</v>
      </c>
      <c r="C1423" s="24" t="s">
        <v>11</v>
      </c>
      <c r="D1423" s="24" t="s">
        <v>324</v>
      </c>
      <c r="E1423" s="24">
        <v>29</v>
      </c>
      <c r="F1423" t="s">
        <v>381</v>
      </c>
      <c r="G1423" s="24" t="s">
        <v>13</v>
      </c>
      <c r="H1423" s="24" t="s">
        <v>14</v>
      </c>
      <c r="I1423" s="24">
        <v>36900</v>
      </c>
      <c r="J1423" s="24">
        <v>2</v>
      </c>
      <c r="K1423" s="25">
        <f t="shared" si="66"/>
        <v>73800</v>
      </c>
      <c r="L1423" s="26">
        <v>45305</v>
      </c>
      <c r="M1423" s="24" t="str">
        <f t="shared" si="67"/>
        <v>Sunday</v>
      </c>
      <c r="N1423" s="24" t="str">
        <f t="shared" si="68"/>
        <v>Weekday</v>
      </c>
      <c r="Q1423" s="24"/>
      <c r="R1423" s="24"/>
      <c r="S1423" s="27"/>
      <c r="T1423"/>
      <c r="U1423" s="6"/>
      <c r="W1423" s="7"/>
      <c r="Z1423" s="4"/>
    </row>
    <row r="1424" spans="1:26" x14ac:dyDescent="0.3">
      <c r="A1424" t="s">
        <v>1795</v>
      </c>
      <c r="B1424" s="16" t="s">
        <v>277</v>
      </c>
      <c r="C1424" s="18" t="s">
        <v>11</v>
      </c>
      <c r="D1424" s="18" t="s">
        <v>325</v>
      </c>
      <c r="E1424" s="18">
        <v>34</v>
      </c>
      <c r="F1424" t="s">
        <v>381</v>
      </c>
      <c r="G1424" s="18" t="s">
        <v>13</v>
      </c>
      <c r="H1424" s="18" t="s">
        <v>14</v>
      </c>
      <c r="I1424" s="18">
        <v>36900</v>
      </c>
      <c r="J1424" s="18">
        <v>2</v>
      </c>
      <c r="K1424" s="19">
        <f t="shared" si="66"/>
        <v>73800</v>
      </c>
      <c r="L1424" s="20">
        <v>45353</v>
      </c>
      <c r="M1424" s="18" t="str">
        <f t="shared" si="67"/>
        <v>Saturday</v>
      </c>
      <c r="N1424" s="18" t="str">
        <f t="shared" si="68"/>
        <v>Weekend</v>
      </c>
      <c r="Q1424" s="18"/>
      <c r="R1424" s="18"/>
      <c r="S1424" s="21"/>
      <c r="T1424"/>
      <c r="U1424" s="6"/>
      <c r="W1424" s="7"/>
      <c r="Z1424" s="4"/>
    </row>
    <row r="1425" spans="1:26" x14ac:dyDescent="0.3">
      <c r="A1425" t="s">
        <v>1796</v>
      </c>
      <c r="B1425" s="22" t="s">
        <v>144</v>
      </c>
      <c r="C1425" s="24" t="s">
        <v>20</v>
      </c>
      <c r="D1425" s="24" t="s">
        <v>323</v>
      </c>
      <c r="E1425" s="24">
        <v>29</v>
      </c>
      <c r="F1425" t="s">
        <v>381</v>
      </c>
      <c r="G1425" s="24" t="s">
        <v>42</v>
      </c>
      <c r="H1425" s="24" t="s">
        <v>14</v>
      </c>
      <c r="I1425" s="24">
        <v>98400</v>
      </c>
      <c r="J1425" s="24">
        <v>5</v>
      </c>
      <c r="K1425" s="25">
        <f t="shared" si="66"/>
        <v>492000</v>
      </c>
      <c r="L1425" s="26">
        <v>45397</v>
      </c>
      <c r="M1425" s="24" t="str">
        <f t="shared" si="67"/>
        <v>Monday</v>
      </c>
      <c r="N1425" s="24" t="str">
        <f t="shared" si="68"/>
        <v>Weekday</v>
      </c>
      <c r="Q1425" s="24"/>
      <c r="R1425" s="24"/>
      <c r="S1425" s="27"/>
      <c r="T1425"/>
      <c r="U1425" s="6"/>
      <c r="W1425" s="7"/>
      <c r="Z1425" s="4"/>
    </row>
    <row r="1426" spans="1:26" x14ac:dyDescent="0.3">
      <c r="A1426" t="s">
        <v>1797</v>
      </c>
      <c r="B1426" s="16" t="s">
        <v>69</v>
      </c>
      <c r="C1426" s="18" t="s">
        <v>11</v>
      </c>
      <c r="D1426" s="18" t="s">
        <v>322</v>
      </c>
      <c r="E1426" s="18">
        <v>68</v>
      </c>
      <c r="F1426" t="s">
        <v>381</v>
      </c>
      <c r="G1426" s="18" t="s">
        <v>31</v>
      </c>
      <c r="H1426" s="18" t="s">
        <v>18</v>
      </c>
      <c r="I1426" s="18">
        <v>6150</v>
      </c>
      <c r="J1426" s="18">
        <v>1</v>
      </c>
      <c r="K1426" s="19">
        <f t="shared" si="66"/>
        <v>6150</v>
      </c>
      <c r="L1426" s="20">
        <v>45409</v>
      </c>
      <c r="M1426" s="18" t="str">
        <f t="shared" si="67"/>
        <v>Saturday</v>
      </c>
      <c r="N1426" s="18" t="str">
        <f t="shared" si="68"/>
        <v>Weekend</v>
      </c>
      <c r="Q1426" s="18"/>
      <c r="R1426" s="18"/>
      <c r="S1426" s="21"/>
      <c r="T1426"/>
      <c r="U1426" s="6"/>
      <c r="W1426" s="7"/>
      <c r="Z1426" s="4"/>
    </row>
    <row r="1427" spans="1:26" x14ac:dyDescent="0.3">
      <c r="A1427" t="s">
        <v>1798</v>
      </c>
      <c r="B1427" s="22" t="s">
        <v>227</v>
      </c>
      <c r="C1427" s="24" t="s">
        <v>20</v>
      </c>
      <c r="D1427" s="24" t="s">
        <v>325</v>
      </c>
      <c r="E1427" s="24">
        <v>19</v>
      </c>
      <c r="F1427" t="s">
        <v>381</v>
      </c>
      <c r="G1427" s="24" t="s">
        <v>13</v>
      </c>
      <c r="H1427" s="24" t="s">
        <v>14</v>
      </c>
      <c r="I1427" s="24">
        <v>36900</v>
      </c>
      <c r="J1427" s="24">
        <v>5</v>
      </c>
      <c r="K1427" s="25">
        <f t="shared" si="66"/>
        <v>184500</v>
      </c>
      <c r="L1427" s="26">
        <v>45495</v>
      </c>
      <c r="M1427" s="24" t="str">
        <f t="shared" si="67"/>
        <v>Monday</v>
      </c>
      <c r="N1427" s="24" t="str">
        <f t="shared" si="68"/>
        <v>Weekday</v>
      </c>
      <c r="Q1427" s="24"/>
      <c r="R1427" s="24"/>
      <c r="S1427" s="27"/>
      <c r="T1427"/>
      <c r="U1427" s="6"/>
      <c r="W1427" s="7"/>
      <c r="Z1427" s="4"/>
    </row>
    <row r="1428" spans="1:26" x14ac:dyDescent="0.3">
      <c r="A1428" t="s">
        <v>1799</v>
      </c>
      <c r="B1428" s="16" t="s">
        <v>92</v>
      </c>
      <c r="C1428" s="18" t="s">
        <v>11</v>
      </c>
      <c r="D1428" s="18" t="s">
        <v>323</v>
      </c>
      <c r="E1428" s="18">
        <v>50</v>
      </c>
      <c r="F1428" t="s">
        <v>375</v>
      </c>
      <c r="G1428" s="18" t="s">
        <v>17</v>
      </c>
      <c r="H1428" s="18" t="s">
        <v>18</v>
      </c>
      <c r="I1428" s="18">
        <v>12300</v>
      </c>
      <c r="J1428" s="18">
        <v>3</v>
      </c>
      <c r="K1428" s="19">
        <f t="shared" si="66"/>
        <v>36900</v>
      </c>
      <c r="L1428" s="20">
        <v>45412</v>
      </c>
      <c r="M1428" s="18" t="str">
        <f t="shared" si="67"/>
        <v>Tuesday</v>
      </c>
      <c r="N1428" s="18" t="str">
        <f t="shared" si="68"/>
        <v>Weekday</v>
      </c>
      <c r="Q1428" s="18"/>
      <c r="R1428" s="18"/>
      <c r="S1428" s="21"/>
      <c r="T1428"/>
      <c r="U1428" s="6"/>
      <c r="W1428" s="7"/>
      <c r="Z1428" s="4"/>
    </row>
    <row r="1429" spans="1:26" x14ac:dyDescent="0.3">
      <c r="A1429" t="s">
        <v>1800</v>
      </c>
      <c r="B1429" s="22" t="s">
        <v>227</v>
      </c>
      <c r="C1429" s="24" t="s">
        <v>20</v>
      </c>
      <c r="D1429" s="24" t="s">
        <v>325</v>
      </c>
      <c r="E1429" s="24">
        <v>19</v>
      </c>
      <c r="F1429" t="s">
        <v>370</v>
      </c>
      <c r="G1429" s="24" t="s">
        <v>32</v>
      </c>
      <c r="H1429" s="24" t="s">
        <v>18</v>
      </c>
      <c r="I1429" s="24">
        <v>3690</v>
      </c>
      <c r="J1429" s="24">
        <v>3</v>
      </c>
      <c r="K1429" s="25">
        <f t="shared" si="66"/>
        <v>11070</v>
      </c>
      <c r="L1429" s="26">
        <v>45330</v>
      </c>
      <c r="M1429" s="24" t="str">
        <f t="shared" si="67"/>
        <v>Thursday</v>
      </c>
      <c r="N1429" s="24" t="str">
        <f t="shared" si="68"/>
        <v>Weekday</v>
      </c>
      <c r="Q1429" s="24"/>
      <c r="R1429" s="24"/>
      <c r="S1429" s="27"/>
      <c r="T1429"/>
      <c r="U1429" s="6"/>
      <c r="W1429" s="7"/>
      <c r="Z1429" s="4"/>
    </row>
    <row r="1430" spans="1:26" x14ac:dyDescent="0.3">
      <c r="A1430" t="s">
        <v>1801</v>
      </c>
      <c r="B1430" s="16" t="s">
        <v>64</v>
      </c>
      <c r="C1430" s="18" t="s">
        <v>20</v>
      </c>
      <c r="D1430" s="18" t="s">
        <v>324</v>
      </c>
      <c r="E1430" s="18">
        <v>58</v>
      </c>
      <c r="F1430" t="s">
        <v>370</v>
      </c>
      <c r="G1430" s="18" t="s">
        <v>17</v>
      </c>
      <c r="H1430" s="18" t="s">
        <v>18</v>
      </c>
      <c r="I1430" s="18">
        <v>12300</v>
      </c>
      <c r="J1430" s="18">
        <v>2</v>
      </c>
      <c r="K1430" s="19">
        <f t="shared" si="66"/>
        <v>24600</v>
      </c>
      <c r="L1430" s="20">
        <v>45295</v>
      </c>
      <c r="M1430" s="18" t="str">
        <f t="shared" si="67"/>
        <v>Thursday</v>
      </c>
      <c r="N1430" s="18" t="str">
        <f t="shared" si="68"/>
        <v>Weekday</v>
      </c>
      <c r="Q1430" s="18"/>
      <c r="R1430" s="18"/>
      <c r="S1430" s="21"/>
      <c r="T1430"/>
      <c r="U1430" s="6"/>
      <c r="W1430" s="7"/>
      <c r="Z1430" s="4"/>
    </row>
    <row r="1431" spans="1:26" x14ac:dyDescent="0.3">
      <c r="A1431" t="s">
        <v>1802</v>
      </c>
      <c r="B1431" s="22" t="s">
        <v>105</v>
      </c>
      <c r="C1431" s="24" t="s">
        <v>366</v>
      </c>
      <c r="D1431" s="24" t="s">
        <v>325</v>
      </c>
      <c r="E1431" s="24">
        <v>63</v>
      </c>
      <c r="F1431" t="s">
        <v>375</v>
      </c>
      <c r="G1431" s="24" t="s">
        <v>13</v>
      </c>
      <c r="H1431" s="24" t="s">
        <v>14</v>
      </c>
      <c r="I1431" s="24">
        <v>36900</v>
      </c>
      <c r="J1431" s="24">
        <v>2</v>
      </c>
      <c r="K1431" s="25">
        <f t="shared" si="66"/>
        <v>73800</v>
      </c>
      <c r="L1431" s="26">
        <v>45426</v>
      </c>
      <c r="M1431" s="24" t="str">
        <f t="shared" si="67"/>
        <v>Tuesday</v>
      </c>
      <c r="N1431" s="24" t="str">
        <f t="shared" si="68"/>
        <v>Weekday</v>
      </c>
      <c r="Q1431" s="24"/>
      <c r="R1431" s="24"/>
      <c r="S1431" s="27"/>
      <c r="T1431"/>
      <c r="U1431" s="6"/>
      <c r="W1431" s="7"/>
      <c r="Z1431" s="4"/>
    </row>
    <row r="1432" spans="1:26" x14ac:dyDescent="0.3">
      <c r="A1432" t="s">
        <v>1803</v>
      </c>
      <c r="B1432" s="16" t="s">
        <v>87</v>
      </c>
      <c r="C1432" s="18" t="s">
        <v>20</v>
      </c>
      <c r="D1432" s="18" t="s">
        <v>322</v>
      </c>
      <c r="E1432" s="18">
        <v>41</v>
      </c>
      <c r="F1432" t="s">
        <v>373</v>
      </c>
      <c r="G1432" s="18" t="s">
        <v>31</v>
      </c>
      <c r="H1432" s="18" t="s">
        <v>18</v>
      </c>
      <c r="I1432" s="18">
        <v>6150</v>
      </c>
      <c r="J1432" s="18">
        <v>3</v>
      </c>
      <c r="K1432" s="19">
        <f t="shared" si="66"/>
        <v>18450</v>
      </c>
      <c r="L1432" s="20">
        <v>45306</v>
      </c>
      <c r="M1432" s="18" t="str">
        <f t="shared" si="67"/>
        <v>Monday</v>
      </c>
      <c r="N1432" s="18" t="str">
        <f t="shared" si="68"/>
        <v>Weekday</v>
      </c>
      <c r="Q1432" s="18"/>
      <c r="R1432" s="18"/>
      <c r="S1432" s="21"/>
      <c r="T1432"/>
      <c r="U1432" s="6"/>
      <c r="W1432" s="7"/>
      <c r="Z1432" s="4"/>
    </row>
    <row r="1433" spans="1:26" x14ac:dyDescent="0.3">
      <c r="A1433" t="s">
        <v>1804</v>
      </c>
      <c r="B1433" s="22" t="s">
        <v>183</v>
      </c>
      <c r="C1433" s="24" t="s">
        <v>11</v>
      </c>
      <c r="D1433" s="24" t="s">
        <v>324</v>
      </c>
      <c r="E1433" s="24">
        <v>29</v>
      </c>
      <c r="F1433" t="s">
        <v>370</v>
      </c>
      <c r="G1433" s="24" t="s">
        <v>26</v>
      </c>
      <c r="H1433" s="24" t="s">
        <v>27</v>
      </c>
      <c r="I1433" s="24">
        <v>24600</v>
      </c>
      <c r="J1433" s="24">
        <v>3</v>
      </c>
      <c r="K1433" s="25">
        <f t="shared" si="66"/>
        <v>73800</v>
      </c>
      <c r="L1433" s="26">
        <v>45418</v>
      </c>
      <c r="M1433" s="24" t="str">
        <f t="shared" si="67"/>
        <v>Monday</v>
      </c>
      <c r="N1433" s="24" t="str">
        <f t="shared" si="68"/>
        <v>Weekday</v>
      </c>
      <c r="Q1433" s="24"/>
      <c r="R1433" s="24"/>
      <c r="S1433" s="27"/>
      <c r="T1433"/>
      <c r="U1433" s="6"/>
      <c r="W1433" s="7"/>
      <c r="Z1433" s="4"/>
    </row>
    <row r="1434" spans="1:26" x14ac:dyDescent="0.3">
      <c r="A1434" t="s">
        <v>1805</v>
      </c>
      <c r="B1434" s="16" t="s">
        <v>181</v>
      </c>
      <c r="C1434" s="18" t="s">
        <v>20</v>
      </c>
      <c r="D1434" s="18" t="s">
        <v>325</v>
      </c>
      <c r="E1434" s="18">
        <v>61</v>
      </c>
      <c r="F1434" t="s">
        <v>373</v>
      </c>
      <c r="G1434" s="18" t="s">
        <v>42</v>
      </c>
      <c r="H1434" s="18" t="s">
        <v>14</v>
      </c>
      <c r="I1434" s="18">
        <v>98400</v>
      </c>
      <c r="J1434" s="18">
        <v>5</v>
      </c>
      <c r="K1434" s="19">
        <f t="shared" si="66"/>
        <v>492000</v>
      </c>
      <c r="L1434" s="20">
        <v>45417</v>
      </c>
      <c r="M1434" s="18" t="str">
        <f t="shared" si="67"/>
        <v>Sunday</v>
      </c>
      <c r="N1434" s="18" t="str">
        <f t="shared" si="68"/>
        <v>Weekday</v>
      </c>
      <c r="Q1434" s="18"/>
      <c r="R1434" s="18"/>
      <c r="S1434" s="21"/>
      <c r="T1434"/>
      <c r="U1434" s="6"/>
      <c r="W1434" s="7"/>
      <c r="Z1434" s="4"/>
    </row>
    <row r="1435" spans="1:26" x14ac:dyDescent="0.3">
      <c r="A1435" t="s">
        <v>1806</v>
      </c>
      <c r="B1435" s="22" t="s">
        <v>72</v>
      </c>
      <c r="C1435" s="24" t="s">
        <v>11</v>
      </c>
      <c r="D1435" s="24" t="s">
        <v>328</v>
      </c>
      <c r="E1435" s="24">
        <v>23</v>
      </c>
      <c r="F1435" t="s">
        <v>375</v>
      </c>
      <c r="G1435" s="24" t="s">
        <v>32</v>
      </c>
      <c r="H1435" s="24" t="s">
        <v>18</v>
      </c>
      <c r="I1435" s="24">
        <v>3690</v>
      </c>
      <c r="J1435" s="24">
        <v>2</v>
      </c>
      <c r="K1435" s="25">
        <f t="shared" si="66"/>
        <v>7380</v>
      </c>
      <c r="L1435" s="26">
        <v>45460</v>
      </c>
      <c r="M1435" s="24" t="str">
        <f t="shared" si="67"/>
        <v>Monday</v>
      </c>
      <c r="N1435" s="24" t="str">
        <f t="shared" si="68"/>
        <v>Weekday</v>
      </c>
      <c r="Q1435" s="24"/>
      <c r="R1435" s="24"/>
      <c r="S1435" s="27"/>
      <c r="T1435"/>
      <c r="U1435" s="6"/>
      <c r="W1435" s="7"/>
      <c r="Z1435" s="4"/>
    </row>
    <row r="1436" spans="1:26" x14ac:dyDescent="0.3">
      <c r="A1436" t="s">
        <v>1807</v>
      </c>
      <c r="B1436" s="16" t="s">
        <v>51</v>
      </c>
      <c r="C1436" s="18" t="s">
        <v>20</v>
      </c>
      <c r="D1436" s="18" t="s">
        <v>324</v>
      </c>
      <c r="E1436" s="18">
        <v>25</v>
      </c>
      <c r="F1436" t="s">
        <v>373</v>
      </c>
      <c r="G1436" s="18" t="s">
        <v>32</v>
      </c>
      <c r="H1436" s="18" t="s">
        <v>18</v>
      </c>
      <c r="I1436" s="18">
        <v>3690</v>
      </c>
      <c r="J1436" s="18">
        <v>3</v>
      </c>
      <c r="K1436" s="19">
        <f t="shared" si="66"/>
        <v>11070</v>
      </c>
      <c r="L1436" s="20">
        <v>45413</v>
      </c>
      <c r="M1436" s="18" t="str">
        <f t="shared" si="67"/>
        <v>Wednesday</v>
      </c>
      <c r="N1436" s="18" t="str">
        <f t="shared" si="68"/>
        <v>Weekday</v>
      </c>
      <c r="Q1436" s="18"/>
      <c r="R1436" s="18"/>
      <c r="S1436" s="21"/>
      <c r="T1436"/>
      <c r="U1436" s="6"/>
      <c r="W1436" s="7"/>
      <c r="Z1436" s="4"/>
    </row>
    <row r="1437" spans="1:26" x14ac:dyDescent="0.3">
      <c r="A1437" t="s">
        <v>1808</v>
      </c>
      <c r="B1437" s="22" t="s">
        <v>233</v>
      </c>
      <c r="C1437" s="24" t="s">
        <v>20</v>
      </c>
      <c r="D1437" s="24" t="s">
        <v>327</v>
      </c>
      <c r="E1437" s="24">
        <v>64</v>
      </c>
      <c r="F1437" t="s">
        <v>375</v>
      </c>
      <c r="G1437" s="24" t="s">
        <v>42</v>
      </c>
      <c r="H1437" s="24" t="s">
        <v>14</v>
      </c>
      <c r="I1437" s="24">
        <v>98400</v>
      </c>
      <c r="J1437" s="24">
        <v>4</v>
      </c>
      <c r="K1437" s="25">
        <f t="shared" si="66"/>
        <v>393600</v>
      </c>
      <c r="L1437" s="26">
        <v>45481</v>
      </c>
      <c r="M1437" s="24" t="str">
        <f t="shared" si="67"/>
        <v>Monday</v>
      </c>
      <c r="N1437" s="24" t="str">
        <f t="shared" si="68"/>
        <v>Weekday</v>
      </c>
      <c r="Q1437" s="24"/>
      <c r="R1437" s="24"/>
      <c r="S1437" s="27"/>
      <c r="T1437"/>
      <c r="U1437" s="6"/>
      <c r="W1437" s="7"/>
      <c r="Z1437" s="4"/>
    </row>
    <row r="1438" spans="1:26" x14ac:dyDescent="0.3">
      <c r="A1438" t="s">
        <v>1809</v>
      </c>
      <c r="B1438" s="16" t="s">
        <v>74</v>
      </c>
      <c r="C1438" s="18" t="s">
        <v>20</v>
      </c>
      <c r="D1438" s="18" t="s">
        <v>322</v>
      </c>
      <c r="E1438" s="18">
        <v>42</v>
      </c>
      <c r="F1438" t="s">
        <v>381</v>
      </c>
      <c r="G1438" s="18" t="s">
        <v>26</v>
      </c>
      <c r="H1438" s="18" t="s">
        <v>27</v>
      </c>
      <c r="I1438" s="18">
        <v>24600</v>
      </c>
      <c r="J1438" s="18">
        <v>1</v>
      </c>
      <c r="K1438" s="19">
        <f t="shared" si="66"/>
        <v>24600</v>
      </c>
      <c r="L1438" s="20">
        <v>45386</v>
      </c>
      <c r="M1438" s="18" t="str">
        <f t="shared" si="67"/>
        <v>Thursday</v>
      </c>
      <c r="N1438" s="18" t="str">
        <f t="shared" si="68"/>
        <v>Weekday</v>
      </c>
      <c r="Q1438" s="18"/>
      <c r="R1438" s="18"/>
      <c r="S1438" s="21"/>
      <c r="T1438"/>
      <c r="U1438" s="6"/>
      <c r="W1438" s="7"/>
      <c r="Z1438" s="4"/>
    </row>
    <row r="1439" spans="1:26" x14ac:dyDescent="0.3">
      <c r="A1439" t="s">
        <v>1810</v>
      </c>
      <c r="B1439" s="22" t="s">
        <v>28</v>
      </c>
      <c r="C1439" s="24" t="s">
        <v>11</v>
      </c>
      <c r="D1439" s="24" t="s">
        <v>328</v>
      </c>
      <c r="E1439" s="24">
        <v>27</v>
      </c>
      <c r="F1439" t="s">
        <v>381</v>
      </c>
      <c r="G1439" s="24" t="s">
        <v>13</v>
      </c>
      <c r="H1439" s="24" t="s">
        <v>14</v>
      </c>
      <c r="I1439" s="24">
        <v>36900</v>
      </c>
      <c r="J1439" s="24">
        <v>2</v>
      </c>
      <c r="K1439" s="25">
        <f t="shared" si="66"/>
        <v>73800</v>
      </c>
      <c r="L1439" s="26">
        <v>45516</v>
      </c>
      <c r="M1439" s="24" t="str">
        <f t="shared" si="67"/>
        <v>Monday</v>
      </c>
      <c r="N1439" s="24" t="str">
        <f t="shared" si="68"/>
        <v>Weekday</v>
      </c>
      <c r="Q1439" s="24"/>
      <c r="R1439" s="24"/>
      <c r="S1439" s="27"/>
      <c r="T1439"/>
      <c r="U1439" s="6"/>
      <c r="W1439" s="7"/>
      <c r="Z1439" s="4"/>
    </row>
    <row r="1440" spans="1:26" x14ac:dyDescent="0.3">
      <c r="A1440" t="s">
        <v>1811</v>
      </c>
      <c r="B1440" s="16" t="s">
        <v>69</v>
      </c>
      <c r="C1440" s="18" t="s">
        <v>11</v>
      </c>
      <c r="D1440" s="18" t="s">
        <v>322</v>
      </c>
      <c r="E1440" s="18">
        <v>68</v>
      </c>
      <c r="F1440" t="s">
        <v>370</v>
      </c>
      <c r="G1440" s="18" t="s">
        <v>31</v>
      </c>
      <c r="H1440" s="18" t="s">
        <v>18</v>
      </c>
      <c r="I1440" s="18">
        <v>6150</v>
      </c>
      <c r="J1440" s="18">
        <v>5</v>
      </c>
      <c r="K1440" s="19">
        <f t="shared" si="66"/>
        <v>30750</v>
      </c>
      <c r="L1440" s="20">
        <v>45413</v>
      </c>
      <c r="M1440" s="18" t="str">
        <f t="shared" si="67"/>
        <v>Wednesday</v>
      </c>
      <c r="N1440" s="18" t="str">
        <f t="shared" si="68"/>
        <v>Weekday</v>
      </c>
      <c r="Q1440" s="18"/>
      <c r="R1440" s="18"/>
      <c r="S1440" s="21"/>
      <c r="T1440"/>
      <c r="U1440" s="6"/>
      <c r="W1440" s="7"/>
      <c r="Z1440" s="4"/>
    </row>
    <row r="1441" spans="1:26" x14ac:dyDescent="0.3">
      <c r="A1441" t="s">
        <v>1812</v>
      </c>
      <c r="B1441" s="22" t="s">
        <v>59</v>
      </c>
      <c r="C1441" s="24" t="s">
        <v>11</v>
      </c>
      <c r="D1441" s="24" t="s">
        <v>322</v>
      </c>
      <c r="E1441" s="24">
        <v>41</v>
      </c>
      <c r="F1441" t="s">
        <v>370</v>
      </c>
      <c r="G1441" s="24" t="s">
        <v>17</v>
      </c>
      <c r="H1441" s="24" t="s">
        <v>18</v>
      </c>
      <c r="I1441" s="24">
        <v>12300</v>
      </c>
      <c r="J1441" s="24">
        <v>4</v>
      </c>
      <c r="K1441" s="25">
        <f t="shared" si="66"/>
        <v>49200</v>
      </c>
      <c r="L1441" s="26">
        <v>45472</v>
      </c>
      <c r="M1441" s="24" t="str">
        <f t="shared" si="67"/>
        <v>Saturday</v>
      </c>
      <c r="N1441" s="24" t="str">
        <f t="shared" si="68"/>
        <v>Weekend</v>
      </c>
      <c r="Q1441" s="24"/>
      <c r="R1441" s="24"/>
      <c r="S1441" s="27"/>
      <c r="T1441"/>
      <c r="U1441" s="6"/>
      <c r="W1441" s="7"/>
      <c r="Z1441" s="4"/>
    </row>
    <row r="1442" spans="1:26" x14ac:dyDescent="0.3">
      <c r="A1442" t="s">
        <v>1813</v>
      </c>
      <c r="B1442" s="16" t="s">
        <v>195</v>
      </c>
      <c r="C1442" s="18" t="s">
        <v>20</v>
      </c>
      <c r="D1442" s="18" t="s">
        <v>323</v>
      </c>
      <c r="E1442" s="18">
        <v>52</v>
      </c>
      <c r="F1442" t="s">
        <v>373</v>
      </c>
      <c r="G1442" s="18" t="s">
        <v>13</v>
      </c>
      <c r="H1442" s="18" t="s">
        <v>14</v>
      </c>
      <c r="I1442" s="18">
        <v>36900</v>
      </c>
      <c r="J1442" s="18">
        <v>1</v>
      </c>
      <c r="K1442" s="19">
        <f t="shared" si="66"/>
        <v>36900</v>
      </c>
      <c r="L1442" s="20">
        <v>45357</v>
      </c>
      <c r="M1442" s="18" t="str">
        <f t="shared" si="67"/>
        <v>Wednesday</v>
      </c>
      <c r="N1442" s="18" t="str">
        <f t="shared" si="68"/>
        <v>Weekday</v>
      </c>
      <c r="Q1442" s="18"/>
      <c r="R1442" s="18"/>
      <c r="S1442" s="21"/>
      <c r="T1442"/>
      <c r="U1442" s="6"/>
      <c r="W1442" s="7"/>
      <c r="Z1442" s="4"/>
    </row>
    <row r="1443" spans="1:26" x14ac:dyDescent="0.3">
      <c r="A1443" t="s">
        <v>1814</v>
      </c>
      <c r="B1443" s="22" t="s">
        <v>247</v>
      </c>
      <c r="C1443" s="24" t="s">
        <v>20</v>
      </c>
      <c r="D1443" s="24" t="s">
        <v>322</v>
      </c>
      <c r="E1443" s="24">
        <v>57</v>
      </c>
      <c r="F1443" t="s">
        <v>373</v>
      </c>
      <c r="G1443" s="24" t="s">
        <v>42</v>
      </c>
      <c r="H1443" s="24" t="s">
        <v>14</v>
      </c>
      <c r="I1443" s="24">
        <v>98400</v>
      </c>
      <c r="J1443" s="24">
        <v>4</v>
      </c>
      <c r="K1443" s="25">
        <f t="shared" si="66"/>
        <v>393600</v>
      </c>
      <c r="L1443" s="26">
        <v>45648</v>
      </c>
      <c r="M1443" s="24" t="str">
        <f t="shared" si="67"/>
        <v>Sunday</v>
      </c>
      <c r="N1443" s="24" t="str">
        <f t="shared" si="68"/>
        <v>Weekday</v>
      </c>
      <c r="Q1443" s="24"/>
      <c r="R1443" s="24"/>
      <c r="S1443" s="27"/>
      <c r="T1443"/>
      <c r="U1443" s="6"/>
      <c r="W1443" s="7"/>
      <c r="Z1443" s="4"/>
    </row>
    <row r="1444" spans="1:26" x14ac:dyDescent="0.3">
      <c r="A1444" t="s">
        <v>1815</v>
      </c>
      <c r="B1444" s="16" t="s">
        <v>244</v>
      </c>
      <c r="C1444" s="18" t="s">
        <v>20</v>
      </c>
      <c r="D1444" s="18" t="s">
        <v>322</v>
      </c>
      <c r="E1444" s="18">
        <v>68</v>
      </c>
      <c r="F1444" t="s">
        <v>370</v>
      </c>
      <c r="G1444" s="18" t="s">
        <v>17</v>
      </c>
      <c r="H1444" s="18" t="s">
        <v>18</v>
      </c>
      <c r="I1444" s="18">
        <v>12300</v>
      </c>
      <c r="J1444" s="18">
        <v>3</v>
      </c>
      <c r="K1444" s="19">
        <f t="shared" si="66"/>
        <v>36900</v>
      </c>
      <c r="L1444" s="20">
        <v>45331</v>
      </c>
      <c r="M1444" s="18" t="str">
        <f t="shared" si="67"/>
        <v>Friday</v>
      </c>
      <c r="N1444" s="18" t="str">
        <f t="shared" si="68"/>
        <v>Weekend</v>
      </c>
      <c r="Q1444" s="18"/>
      <c r="R1444" s="18"/>
      <c r="S1444" s="21"/>
      <c r="T1444"/>
      <c r="U1444" s="6"/>
      <c r="W1444" s="7"/>
      <c r="Z1444" s="4"/>
    </row>
    <row r="1445" spans="1:26" x14ac:dyDescent="0.3">
      <c r="A1445" t="s">
        <v>1816</v>
      </c>
      <c r="B1445" s="22" t="s">
        <v>169</v>
      </c>
      <c r="C1445" s="24" t="s">
        <v>366</v>
      </c>
      <c r="D1445" s="24" t="s">
        <v>328</v>
      </c>
      <c r="E1445" s="24">
        <v>64</v>
      </c>
      <c r="F1445" t="s">
        <v>381</v>
      </c>
      <c r="G1445" s="24" t="s">
        <v>26</v>
      </c>
      <c r="H1445" s="24" t="s">
        <v>27</v>
      </c>
      <c r="I1445" s="24">
        <v>24600</v>
      </c>
      <c r="J1445" s="24">
        <v>2</v>
      </c>
      <c r="K1445" s="25">
        <f t="shared" si="66"/>
        <v>49200</v>
      </c>
      <c r="L1445" s="26">
        <v>45432</v>
      </c>
      <c r="M1445" s="24" t="str">
        <f t="shared" si="67"/>
        <v>Monday</v>
      </c>
      <c r="N1445" s="24" t="str">
        <f t="shared" si="68"/>
        <v>Weekday</v>
      </c>
      <c r="Q1445" s="24"/>
      <c r="R1445" s="24"/>
      <c r="S1445" s="27"/>
      <c r="T1445"/>
      <c r="U1445" s="6"/>
      <c r="W1445" s="7"/>
      <c r="Z1445" s="4"/>
    </row>
    <row r="1446" spans="1:26" x14ac:dyDescent="0.3">
      <c r="A1446" t="s">
        <v>1817</v>
      </c>
      <c r="B1446" s="16" t="s">
        <v>151</v>
      </c>
      <c r="C1446" s="18" t="s">
        <v>11</v>
      </c>
      <c r="D1446" s="18" t="s">
        <v>329</v>
      </c>
      <c r="E1446" s="18">
        <v>59</v>
      </c>
      <c r="F1446" t="s">
        <v>375</v>
      </c>
      <c r="G1446" s="18" t="s">
        <v>32</v>
      </c>
      <c r="H1446" s="18" t="s">
        <v>18</v>
      </c>
      <c r="I1446" s="18">
        <v>3690</v>
      </c>
      <c r="J1446" s="18">
        <v>3</v>
      </c>
      <c r="K1446" s="19">
        <f t="shared" si="66"/>
        <v>11070</v>
      </c>
      <c r="L1446" s="20">
        <v>45398</v>
      </c>
      <c r="M1446" s="18" t="str">
        <f t="shared" si="67"/>
        <v>Tuesday</v>
      </c>
      <c r="N1446" s="18" t="str">
        <f t="shared" si="68"/>
        <v>Weekday</v>
      </c>
      <c r="Q1446" s="18"/>
      <c r="R1446" s="18"/>
      <c r="S1446" s="21"/>
      <c r="T1446"/>
      <c r="U1446" s="6"/>
      <c r="W1446" s="7"/>
      <c r="Z1446" s="4"/>
    </row>
    <row r="1447" spans="1:26" x14ac:dyDescent="0.3">
      <c r="A1447" t="s">
        <v>1818</v>
      </c>
      <c r="B1447" s="22" t="s">
        <v>57</v>
      </c>
      <c r="C1447" s="24" t="s">
        <v>366</v>
      </c>
      <c r="D1447" s="24" t="s">
        <v>322</v>
      </c>
      <c r="E1447" s="24">
        <v>58</v>
      </c>
      <c r="F1447" t="s">
        <v>381</v>
      </c>
      <c r="G1447" s="24" t="s">
        <v>13</v>
      </c>
      <c r="H1447" s="24" t="s">
        <v>14</v>
      </c>
      <c r="I1447" s="24">
        <v>36900</v>
      </c>
      <c r="J1447" s="24">
        <v>3</v>
      </c>
      <c r="K1447" s="25">
        <f t="shared" si="66"/>
        <v>110700</v>
      </c>
      <c r="L1447" s="26">
        <v>45633</v>
      </c>
      <c r="M1447" s="24" t="str">
        <f t="shared" si="67"/>
        <v>Saturday</v>
      </c>
      <c r="N1447" s="24" t="str">
        <f t="shared" si="68"/>
        <v>Weekend</v>
      </c>
      <c r="Q1447" s="24"/>
      <c r="R1447" s="24"/>
      <c r="S1447" s="27"/>
      <c r="T1447"/>
      <c r="U1447" s="6"/>
      <c r="W1447" s="7"/>
      <c r="Z1447" s="4"/>
    </row>
    <row r="1448" spans="1:26" x14ac:dyDescent="0.3">
      <c r="A1448" t="s">
        <v>1819</v>
      </c>
      <c r="B1448" s="16" t="s">
        <v>209</v>
      </c>
      <c r="C1448" s="18" t="s">
        <v>11</v>
      </c>
      <c r="D1448" s="18" t="s">
        <v>329</v>
      </c>
      <c r="E1448" s="18">
        <v>63</v>
      </c>
      <c r="F1448" t="s">
        <v>370</v>
      </c>
      <c r="G1448" s="18" t="s">
        <v>26</v>
      </c>
      <c r="H1448" s="18" t="s">
        <v>27</v>
      </c>
      <c r="I1448" s="18">
        <v>24600</v>
      </c>
      <c r="J1448" s="18">
        <v>5</v>
      </c>
      <c r="K1448" s="19">
        <f t="shared" si="66"/>
        <v>123000</v>
      </c>
      <c r="L1448" s="20">
        <v>45381</v>
      </c>
      <c r="M1448" s="18" t="str">
        <f t="shared" si="67"/>
        <v>Saturday</v>
      </c>
      <c r="N1448" s="18" t="str">
        <f t="shared" si="68"/>
        <v>Weekend</v>
      </c>
      <c r="Q1448" s="18"/>
      <c r="R1448" s="18"/>
      <c r="S1448" s="21"/>
      <c r="T1448"/>
      <c r="U1448" s="6"/>
      <c r="W1448" s="7"/>
      <c r="Z1448" s="4"/>
    </row>
    <row r="1449" spans="1:26" x14ac:dyDescent="0.3">
      <c r="A1449" t="s">
        <v>1820</v>
      </c>
      <c r="B1449" s="22" t="s">
        <v>315</v>
      </c>
      <c r="C1449" s="24" t="s">
        <v>11</v>
      </c>
      <c r="D1449" s="24" t="s">
        <v>322</v>
      </c>
      <c r="E1449" s="24">
        <v>20</v>
      </c>
      <c r="F1449" t="s">
        <v>375</v>
      </c>
      <c r="G1449" s="24" t="s">
        <v>31</v>
      </c>
      <c r="H1449" s="24" t="s">
        <v>18</v>
      </c>
      <c r="I1449" s="24">
        <v>6150</v>
      </c>
      <c r="J1449" s="24">
        <v>3</v>
      </c>
      <c r="K1449" s="25">
        <f t="shared" si="66"/>
        <v>18450</v>
      </c>
      <c r="L1449" s="26">
        <v>45323</v>
      </c>
      <c r="M1449" s="24" t="str">
        <f t="shared" si="67"/>
        <v>Thursday</v>
      </c>
      <c r="N1449" s="24" t="str">
        <f t="shared" si="68"/>
        <v>Weekday</v>
      </c>
      <c r="Q1449" s="24"/>
      <c r="R1449" s="24"/>
      <c r="S1449" s="27"/>
      <c r="T1449"/>
      <c r="U1449" s="6"/>
      <c r="W1449" s="7"/>
      <c r="Z1449" s="4"/>
    </row>
    <row r="1450" spans="1:26" x14ac:dyDescent="0.3">
      <c r="A1450" t="s">
        <v>1821</v>
      </c>
      <c r="B1450" s="16" t="s">
        <v>189</v>
      </c>
      <c r="C1450" s="18" t="s">
        <v>20</v>
      </c>
      <c r="D1450" s="18" t="s">
        <v>322</v>
      </c>
      <c r="E1450" s="18">
        <v>48</v>
      </c>
      <c r="F1450" t="s">
        <v>373</v>
      </c>
      <c r="G1450" s="18" t="s">
        <v>31</v>
      </c>
      <c r="H1450" s="18" t="s">
        <v>18</v>
      </c>
      <c r="I1450" s="18">
        <v>6150</v>
      </c>
      <c r="J1450" s="18">
        <v>2</v>
      </c>
      <c r="K1450" s="19">
        <f t="shared" si="66"/>
        <v>12300</v>
      </c>
      <c r="L1450" s="20">
        <v>45635</v>
      </c>
      <c r="M1450" s="18" t="str">
        <f t="shared" si="67"/>
        <v>Monday</v>
      </c>
      <c r="N1450" s="18" t="str">
        <f t="shared" si="68"/>
        <v>Weekday</v>
      </c>
      <c r="Q1450" s="18"/>
      <c r="R1450" s="18"/>
      <c r="S1450" s="21"/>
      <c r="T1450"/>
      <c r="U1450" s="6"/>
      <c r="W1450" s="7"/>
      <c r="Z1450" s="4"/>
    </row>
    <row r="1451" spans="1:26" x14ac:dyDescent="0.3">
      <c r="A1451" t="s">
        <v>1822</v>
      </c>
      <c r="B1451" s="22" t="s">
        <v>55</v>
      </c>
      <c r="C1451" s="24" t="s">
        <v>11</v>
      </c>
      <c r="D1451" s="24" t="s">
        <v>324</v>
      </c>
      <c r="E1451" s="24">
        <v>55</v>
      </c>
      <c r="F1451" t="s">
        <v>370</v>
      </c>
      <c r="G1451" s="24" t="s">
        <v>42</v>
      </c>
      <c r="H1451" s="24" t="s">
        <v>14</v>
      </c>
      <c r="I1451" s="24">
        <v>98400</v>
      </c>
      <c r="J1451" s="24">
        <v>4</v>
      </c>
      <c r="K1451" s="25">
        <f t="shared" si="66"/>
        <v>393600</v>
      </c>
      <c r="L1451" s="26">
        <v>45341</v>
      </c>
      <c r="M1451" s="24" t="str">
        <f t="shared" si="67"/>
        <v>Monday</v>
      </c>
      <c r="N1451" s="24" t="str">
        <f t="shared" si="68"/>
        <v>Weekday</v>
      </c>
      <c r="Q1451" s="24"/>
      <c r="R1451" s="24"/>
      <c r="S1451" s="27"/>
      <c r="T1451"/>
      <c r="U1451" s="6"/>
      <c r="W1451" s="7"/>
      <c r="Z1451" s="4"/>
    </row>
    <row r="1452" spans="1:26" x14ac:dyDescent="0.3">
      <c r="A1452" t="s">
        <v>1823</v>
      </c>
      <c r="B1452" s="16" t="s">
        <v>145</v>
      </c>
      <c r="C1452" s="18" t="s">
        <v>11</v>
      </c>
      <c r="D1452" s="18" t="s">
        <v>325</v>
      </c>
      <c r="E1452" s="18">
        <v>50</v>
      </c>
      <c r="F1452" t="s">
        <v>381</v>
      </c>
      <c r="G1452" s="18" t="s">
        <v>17</v>
      </c>
      <c r="H1452" s="18" t="s">
        <v>18</v>
      </c>
      <c r="I1452" s="18">
        <v>12300</v>
      </c>
      <c r="J1452" s="18">
        <v>1</v>
      </c>
      <c r="K1452" s="19">
        <f t="shared" si="66"/>
        <v>12300</v>
      </c>
      <c r="L1452" s="20">
        <v>45605</v>
      </c>
      <c r="M1452" s="18" t="str">
        <f t="shared" si="67"/>
        <v>Saturday</v>
      </c>
      <c r="N1452" s="18" t="str">
        <f t="shared" si="68"/>
        <v>Weekend</v>
      </c>
      <c r="Q1452" s="18"/>
      <c r="R1452" s="18"/>
      <c r="S1452" s="21"/>
      <c r="T1452"/>
      <c r="U1452" s="6"/>
      <c r="W1452" s="7"/>
      <c r="Z1452" s="4"/>
    </row>
    <row r="1453" spans="1:26" x14ac:dyDescent="0.3">
      <c r="A1453" t="s">
        <v>1824</v>
      </c>
      <c r="B1453" s="22" t="s">
        <v>299</v>
      </c>
      <c r="C1453" s="24" t="s">
        <v>366</v>
      </c>
      <c r="D1453" s="24" t="s">
        <v>329</v>
      </c>
      <c r="E1453" s="24">
        <v>44</v>
      </c>
      <c r="F1453" t="s">
        <v>373</v>
      </c>
      <c r="G1453" s="24" t="s">
        <v>42</v>
      </c>
      <c r="H1453" s="24" t="s">
        <v>14</v>
      </c>
      <c r="I1453" s="24">
        <v>98400</v>
      </c>
      <c r="J1453" s="24">
        <v>1</v>
      </c>
      <c r="K1453" s="25">
        <f t="shared" si="66"/>
        <v>98400</v>
      </c>
      <c r="L1453" s="26">
        <v>45462</v>
      </c>
      <c r="M1453" s="24" t="str">
        <f t="shared" si="67"/>
        <v>Wednesday</v>
      </c>
      <c r="N1453" s="24" t="str">
        <f t="shared" si="68"/>
        <v>Weekday</v>
      </c>
      <c r="Q1453" s="24"/>
      <c r="R1453" s="24"/>
      <c r="S1453" s="27"/>
      <c r="T1453"/>
      <c r="U1453" s="6"/>
      <c r="W1453" s="7"/>
      <c r="Z1453" s="4"/>
    </row>
    <row r="1454" spans="1:26" x14ac:dyDescent="0.3">
      <c r="A1454" t="s">
        <v>1825</v>
      </c>
      <c r="B1454" s="16" t="s">
        <v>224</v>
      </c>
      <c r="C1454" s="18" t="s">
        <v>11</v>
      </c>
      <c r="D1454" s="18" t="s">
        <v>323</v>
      </c>
      <c r="E1454" s="18">
        <v>67</v>
      </c>
      <c r="F1454" t="s">
        <v>373</v>
      </c>
      <c r="G1454" s="18" t="s">
        <v>24</v>
      </c>
      <c r="H1454" s="18" t="s">
        <v>14</v>
      </c>
      <c r="I1454" s="18">
        <v>184500</v>
      </c>
      <c r="J1454" s="18">
        <v>2</v>
      </c>
      <c r="K1454" s="19">
        <f t="shared" si="66"/>
        <v>369000</v>
      </c>
      <c r="L1454" s="20">
        <v>45393</v>
      </c>
      <c r="M1454" s="18" t="str">
        <f t="shared" si="67"/>
        <v>Thursday</v>
      </c>
      <c r="N1454" s="18" t="str">
        <f t="shared" si="68"/>
        <v>Weekday</v>
      </c>
      <c r="Q1454" s="18"/>
      <c r="R1454" s="18"/>
      <c r="S1454" s="21"/>
      <c r="T1454"/>
      <c r="U1454" s="6"/>
      <c r="W1454" s="7"/>
      <c r="Z1454" s="4"/>
    </row>
    <row r="1455" spans="1:26" x14ac:dyDescent="0.3">
      <c r="A1455" t="s">
        <v>1826</v>
      </c>
      <c r="B1455" s="22" t="s">
        <v>209</v>
      </c>
      <c r="C1455" s="24" t="s">
        <v>11</v>
      </c>
      <c r="D1455" s="24" t="s">
        <v>329</v>
      </c>
      <c r="E1455" s="24">
        <v>63</v>
      </c>
      <c r="F1455" t="s">
        <v>370</v>
      </c>
      <c r="G1455" s="24" t="s">
        <v>31</v>
      </c>
      <c r="H1455" s="24" t="s">
        <v>18</v>
      </c>
      <c r="I1455" s="24">
        <v>6150</v>
      </c>
      <c r="J1455" s="24">
        <v>1</v>
      </c>
      <c r="K1455" s="25">
        <f t="shared" si="66"/>
        <v>6150</v>
      </c>
      <c r="L1455" s="26">
        <v>45382</v>
      </c>
      <c r="M1455" s="24" t="str">
        <f t="shared" si="67"/>
        <v>Sunday</v>
      </c>
      <c r="N1455" s="24" t="str">
        <f t="shared" si="68"/>
        <v>Weekday</v>
      </c>
      <c r="Q1455" s="24"/>
      <c r="R1455" s="24"/>
      <c r="S1455" s="27"/>
      <c r="T1455"/>
      <c r="U1455" s="6"/>
      <c r="W1455" s="7"/>
      <c r="Z1455" s="4"/>
    </row>
    <row r="1456" spans="1:26" x14ac:dyDescent="0.3">
      <c r="A1456" t="s">
        <v>1827</v>
      </c>
      <c r="B1456" s="16" t="s">
        <v>316</v>
      </c>
      <c r="C1456" s="18" t="s">
        <v>20</v>
      </c>
      <c r="D1456" s="18" t="s">
        <v>322</v>
      </c>
      <c r="E1456" s="18">
        <v>54</v>
      </c>
      <c r="F1456" t="s">
        <v>381</v>
      </c>
      <c r="G1456" s="18" t="s">
        <v>31</v>
      </c>
      <c r="H1456" s="18" t="s">
        <v>18</v>
      </c>
      <c r="I1456" s="18">
        <v>6150</v>
      </c>
      <c r="J1456" s="18">
        <v>2</v>
      </c>
      <c r="K1456" s="19">
        <f t="shared" si="66"/>
        <v>12300</v>
      </c>
      <c r="L1456" s="20">
        <v>45349</v>
      </c>
      <c r="M1456" s="18" t="str">
        <f t="shared" si="67"/>
        <v>Tuesday</v>
      </c>
      <c r="N1456" s="18" t="str">
        <f t="shared" si="68"/>
        <v>Weekday</v>
      </c>
      <c r="Q1456" s="18"/>
      <c r="R1456" s="18"/>
      <c r="S1456" s="21"/>
      <c r="T1456"/>
      <c r="U1456" s="6"/>
      <c r="W1456" s="7"/>
      <c r="Z1456" s="4"/>
    </row>
    <row r="1457" spans="1:26" x14ac:dyDescent="0.3">
      <c r="A1457" t="s">
        <v>1828</v>
      </c>
      <c r="B1457" s="22" t="s">
        <v>278</v>
      </c>
      <c r="C1457" s="24" t="s">
        <v>11</v>
      </c>
      <c r="D1457" s="24" t="s">
        <v>322</v>
      </c>
      <c r="E1457" s="24">
        <v>32</v>
      </c>
      <c r="F1457" t="s">
        <v>370</v>
      </c>
      <c r="G1457" s="24" t="s">
        <v>31</v>
      </c>
      <c r="H1457" s="24" t="s">
        <v>18</v>
      </c>
      <c r="I1457" s="24">
        <v>6150</v>
      </c>
      <c r="J1457" s="24">
        <v>3</v>
      </c>
      <c r="K1457" s="25">
        <f t="shared" si="66"/>
        <v>18450</v>
      </c>
      <c r="L1457" s="26">
        <v>45629</v>
      </c>
      <c r="M1457" s="24" t="str">
        <f t="shared" si="67"/>
        <v>Tuesday</v>
      </c>
      <c r="N1457" s="24" t="str">
        <f t="shared" si="68"/>
        <v>Weekday</v>
      </c>
      <c r="Q1457" s="24"/>
      <c r="R1457" s="24"/>
      <c r="S1457" s="27"/>
      <c r="T1457"/>
      <c r="U1457" s="6"/>
      <c r="W1457" s="7"/>
      <c r="Z1457" s="4"/>
    </row>
    <row r="1458" spans="1:26" x14ac:dyDescent="0.3">
      <c r="A1458" t="s">
        <v>1829</v>
      </c>
      <c r="B1458" s="16" t="s">
        <v>54</v>
      </c>
      <c r="C1458" s="18" t="s">
        <v>11</v>
      </c>
      <c r="D1458" s="18" t="s">
        <v>322</v>
      </c>
      <c r="E1458" s="18">
        <v>57</v>
      </c>
      <c r="F1458" t="s">
        <v>375</v>
      </c>
      <c r="G1458" s="18" t="s">
        <v>17</v>
      </c>
      <c r="H1458" s="18" t="s">
        <v>18</v>
      </c>
      <c r="I1458" s="18">
        <v>12300</v>
      </c>
      <c r="J1458" s="18">
        <v>5</v>
      </c>
      <c r="K1458" s="19">
        <f t="shared" si="66"/>
        <v>61500</v>
      </c>
      <c r="L1458" s="20">
        <v>45520</v>
      </c>
      <c r="M1458" s="18" t="str">
        <f t="shared" si="67"/>
        <v>Friday</v>
      </c>
      <c r="N1458" s="18" t="str">
        <f t="shared" si="68"/>
        <v>Weekend</v>
      </c>
      <c r="Q1458" s="18"/>
      <c r="R1458" s="18"/>
      <c r="S1458" s="21"/>
      <c r="T1458"/>
      <c r="U1458" s="6"/>
      <c r="W1458" s="7"/>
      <c r="Z1458" s="4"/>
    </row>
    <row r="1459" spans="1:26" x14ac:dyDescent="0.3">
      <c r="A1459" t="s">
        <v>1830</v>
      </c>
      <c r="B1459" s="22" t="s">
        <v>10</v>
      </c>
      <c r="C1459" s="24" t="s">
        <v>11</v>
      </c>
      <c r="D1459" s="24" t="s">
        <v>322</v>
      </c>
      <c r="E1459" s="24">
        <v>21</v>
      </c>
      <c r="F1459" t="s">
        <v>375</v>
      </c>
      <c r="G1459" s="24" t="s">
        <v>24</v>
      </c>
      <c r="H1459" s="24" t="s">
        <v>14</v>
      </c>
      <c r="I1459" s="24">
        <v>184500</v>
      </c>
      <c r="J1459" s="24">
        <v>5</v>
      </c>
      <c r="K1459" s="25">
        <f t="shared" si="66"/>
        <v>922500</v>
      </c>
      <c r="L1459" s="26">
        <v>45302</v>
      </c>
      <c r="M1459" s="24" t="str">
        <f t="shared" si="67"/>
        <v>Thursday</v>
      </c>
      <c r="N1459" s="24" t="str">
        <f t="shared" si="68"/>
        <v>Weekday</v>
      </c>
      <c r="Q1459" s="24"/>
      <c r="R1459" s="24"/>
      <c r="S1459" s="27"/>
      <c r="T1459"/>
      <c r="U1459" s="6"/>
      <c r="W1459" s="7"/>
      <c r="Z1459" s="4"/>
    </row>
    <row r="1460" spans="1:26" x14ac:dyDescent="0.3">
      <c r="A1460" t="s">
        <v>1831</v>
      </c>
      <c r="B1460" s="16" t="s">
        <v>116</v>
      </c>
      <c r="C1460" s="18" t="s">
        <v>20</v>
      </c>
      <c r="D1460" s="18" t="s">
        <v>322</v>
      </c>
      <c r="E1460" s="18">
        <v>33</v>
      </c>
      <c r="F1460" t="s">
        <v>373</v>
      </c>
      <c r="G1460" s="18" t="s">
        <v>42</v>
      </c>
      <c r="H1460" s="18" t="s">
        <v>14</v>
      </c>
      <c r="I1460" s="18">
        <v>98400</v>
      </c>
      <c r="J1460" s="18">
        <v>3</v>
      </c>
      <c r="K1460" s="19">
        <f t="shared" si="66"/>
        <v>295200</v>
      </c>
      <c r="L1460" s="20">
        <v>45584</v>
      </c>
      <c r="M1460" s="18" t="str">
        <f t="shared" si="67"/>
        <v>Saturday</v>
      </c>
      <c r="N1460" s="18" t="str">
        <f t="shared" si="68"/>
        <v>Weekend</v>
      </c>
      <c r="Q1460" s="18"/>
      <c r="R1460" s="18"/>
      <c r="S1460" s="21"/>
      <c r="T1460"/>
      <c r="U1460" s="6"/>
      <c r="W1460" s="7"/>
      <c r="Z1460" s="4"/>
    </row>
    <row r="1461" spans="1:26" x14ac:dyDescent="0.3">
      <c r="A1461" t="s">
        <v>1832</v>
      </c>
      <c r="B1461" s="22" t="s">
        <v>98</v>
      </c>
      <c r="C1461" s="24" t="s">
        <v>11</v>
      </c>
      <c r="D1461" s="24" t="s">
        <v>323</v>
      </c>
      <c r="E1461" s="24">
        <v>64</v>
      </c>
      <c r="F1461" t="s">
        <v>381</v>
      </c>
      <c r="G1461" s="24" t="s">
        <v>42</v>
      </c>
      <c r="H1461" s="24" t="s">
        <v>14</v>
      </c>
      <c r="I1461" s="24">
        <v>98400</v>
      </c>
      <c r="J1461" s="24">
        <v>1</v>
      </c>
      <c r="K1461" s="25">
        <f t="shared" si="66"/>
        <v>98400</v>
      </c>
      <c r="L1461" s="26">
        <v>45443</v>
      </c>
      <c r="M1461" s="24" t="str">
        <f t="shared" si="67"/>
        <v>Friday</v>
      </c>
      <c r="N1461" s="24" t="str">
        <f t="shared" si="68"/>
        <v>Weekend</v>
      </c>
      <c r="Q1461" s="24"/>
      <c r="R1461" s="24"/>
      <c r="S1461" s="27"/>
      <c r="T1461"/>
      <c r="U1461" s="6"/>
      <c r="W1461" s="7"/>
      <c r="Z1461" s="4"/>
    </row>
    <row r="1462" spans="1:26" x14ac:dyDescent="0.3">
      <c r="A1462" t="s">
        <v>1833</v>
      </c>
      <c r="B1462" s="16" t="s">
        <v>63</v>
      </c>
      <c r="C1462" s="18" t="s">
        <v>20</v>
      </c>
      <c r="D1462" s="18" t="s">
        <v>322</v>
      </c>
      <c r="E1462" s="18">
        <v>61</v>
      </c>
      <c r="F1462" t="s">
        <v>375</v>
      </c>
      <c r="G1462" s="18" t="s">
        <v>24</v>
      </c>
      <c r="H1462" s="18" t="s">
        <v>14</v>
      </c>
      <c r="I1462" s="18">
        <v>184500</v>
      </c>
      <c r="J1462" s="18">
        <v>4</v>
      </c>
      <c r="K1462" s="19">
        <f t="shared" si="66"/>
        <v>738000</v>
      </c>
      <c r="L1462" s="20">
        <v>45575</v>
      </c>
      <c r="M1462" s="18" t="str">
        <f t="shared" si="67"/>
        <v>Thursday</v>
      </c>
      <c r="N1462" s="18" t="str">
        <f t="shared" si="68"/>
        <v>Weekday</v>
      </c>
      <c r="Q1462" s="18"/>
      <c r="R1462" s="18"/>
      <c r="S1462" s="21"/>
      <c r="T1462"/>
      <c r="U1462" s="6"/>
      <c r="W1462" s="7"/>
      <c r="Z1462" s="4"/>
    </row>
    <row r="1463" spans="1:26" x14ac:dyDescent="0.3">
      <c r="A1463" t="s">
        <v>1834</v>
      </c>
      <c r="B1463" s="22" t="s">
        <v>191</v>
      </c>
      <c r="C1463" s="24" t="s">
        <v>11</v>
      </c>
      <c r="D1463" s="24" t="s">
        <v>326</v>
      </c>
      <c r="E1463" s="24">
        <v>69</v>
      </c>
      <c r="F1463" t="s">
        <v>375</v>
      </c>
      <c r="G1463" s="24" t="s">
        <v>17</v>
      </c>
      <c r="H1463" s="24" t="s">
        <v>18</v>
      </c>
      <c r="I1463" s="24">
        <v>12300</v>
      </c>
      <c r="J1463" s="24">
        <v>2</v>
      </c>
      <c r="K1463" s="25">
        <f t="shared" si="66"/>
        <v>24600</v>
      </c>
      <c r="L1463" s="26">
        <v>45499</v>
      </c>
      <c r="M1463" s="24" t="str">
        <f t="shared" si="67"/>
        <v>Friday</v>
      </c>
      <c r="N1463" s="24" t="str">
        <f t="shared" si="68"/>
        <v>Weekend</v>
      </c>
      <c r="Q1463" s="24"/>
      <c r="R1463" s="24"/>
      <c r="S1463" s="27"/>
      <c r="T1463"/>
      <c r="U1463" s="6"/>
      <c r="W1463" s="7"/>
      <c r="Z1463" s="4"/>
    </row>
    <row r="1464" spans="1:26" x14ac:dyDescent="0.3">
      <c r="A1464" t="s">
        <v>1835</v>
      </c>
      <c r="B1464" s="16" t="s">
        <v>275</v>
      </c>
      <c r="C1464" s="18" t="s">
        <v>11</v>
      </c>
      <c r="D1464" s="18" t="s">
        <v>322</v>
      </c>
      <c r="E1464" s="18">
        <v>33</v>
      </c>
      <c r="F1464" t="s">
        <v>375</v>
      </c>
      <c r="G1464" s="18" t="s">
        <v>32</v>
      </c>
      <c r="H1464" s="18" t="s">
        <v>18</v>
      </c>
      <c r="I1464" s="18">
        <v>3690</v>
      </c>
      <c r="J1464" s="18">
        <v>3</v>
      </c>
      <c r="K1464" s="19">
        <f t="shared" si="66"/>
        <v>11070</v>
      </c>
      <c r="L1464" s="20">
        <v>45496</v>
      </c>
      <c r="M1464" s="18" t="str">
        <f t="shared" si="67"/>
        <v>Tuesday</v>
      </c>
      <c r="N1464" s="18" t="str">
        <f t="shared" si="68"/>
        <v>Weekday</v>
      </c>
      <c r="Q1464" s="18"/>
      <c r="R1464" s="18"/>
      <c r="S1464" s="21"/>
      <c r="T1464"/>
      <c r="U1464" s="6"/>
      <c r="W1464" s="7"/>
      <c r="Z1464" s="4"/>
    </row>
    <row r="1465" spans="1:26" x14ac:dyDescent="0.3">
      <c r="A1465" t="s">
        <v>1836</v>
      </c>
      <c r="B1465" s="22" t="s">
        <v>208</v>
      </c>
      <c r="C1465" s="24" t="s">
        <v>366</v>
      </c>
      <c r="D1465" s="24" t="s">
        <v>326</v>
      </c>
      <c r="E1465" s="24">
        <v>45</v>
      </c>
      <c r="F1465" t="s">
        <v>375</v>
      </c>
      <c r="G1465" s="24" t="s">
        <v>17</v>
      </c>
      <c r="H1465" s="24" t="s">
        <v>18</v>
      </c>
      <c r="I1465" s="24">
        <v>12300</v>
      </c>
      <c r="J1465" s="24">
        <v>5</v>
      </c>
      <c r="K1465" s="25">
        <f t="shared" si="66"/>
        <v>61500</v>
      </c>
      <c r="L1465" s="26">
        <v>45514</v>
      </c>
      <c r="M1465" s="24" t="str">
        <f t="shared" si="67"/>
        <v>Saturday</v>
      </c>
      <c r="N1465" s="24" t="str">
        <f t="shared" si="68"/>
        <v>Weekend</v>
      </c>
      <c r="Q1465" s="24"/>
      <c r="R1465" s="24"/>
      <c r="S1465" s="27"/>
      <c r="T1465"/>
      <c r="U1465" s="6"/>
      <c r="W1465" s="7"/>
      <c r="Z1465" s="4"/>
    </row>
    <row r="1466" spans="1:26" x14ac:dyDescent="0.3">
      <c r="A1466" t="s">
        <v>1837</v>
      </c>
      <c r="B1466" s="16" t="s">
        <v>176</v>
      </c>
      <c r="C1466" s="18" t="s">
        <v>11</v>
      </c>
      <c r="D1466" s="18" t="s">
        <v>323</v>
      </c>
      <c r="E1466" s="18">
        <v>54</v>
      </c>
      <c r="F1466" t="s">
        <v>370</v>
      </c>
      <c r="G1466" s="18" t="s">
        <v>17</v>
      </c>
      <c r="H1466" s="18" t="s">
        <v>18</v>
      </c>
      <c r="I1466" s="18">
        <v>12300</v>
      </c>
      <c r="J1466" s="18">
        <v>2</v>
      </c>
      <c r="K1466" s="19">
        <f t="shared" si="66"/>
        <v>24600</v>
      </c>
      <c r="L1466" s="20">
        <v>45657</v>
      </c>
      <c r="M1466" s="18" t="str">
        <f t="shared" si="67"/>
        <v>Tuesday</v>
      </c>
      <c r="N1466" s="18" t="str">
        <f t="shared" si="68"/>
        <v>Weekday</v>
      </c>
      <c r="Q1466" s="18"/>
      <c r="R1466" s="18"/>
      <c r="S1466" s="21"/>
      <c r="T1466"/>
      <c r="U1466" s="6"/>
      <c r="W1466" s="7"/>
      <c r="Z1466" s="4"/>
    </row>
    <row r="1467" spans="1:26" x14ac:dyDescent="0.3">
      <c r="A1467" t="s">
        <v>1838</v>
      </c>
      <c r="B1467" s="22" t="s">
        <v>226</v>
      </c>
      <c r="C1467" s="24" t="s">
        <v>366</v>
      </c>
      <c r="D1467" s="24" t="s">
        <v>329</v>
      </c>
      <c r="E1467" s="24">
        <v>34</v>
      </c>
      <c r="F1467" t="s">
        <v>373</v>
      </c>
      <c r="G1467" s="24" t="s">
        <v>42</v>
      </c>
      <c r="H1467" s="24" t="s">
        <v>14</v>
      </c>
      <c r="I1467" s="24">
        <v>98400</v>
      </c>
      <c r="J1467" s="24">
        <v>5</v>
      </c>
      <c r="K1467" s="25">
        <f t="shared" si="66"/>
        <v>492000</v>
      </c>
      <c r="L1467" s="26">
        <v>45333</v>
      </c>
      <c r="M1467" s="24" t="str">
        <f t="shared" si="67"/>
        <v>Sunday</v>
      </c>
      <c r="N1467" s="24" t="str">
        <f t="shared" si="68"/>
        <v>Weekday</v>
      </c>
      <c r="Q1467" s="24"/>
      <c r="R1467" s="24"/>
      <c r="S1467" s="27"/>
      <c r="T1467"/>
      <c r="U1467" s="6"/>
      <c r="W1467" s="7"/>
      <c r="Z1467" s="4"/>
    </row>
    <row r="1468" spans="1:26" x14ac:dyDescent="0.3">
      <c r="A1468" t="s">
        <v>1839</v>
      </c>
      <c r="B1468" s="16" t="s">
        <v>139</v>
      </c>
      <c r="C1468" s="18" t="s">
        <v>366</v>
      </c>
      <c r="D1468" s="18" t="s">
        <v>324</v>
      </c>
      <c r="E1468" s="18">
        <v>27</v>
      </c>
      <c r="F1468" t="s">
        <v>373</v>
      </c>
      <c r="G1468" s="18" t="s">
        <v>32</v>
      </c>
      <c r="H1468" s="18" t="s">
        <v>18</v>
      </c>
      <c r="I1468" s="18">
        <v>3690</v>
      </c>
      <c r="J1468" s="18">
        <v>5</v>
      </c>
      <c r="K1468" s="19">
        <f t="shared" si="66"/>
        <v>18450</v>
      </c>
      <c r="L1468" s="20">
        <v>45570</v>
      </c>
      <c r="M1468" s="18" t="str">
        <f t="shared" si="67"/>
        <v>Saturday</v>
      </c>
      <c r="N1468" s="18" t="str">
        <f t="shared" si="68"/>
        <v>Weekend</v>
      </c>
      <c r="Q1468" s="18"/>
      <c r="R1468" s="18"/>
      <c r="S1468" s="21"/>
      <c r="T1468"/>
      <c r="U1468" s="6"/>
      <c r="W1468" s="7"/>
      <c r="Z1468" s="4"/>
    </row>
    <row r="1469" spans="1:26" x14ac:dyDescent="0.3">
      <c r="A1469" t="s">
        <v>1840</v>
      </c>
      <c r="B1469" s="22" t="s">
        <v>195</v>
      </c>
      <c r="C1469" s="24" t="s">
        <v>20</v>
      </c>
      <c r="D1469" s="24" t="s">
        <v>323</v>
      </c>
      <c r="E1469" s="24">
        <v>52</v>
      </c>
      <c r="F1469" t="s">
        <v>375</v>
      </c>
      <c r="G1469" s="24" t="s">
        <v>32</v>
      </c>
      <c r="H1469" s="24" t="s">
        <v>18</v>
      </c>
      <c r="I1469" s="24">
        <v>3690</v>
      </c>
      <c r="J1469" s="24">
        <v>1</v>
      </c>
      <c r="K1469" s="25">
        <f t="shared" si="66"/>
        <v>3690</v>
      </c>
      <c r="L1469" s="26">
        <v>45510</v>
      </c>
      <c r="M1469" s="24" t="str">
        <f t="shared" si="67"/>
        <v>Tuesday</v>
      </c>
      <c r="N1469" s="24" t="str">
        <f t="shared" si="68"/>
        <v>Weekday</v>
      </c>
      <c r="Q1469" s="24"/>
      <c r="R1469" s="24"/>
      <c r="S1469" s="27"/>
      <c r="T1469"/>
      <c r="U1469" s="6"/>
      <c r="W1469" s="7"/>
      <c r="Z1469" s="4"/>
    </row>
    <row r="1470" spans="1:26" x14ac:dyDescent="0.3">
      <c r="A1470" t="s">
        <v>1841</v>
      </c>
      <c r="B1470" s="16" t="s">
        <v>71</v>
      </c>
      <c r="C1470" s="18" t="s">
        <v>20</v>
      </c>
      <c r="D1470" s="18" t="s">
        <v>323</v>
      </c>
      <c r="E1470" s="18">
        <v>67</v>
      </c>
      <c r="F1470" t="s">
        <v>373</v>
      </c>
      <c r="G1470" s="18" t="s">
        <v>42</v>
      </c>
      <c r="H1470" s="18" t="s">
        <v>14</v>
      </c>
      <c r="I1470" s="18">
        <v>98400</v>
      </c>
      <c r="J1470" s="18">
        <v>3</v>
      </c>
      <c r="K1470" s="19">
        <f t="shared" si="66"/>
        <v>295200</v>
      </c>
      <c r="L1470" s="20">
        <v>45511</v>
      </c>
      <c r="M1470" s="18" t="str">
        <f t="shared" si="67"/>
        <v>Wednesday</v>
      </c>
      <c r="N1470" s="18" t="str">
        <f t="shared" si="68"/>
        <v>Weekday</v>
      </c>
      <c r="Q1470" s="18"/>
      <c r="R1470" s="18"/>
      <c r="S1470" s="21"/>
      <c r="T1470"/>
      <c r="U1470" s="6"/>
      <c r="W1470" s="7"/>
      <c r="Z1470" s="4"/>
    </row>
    <row r="1471" spans="1:26" x14ac:dyDescent="0.3">
      <c r="A1471" t="s">
        <v>1842</v>
      </c>
      <c r="B1471" s="22" t="s">
        <v>153</v>
      </c>
      <c r="C1471" s="24" t="s">
        <v>366</v>
      </c>
      <c r="D1471" s="24" t="s">
        <v>323</v>
      </c>
      <c r="E1471" s="24">
        <v>66</v>
      </c>
      <c r="F1471" t="s">
        <v>373</v>
      </c>
      <c r="G1471" s="24" t="s">
        <v>32</v>
      </c>
      <c r="H1471" s="24" t="s">
        <v>18</v>
      </c>
      <c r="I1471" s="24">
        <v>3690</v>
      </c>
      <c r="J1471" s="24">
        <v>1</v>
      </c>
      <c r="K1471" s="25">
        <f t="shared" si="66"/>
        <v>3690</v>
      </c>
      <c r="L1471" s="26">
        <v>45436</v>
      </c>
      <c r="M1471" s="24" t="str">
        <f t="shared" si="67"/>
        <v>Friday</v>
      </c>
      <c r="N1471" s="24" t="str">
        <f t="shared" si="68"/>
        <v>Weekend</v>
      </c>
      <c r="Q1471" s="24"/>
      <c r="R1471" s="24"/>
      <c r="S1471" s="27"/>
      <c r="T1471"/>
      <c r="U1471" s="6"/>
      <c r="W1471" s="7"/>
      <c r="Z1471" s="4"/>
    </row>
    <row r="1472" spans="1:26" x14ac:dyDescent="0.3">
      <c r="A1472" t="s">
        <v>1843</v>
      </c>
      <c r="B1472" s="16" t="s">
        <v>10</v>
      </c>
      <c r="C1472" s="18" t="s">
        <v>11</v>
      </c>
      <c r="D1472" s="18" t="s">
        <v>322</v>
      </c>
      <c r="E1472" s="18">
        <v>21</v>
      </c>
      <c r="F1472" t="s">
        <v>373</v>
      </c>
      <c r="G1472" s="18" t="s">
        <v>13</v>
      </c>
      <c r="H1472" s="18" t="s">
        <v>14</v>
      </c>
      <c r="I1472" s="18">
        <v>36900</v>
      </c>
      <c r="J1472" s="18">
        <v>4</v>
      </c>
      <c r="K1472" s="19">
        <f t="shared" si="66"/>
        <v>147600</v>
      </c>
      <c r="L1472" s="20">
        <v>45357</v>
      </c>
      <c r="M1472" s="18" t="str">
        <f t="shared" si="67"/>
        <v>Wednesday</v>
      </c>
      <c r="N1472" s="18" t="str">
        <f t="shared" si="68"/>
        <v>Weekday</v>
      </c>
      <c r="Q1472" s="18"/>
      <c r="R1472" s="18"/>
      <c r="S1472" s="21"/>
      <c r="T1472"/>
      <c r="U1472" s="6"/>
      <c r="W1472" s="7"/>
      <c r="Z1472" s="4"/>
    </row>
    <row r="1473" spans="1:26" x14ac:dyDescent="0.3">
      <c r="A1473" t="s">
        <v>1844</v>
      </c>
      <c r="B1473" s="22" t="s">
        <v>237</v>
      </c>
      <c r="C1473" s="24" t="s">
        <v>366</v>
      </c>
      <c r="D1473" s="24" t="s">
        <v>322</v>
      </c>
      <c r="E1473" s="24">
        <v>23</v>
      </c>
      <c r="F1473" t="s">
        <v>373</v>
      </c>
      <c r="G1473" s="24" t="s">
        <v>26</v>
      </c>
      <c r="H1473" s="24" t="s">
        <v>27</v>
      </c>
      <c r="I1473" s="24">
        <v>24600</v>
      </c>
      <c r="J1473" s="24">
        <v>4</v>
      </c>
      <c r="K1473" s="25">
        <f t="shared" si="66"/>
        <v>98400</v>
      </c>
      <c r="L1473" s="26">
        <v>45630</v>
      </c>
      <c r="M1473" s="24" t="str">
        <f t="shared" si="67"/>
        <v>Wednesday</v>
      </c>
      <c r="N1473" s="24" t="str">
        <f t="shared" si="68"/>
        <v>Weekday</v>
      </c>
      <c r="Q1473" s="24"/>
      <c r="R1473" s="24"/>
      <c r="S1473" s="27"/>
      <c r="T1473"/>
      <c r="U1473" s="6"/>
      <c r="W1473" s="7"/>
      <c r="Z1473" s="4"/>
    </row>
    <row r="1474" spans="1:26" x14ac:dyDescent="0.3">
      <c r="A1474" t="s">
        <v>1845</v>
      </c>
      <c r="B1474" s="16" t="s">
        <v>271</v>
      </c>
      <c r="C1474" s="18" t="s">
        <v>20</v>
      </c>
      <c r="D1474" s="18" t="s">
        <v>322</v>
      </c>
      <c r="E1474" s="18">
        <v>48</v>
      </c>
      <c r="F1474" t="s">
        <v>370</v>
      </c>
      <c r="G1474" s="18" t="s">
        <v>42</v>
      </c>
      <c r="H1474" s="18" t="s">
        <v>14</v>
      </c>
      <c r="I1474" s="18">
        <v>98400</v>
      </c>
      <c r="J1474" s="18">
        <v>5</v>
      </c>
      <c r="K1474" s="19">
        <f t="shared" ref="K1474:K1537" si="69">I1474*J1474</f>
        <v>492000</v>
      </c>
      <c r="L1474" s="20">
        <v>45543</v>
      </c>
      <c r="M1474" s="18" t="str">
        <f t="shared" ref="M1474:M1537" si="70">TEXT(L1474, "dddd")</f>
        <v>Sunday</v>
      </c>
      <c r="N1474" s="18" t="str">
        <f t="shared" ref="N1474:N1537" si="71">IF(OR(WEEKDAY(L1474, 2)=5, WEEKDAY(L1474, 2)=6), "Weekend", "Weekday")</f>
        <v>Weekday</v>
      </c>
      <c r="Q1474" s="18"/>
      <c r="R1474" s="18"/>
      <c r="S1474" s="21"/>
      <c r="T1474"/>
      <c r="U1474" s="6"/>
      <c r="W1474" s="7"/>
      <c r="Z1474" s="4"/>
    </row>
    <row r="1475" spans="1:26" x14ac:dyDescent="0.3">
      <c r="A1475" t="s">
        <v>1846</v>
      </c>
      <c r="B1475" s="22" t="s">
        <v>109</v>
      </c>
      <c r="C1475" s="24" t="s">
        <v>366</v>
      </c>
      <c r="D1475" s="24" t="s">
        <v>324</v>
      </c>
      <c r="E1475" s="24">
        <v>26</v>
      </c>
      <c r="F1475" t="s">
        <v>375</v>
      </c>
      <c r="G1475" s="24" t="s">
        <v>26</v>
      </c>
      <c r="H1475" s="24" t="s">
        <v>27</v>
      </c>
      <c r="I1475" s="24">
        <v>24600</v>
      </c>
      <c r="J1475" s="24">
        <v>1</v>
      </c>
      <c r="K1475" s="25">
        <f t="shared" si="69"/>
        <v>24600</v>
      </c>
      <c r="L1475" s="26">
        <v>45575</v>
      </c>
      <c r="M1475" s="24" t="str">
        <f t="shared" si="70"/>
        <v>Thursday</v>
      </c>
      <c r="N1475" s="24" t="str">
        <f t="shared" si="71"/>
        <v>Weekday</v>
      </c>
      <c r="Q1475" s="24"/>
      <c r="R1475" s="24"/>
      <c r="S1475" s="27"/>
      <c r="T1475"/>
      <c r="U1475" s="6"/>
      <c r="W1475" s="7"/>
      <c r="Z1475" s="4"/>
    </row>
    <row r="1476" spans="1:26" x14ac:dyDescent="0.3">
      <c r="A1476" t="s">
        <v>1847</v>
      </c>
      <c r="B1476" s="16" t="s">
        <v>35</v>
      </c>
      <c r="C1476" s="18" t="s">
        <v>20</v>
      </c>
      <c r="D1476" s="18" t="s">
        <v>326</v>
      </c>
      <c r="E1476" s="18">
        <v>67</v>
      </c>
      <c r="F1476" t="s">
        <v>381</v>
      </c>
      <c r="G1476" s="18" t="s">
        <v>24</v>
      </c>
      <c r="H1476" s="18" t="s">
        <v>14</v>
      </c>
      <c r="I1476" s="18">
        <v>184500</v>
      </c>
      <c r="J1476" s="18">
        <v>3</v>
      </c>
      <c r="K1476" s="19">
        <f t="shared" si="69"/>
        <v>553500</v>
      </c>
      <c r="L1476" s="20">
        <v>45393</v>
      </c>
      <c r="M1476" s="18" t="str">
        <f t="shared" si="70"/>
        <v>Thursday</v>
      </c>
      <c r="N1476" s="18" t="str">
        <f t="shared" si="71"/>
        <v>Weekday</v>
      </c>
      <c r="Q1476" s="18"/>
      <c r="R1476" s="18"/>
      <c r="S1476" s="21"/>
      <c r="T1476"/>
      <c r="U1476" s="6"/>
      <c r="W1476" s="7"/>
      <c r="Z1476" s="4"/>
    </row>
    <row r="1477" spans="1:26" x14ac:dyDescent="0.3">
      <c r="A1477" t="s">
        <v>1848</v>
      </c>
      <c r="B1477" s="22" t="s">
        <v>113</v>
      </c>
      <c r="C1477" s="24" t="s">
        <v>11</v>
      </c>
      <c r="D1477" s="24" t="s">
        <v>322</v>
      </c>
      <c r="E1477" s="24">
        <v>58</v>
      </c>
      <c r="F1477" t="s">
        <v>370</v>
      </c>
      <c r="G1477" s="24" t="s">
        <v>26</v>
      </c>
      <c r="H1477" s="24" t="s">
        <v>27</v>
      </c>
      <c r="I1477" s="24">
        <v>24600</v>
      </c>
      <c r="J1477" s="24">
        <v>2</v>
      </c>
      <c r="K1477" s="25">
        <f t="shared" si="69"/>
        <v>49200</v>
      </c>
      <c r="L1477" s="26">
        <v>45564</v>
      </c>
      <c r="M1477" s="24" t="str">
        <f t="shared" si="70"/>
        <v>Sunday</v>
      </c>
      <c r="N1477" s="24" t="str">
        <f t="shared" si="71"/>
        <v>Weekday</v>
      </c>
      <c r="Q1477" s="24"/>
      <c r="R1477" s="24"/>
      <c r="S1477" s="27"/>
      <c r="T1477"/>
      <c r="U1477" s="6"/>
      <c r="W1477" s="7"/>
      <c r="Z1477" s="4"/>
    </row>
    <row r="1478" spans="1:26" x14ac:dyDescent="0.3">
      <c r="A1478" t="s">
        <v>1849</v>
      </c>
      <c r="B1478" s="16" t="s">
        <v>73</v>
      </c>
      <c r="C1478" s="18" t="s">
        <v>11</v>
      </c>
      <c r="D1478" s="18" t="s">
        <v>322</v>
      </c>
      <c r="E1478" s="18">
        <v>68</v>
      </c>
      <c r="F1478" t="s">
        <v>373</v>
      </c>
      <c r="G1478" s="18" t="s">
        <v>24</v>
      </c>
      <c r="H1478" s="18" t="s">
        <v>14</v>
      </c>
      <c r="I1478" s="18">
        <v>184500</v>
      </c>
      <c r="J1478" s="18">
        <v>5</v>
      </c>
      <c r="K1478" s="19">
        <f t="shared" si="69"/>
        <v>922500</v>
      </c>
      <c r="L1478" s="20">
        <v>45649</v>
      </c>
      <c r="M1478" s="18" t="str">
        <f t="shared" si="70"/>
        <v>Monday</v>
      </c>
      <c r="N1478" s="18" t="str">
        <f t="shared" si="71"/>
        <v>Weekday</v>
      </c>
      <c r="Q1478" s="18"/>
      <c r="R1478" s="18"/>
      <c r="S1478" s="21"/>
      <c r="T1478"/>
      <c r="U1478" s="6"/>
      <c r="W1478" s="7"/>
      <c r="Z1478" s="4"/>
    </row>
    <row r="1479" spans="1:26" x14ac:dyDescent="0.3">
      <c r="A1479" t="s">
        <v>1850</v>
      </c>
      <c r="B1479" s="22" t="s">
        <v>40</v>
      </c>
      <c r="C1479" s="24" t="s">
        <v>11</v>
      </c>
      <c r="D1479" s="24" t="s">
        <v>323</v>
      </c>
      <c r="E1479" s="24">
        <v>57</v>
      </c>
      <c r="F1479" t="s">
        <v>375</v>
      </c>
      <c r="G1479" s="24" t="s">
        <v>26</v>
      </c>
      <c r="H1479" s="24" t="s">
        <v>27</v>
      </c>
      <c r="I1479" s="24">
        <v>24600</v>
      </c>
      <c r="J1479" s="24">
        <v>2</v>
      </c>
      <c r="K1479" s="25">
        <f t="shared" si="69"/>
        <v>49200</v>
      </c>
      <c r="L1479" s="26">
        <v>45632</v>
      </c>
      <c r="M1479" s="24" t="str">
        <f t="shared" si="70"/>
        <v>Friday</v>
      </c>
      <c r="N1479" s="24" t="str">
        <f t="shared" si="71"/>
        <v>Weekend</v>
      </c>
      <c r="Q1479" s="24"/>
      <c r="R1479" s="24"/>
      <c r="S1479" s="27"/>
      <c r="T1479"/>
      <c r="U1479" s="6"/>
      <c r="W1479" s="7"/>
      <c r="Z1479" s="4"/>
    </row>
    <row r="1480" spans="1:26" x14ac:dyDescent="0.3">
      <c r="A1480" t="s">
        <v>1851</v>
      </c>
      <c r="B1480" s="16" t="s">
        <v>53</v>
      </c>
      <c r="C1480" s="18" t="s">
        <v>11</v>
      </c>
      <c r="D1480" s="18" t="s">
        <v>322</v>
      </c>
      <c r="E1480" s="18">
        <v>28</v>
      </c>
      <c r="F1480" t="s">
        <v>375</v>
      </c>
      <c r="G1480" s="18" t="s">
        <v>13</v>
      </c>
      <c r="H1480" s="18" t="s">
        <v>14</v>
      </c>
      <c r="I1480" s="18">
        <v>36900</v>
      </c>
      <c r="J1480" s="18">
        <v>3</v>
      </c>
      <c r="K1480" s="19">
        <f t="shared" si="69"/>
        <v>110700</v>
      </c>
      <c r="L1480" s="20">
        <v>45579</v>
      </c>
      <c r="M1480" s="18" t="str">
        <f t="shared" si="70"/>
        <v>Monday</v>
      </c>
      <c r="N1480" s="18" t="str">
        <f t="shared" si="71"/>
        <v>Weekday</v>
      </c>
      <c r="Q1480" s="18"/>
      <c r="R1480" s="18"/>
      <c r="S1480" s="21"/>
      <c r="T1480"/>
      <c r="U1480" s="6"/>
      <c r="W1480" s="7"/>
      <c r="Z1480" s="4"/>
    </row>
    <row r="1481" spans="1:26" x14ac:dyDescent="0.3">
      <c r="A1481" t="s">
        <v>1852</v>
      </c>
      <c r="B1481" s="22" t="s">
        <v>309</v>
      </c>
      <c r="C1481" s="24" t="s">
        <v>366</v>
      </c>
      <c r="D1481" s="24" t="s">
        <v>322</v>
      </c>
      <c r="E1481" s="24">
        <v>38</v>
      </c>
      <c r="F1481" t="s">
        <v>375</v>
      </c>
      <c r="G1481" s="24" t="s">
        <v>32</v>
      </c>
      <c r="H1481" s="24" t="s">
        <v>18</v>
      </c>
      <c r="I1481" s="24">
        <v>3690</v>
      </c>
      <c r="J1481" s="24">
        <v>5</v>
      </c>
      <c r="K1481" s="25">
        <f t="shared" si="69"/>
        <v>18450</v>
      </c>
      <c r="L1481" s="26">
        <v>45483</v>
      </c>
      <c r="M1481" s="24" t="str">
        <f t="shared" si="70"/>
        <v>Wednesday</v>
      </c>
      <c r="N1481" s="24" t="str">
        <f t="shared" si="71"/>
        <v>Weekday</v>
      </c>
      <c r="Q1481" s="24"/>
      <c r="R1481" s="24"/>
      <c r="S1481" s="27"/>
      <c r="T1481"/>
      <c r="U1481" s="6"/>
      <c r="W1481" s="7"/>
      <c r="Z1481" s="4"/>
    </row>
    <row r="1482" spans="1:26" x14ac:dyDescent="0.3">
      <c r="A1482" t="s">
        <v>1853</v>
      </c>
      <c r="B1482" s="16" t="s">
        <v>147</v>
      </c>
      <c r="C1482" s="18" t="s">
        <v>11</v>
      </c>
      <c r="D1482" s="18" t="s">
        <v>322</v>
      </c>
      <c r="E1482" s="18">
        <v>30</v>
      </c>
      <c r="F1482" t="s">
        <v>375</v>
      </c>
      <c r="G1482" s="18" t="s">
        <v>13</v>
      </c>
      <c r="H1482" s="18" t="s">
        <v>14</v>
      </c>
      <c r="I1482" s="18">
        <v>36900</v>
      </c>
      <c r="J1482" s="18">
        <v>1</v>
      </c>
      <c r="K1482" s="19">
        <f t="shared" si="69"/>
        <v>36900</v>
      </c>
      <c r="L1482" s="20">
        <v>45592</v>
      </c>
      <c r="M1482" s="18" t="str">
        <f t="shared" si="70"/>
        <v>Sunday</v>
      </c>
      <c r="N1482" s="18" t="str">
        <f t="shared" si="71"/>
        <v>Weekday</v>
      </c>
      <c r="Q1482" s="18"/>
      <c r="R1482" s="18"/>
      <c r="S1482" s="21"/>
      <c r="T1482"/>
      <c r="U1482" s="6"/>
      <c r="W1482" s="7"/>
      <c r="Z1482" s="4"/>
    </row>
    <row r="1483" spans="1:26" x14ac:dyDescent="0.3">
      <c r="A1483" t="s">
        <v>1854</v>
      </c>
      <c r="B1483" s="22" t="s">
        <v>277</v>
      </c>
      <c r="C1483" s="24" t="s">
        <v>11</v>
      </c>
      <c r="D1483" s="24" t="s">
        <v>325</v>
      </c>
      <c r="E1483" s="24">
        <v>34</v>
      </c>
      <c r="F1483" t="s">
        <v>373</v>
      </c>
      <c r="G1483" s="24" t="s">
        <v>17</v>
      </c>
      <c r="H1483" s="24" t="s">
        <v>18</v>
      </c>
      <c r="I1483" s="24">
        <v>12300</v>
      </c>
      <c r="J1483" s="24">
        <v>1</v>
      </c>
      <c r="K1483" s="25">
        <f t="shared" si="69"/>
        <v>12300</v>
      </c>
      <c r="L1483" s="26">
        <v>45415</v>
      </c>
      <c r="M1483" s="24" t="str">
        <f t="shared" si="70"/>
        <v>Friday</v>
      </c>
      <c r="N1483" s="24" t="str">
        <f t="shared" si="71"/>
        <v>Weekend</v>
      </c>
      <c r="Q1483" s="24"/>
      <c r="R1483" s="24"/>
      <c r="S1483" s="27"/>
      <c r="T1483"/>
      <c r="U1483" s="6"/>
      <c r="W1483" s="7"/>
      <c r="Z1483" s="4"/>
    </row>
    <row r="1484" spans="1:26" x14ac:dyDescent="0.3">
      <c r="A1484" t="s">
        <v>1855</v>
      </c>
      <c r="B1484" s="16" t="s">
        <v>176</v>
      </c>
      <c r="C1484" s="18" t="s">
        <v>11</v>
      </c>
      <c r="D1484" s="18" t="s">
        <v>323</v>
      </c>
      <c r="E1484" s="18">
        <v>54</v>
      </c>
      <c r="F1484" t="s">
        <v>375</v>
      </c>
      <c r="G1484" s="18" t="s">
        <v>42</v>
      </c>
      <c r="H1484" s="18" t="s">
        <v>14</v>
      </c>
      <c r="I1484" s="18">
        <v>98400</v>
      </c>
      <c r="J1484" s="18">
        <v>5</v>
      </c>
      <c r="K1484" s="19">
        <f t="shared" si="69"/>
        <v>492000</v>
      </c>
      <c r="L1484" s="20">
        <v>45352</v>
      </c>
      <c r="M1484" s="18" t="str">
        <f t="shared" si="70"/>
        <v>Friday</v>
      </c>
      <c r="N1484" s="18" t="str">
        <f t="shared" si="71"/>
        <v>Weekend</v>
      </c>
      <c r="Q1484" s="18"/>
      <c r="R1484" s="18"/>
      <c r="S1484" s="21"/>
      <c r="T1484"/>
      <c r="U1484" s="6"/>
      <c r="W1484" s="7"/>
      <c r="Z1484" s="4"/>
    </row>
    <row r="1485" spans="1:26" x14ac:dyDescent="0.3">
      <c r="A1485" t="s">
        <v>1856</v>
      </c>
      <c r="B1485" s="22" t="s">
        <v>131</v>
      </c>
      <c r="C1485" s="24" t="s">
        <v>20</v>
      </c>
      <c r="D1485" s="24" t="s">
        <v>323</v>
      </c>
      <c r="E1485" s="24">
        <v>62</v>
      </c>
      <c r="F1485" t="s">
        <v>381</v>
      </c>
      <c r="G1485" s="24" t="s">
        <v>17</v>
      </c>
      <c r="H1485" s="24" t="s">
        <v>18</v>
      </c>
      <c r="I1485" s="24">
        <v>12300</v>
      </c>
      <c r="J1485" s="24">
        <v>3</v>
      </c>
      <c r="K1485" s="25">
        <f t="shared" si="69"/>
        <v>36900</v>
      </c>
      <c r="L1485" s="26">
        <v>45319</v>
      </c>
      <c r="M1485" s="24" t="str">
        <f t="shared" si="70"/>
        <v>Sunday</v>
      </c>
      <c r="N1485" s="24" t="str">
        <f t="shared" si="71"/>
        <v>Weekday</v>
      </c>
      <c r="Q1485" s="24"/>
      <c r="R1485" s="24"/>
      <c r="S1485" s="27"/>
      <c r="T1485"/>
      <c r="U1485" s="6"/>
      <c r="W1485" s="7"/>
      <c r="Z1485" s="4"/>
    </row>
    <row r="1486" spans="1:26" x14ac:dyDescent="0.3">
      <c r="A1486" t="s">
        <v>1857</v>
      </c>
      <c r="B1486" s="16" t="s">
        <v>85</v>
      </c>
      <c r="C1486" s="18" t="s">
        <v>11</v>
      </c>
      <c r="D1486" s="18" t="s">
        <v>326</v>
      </c>
      <c r="E1486" s="18">
        <v>36</v>
      </c>
      <c r="F1486" t="s">
        <v>381</v>
      </c>
      <c r="G1486" s="18" t="s">
        <v>24</v>
      </c>
      <c r="H1486" s="18" t="s">
        <v>14</v>
      </c>
      <c r="I1486" s="18">
        <v>184500</v>
      </c>
      <c r="J1486" s="18">
        <v>4</v>
      </c>
      <c r="K1486" s="19">
        <f t="shared" si="69"/>
        <v>738000</v>
      </c>
      <c r="L1486" s="20">
        <v>45482</v>
      </c>
      <c r="M1486" s="18" t="str">
        <f t="shared" si="70"/>
        <v>Tuesday</v>
      </c>
      <c r="N1486" s="18" t="str">
        <f t="shared" si="71"/>
        <v>Weekday</v>
      </c>
      <c r="Q1486" s="18"/>
      <c r="R1486" s="18"/>
      <c r="S1486" s="21"/>
      <c r="T1486"/>
      <c r="U1486" s="6"/>
      <c r="W1486" s="7"/>
      <c r="Z1486" s="4"/>
    </row>
    <row r="1487" spans="1:26" x14ac:dyDescent="0.3">
      <c r="A1487" t="s">
        <v>1858</v>
      </c>
      <c r="B1487" s="22" t="s">
        <v>72</v>
      </c>
      <c r="C1487" s="24" t="s">
        <v>11</v>
      </c>
      <c r="D1487" s="24" t="s">
        <v>328</v>
      </c>
      <c r="E1487" s="24">
        <v>23</v>
      </c>
      <c r="F1487" t="s">
        <v>375</v>
      </c>
      <c r="G1487" s="24" t="s">
        <v>32</v>
      </c>
      <c r="H1487" s="24" t="s">
        <v>18</v>
      </c>
      <c r="I1487" s="24">
        <v>3690</v>
      </c>
      <c r="J1487" s="24">
        <v>5</v>
      </c>
      <c r="K1487" s="25">
        <f t="shared" si="69"/>
        <v>18450</v>
      </c>
      <c r="L1487" s="26">
        <v>45533</v>
      </c>
      <c r="M1487" s="24" t="str">
        <f t="shared" si="70"/>
        <v>Thursday</v>
      </c>
      <c r="N1487" s="24" t="str">
        <f t="shared" si="71"/>
        <v>Weekday</v>
      </c>
      <c r="Q1487" s="24"/>
      <c r="R1487" s="24"/>
      <c r="S1487" s="27"/>
      <c r="T1487"/>
      <c r="U1487" s="6"/>
      <c r="W1487" s="7"/>
      <c r="Z1487" s="4"/>
    </row>
    <row r="1488" spans="1:26" x14ac:dyDescent="0.3">
      <c r="A1488" t="s">
        <v>1859</v>
      </c>
      <c r="B1488" s="16" t="s">
        <v>221</v>
      </c>
      <c r="C1488" s="18" t="s">
        <v>20</v>
      </c>
      <c r="D1488" s="18" t="s">
        <v>323</v>
      </c>
      <c r="E1488" s="18">
        <v>41</v>
      </c>
      <c r="F1488" t="s">
        <v>373</v>
      </c>
      <c r="G1488" s="18" t="s">
        <v>24</v>
      </c>
      <c r="H1488" s="18" t="s">
        <v>14</v>
      </c>
      <c r="I1488" s="18">
        <v>184500</v>
      </c>
      <c r="J1488" s="18">
        <v>2</v>
      </c>
      <c r="K1488" s="19">
        <f t="shared" si="69"/>
        <v>369000</v>
      </c>
      <c r="L1488" s="20">
        <v>45397</v>
      </c>
      <c r="M1488" s="18" t="str">
        <f t="shared" si="70"/>
        <v>Monday</v>
      </c>
      <c r="N1488" s="18" t="str">
        <f t="shared" si="71"/>
        <v>Weekday</v>
      </c>
      <c r="Q1488" s="18"/>
      <c r="R1488" s="18"/>
      <c r="S1488" s="21"/>
      <c r="T1488"/>
      <c r="U1488" s="6"/>
      <c r="W1488" s="7"/>
      <c r="Z1488" s="4"/>
    </row>
    <row r="1489" spans="1:26" x14ac:dyDescent="0.3">
      <c r="A1489" t="s">
        <v>1860</v>
      </c>
      <c r="B1489" s="22" t="s">
        <v>264</v>
      </c>
      <c r="C1489" s="24" t="s">
        <v>11</v>
      </c>
      <c r="D1489" s="24" t="s">
        <v>322</v>
      </c>
      <c r="E1489" s="24">
        <v>40</v>
      </c>
      <c r="F1489" t="s">
        <v>381</v>
      </c>
      <c r="G1489" s="24" t="s">
        <v>24</v>
      </c>
      <c r="H1489" s="24" t="s">
        <v>14</v>
      </c>
      <c r="I1489" s="24">
        <v>184500</v>
      </c>
      <c r="J1489" s="24">
        <v>2</v>
      </c>
      <c r="K1489" s="25">
        <f t="shared" si="69"/>
        <v>369000</v>
      </c>
      <c r="L1489" s="26">
        <v>45537</v>
      </c>
      <c r="M1489" s="24" t="str">
        <f t="shared" si="70"/>
        <v>Monday</v>
      </c>
      <c r="N1489" s="24" t="str">
        <f t="shared" si="71"/>
        <v>Weekday</v>
      </c>
      <c r="Q1489" s="24"/>
      <c r="R1489" s="24"/>
      <c r="S1489" s="27"/>
      <c r="T1489"/>
      <c r="U1489" s="6"/>
      <c r="W1489" s="7"/>
      <c r="Z1489" s="4"/>
    </row>
    <row r="1490" spans="1:26" x14ac:dyDescent="0.3">
      <c r="A1490" t="s">
        <v>1861</v>
      </c>
      <c r="B1490" s="16" t="s">
        <v>103</v>
      </c>
      <c r="C1490" s="18" t="s">
        <v>366</v>
      </c>
      <c r="D1490" s="18" t="s">
        <v>326</v>
      </c>
      <c r="E1490" s="18">
        <v>51</v>
      </c>
      <c r="F1490" t="s">
        <v>381</v>
      </c>
      <c r="G1490" s="18" t="s">
        <v>42</v>
      </c>
      <c r="H1490" s="18" t="s">
        <v>14</v>
      </c>
      <c r="I1490" s="18">
        <v>98400</v>
      </c>
      <c r="J1490" s="18">
        <v>1</v>
      </c>
      <c r="K1490" s="19">
        <f t="shared" si="69"/>
        <v>98400</v>
      </c>
      <c r="L1490" s="20">
        <v>45622</v>
      </c>
      <c r="M1490" s="18" t="str">
        <f t="shared" si="70"/>
        <v>Tuesday</v>
      </c>
      <c r="N1490" s="18" t="str">
        <f t="shared" si="71"/>
        <v>Weekday</v>
      </c>
      <c r="Q1490" s="18"/>
      <c r="R1490" s="18"/>
      <c r="S1490" s="21"/>
      <c r="T1490"/>
      <c r="U1490" s="6"/>
      <c r="W1490" s="7"/>
      <c r="Z1490" s="4"/>
    </row>
    <row r="1491" spans="1:26" x14ac:dyDescent="0.3">
      <c r="A1491" t="s">
        <v>1862</v>
      </c>
      <c r="B1491" s="22" t="s">
        <v>303</v>
      </c>
      <c r="C1491" s="24" t="s">
        <v>20</v>
      </c>
      <c r="D1491" s="24" t="s">
        <v>322</v>
      </c>
      <c r="E1491" s="24">
        <v>60</v>
      </c>
      <c r="F1491" t="s">
        <v>381</v>
      </c>
      <c r="G1491" s="24" t="s">
        <v>26</v>
      </c>
      <c r="H1491" s="24" t="s">
        <v>27</v>
      </c>
      <c r="I1491" s="24">
        <v>24600</v>
      </c>
      <c r="J1491" s="24">
        <v>5</v>
      </c>
      <c r="K1491" s="25">
        <f t="shared" si="69"/>
        <v>123000</v>
      </c>
      <c r="L1491" s="26">
        <v>45500</v>
      </c>
      <c r="M1491" s="24" t="str">
        <f t="shared" si="70"/>
        <v>Saturday</v>
      </c>
      <c r="N1491" s="24" t="str">
        <f t="shared" si="71"/>
        <v>Weekend</v>
      </c>
      <c r="Q1491" s="24"/>
      <c r="R1491" s="24"/>
      <c r="S1491" s="27"/>
      <c r="T1491"/>
      <c r="U1491" s="6"/>
      <c r="W1491" s="7"/>
      <c r="Z1491" s="4"/>
    </row>
    <row r="1492" spans="1:26" x14ac:dyDescent="0.3">
      <c r="A1492" t="s">
        <v>1863</v>
      </c>
      <c r="B1492" s="16" t="s">
        <v>224</v>
      </c>
      <c r="C1492" s="18" t="s">
        <v>11</v>
      </c>
      <c r="D1492" s="18" t="s">
        <v>323</v>
      </c>
      <c r="E1492" s="18">
        <v>67</v>
      </c>
      <c r="F1492" t="s">
        <v>370</v>
      </c>
      <c r="G1492" s="18" t="s">
        <v>42</v>
      </c>
      <c r="H1492" s="18" t="s">
        <v>14</v>
      </c>
      <c r="I1492" s="18">
        <v>98400</v>
      </c>
      <c r="J1492" s="18">
        <v>5</v>
      </c>
      <c r="K1492" s="19">
        <f t="shared" si="69"/>
        <v>492000</v>
      </c>
      <c r="L1492" s="20">
        <v>45495</v>
      </c>
      <c r="M1492" s="18" t="str">
        <f t="shared" si="70"/>
        <v>Monday</v>
      </c>
      <c r="N1492" s="18" t="str">
        <f t="shared" si="71"/>
        <v>Weekday</v>
      </c>
      <c r="Q1492" s="18"/>
      <c r="R1492" s="18"/>
      <c r="S1492" s="21"/>
      <c r="T1492"/>
      <c r="U1492" s="6"/>
      <c r="W1492" s="7"/>
      <c r="Z1492" s="4"/>
    </row>
    <row r="1493" spans="1:26" x14ac:dyDescent="0.3">
      <c r="A1493" t="s">
        <v>1864</v>
      </c>
      <c r="B1493" s="22" t="s">
        <v>269</v>
      </c>
      <c r="C1493" s="24" t="s">
        <v>11</v>
      </c>
      <c r="D1493" s="24" t="s">
        <v>327</v>
      </c>
      <c r="E1493" s="24">
        <v>19</v>
      </c>
      <c r="F1493" t="s">
        <v>370</v>
      </c>
      <c r="G1493" s="24" t="s">
        <v>31</v>
      </c>
      <c r="H1493" s="24" t="s">
        <v>18</v>
      </c>
      <c r="I1493" s="24">
        <v>6150</v>
      </c>
      <c r="J1493" s="24">
        <v>2</v>
      </c>
      <c r="K1493" s="25">
        <f t="shared" si="69"/>
        <v>12300</v>
      </c>
      <c r="L1493" s="26">
        <v>45456</v>
      </c>
      <c r="M1493" s="24" t="str">
        <f t="shared" si="70"/>
        <v>Thursday</v>
      </c>
      <c r="N1493" s="24" t="str">
        <f t="shared" si="71"/>
        <v>Weekday</v>
      </c>
      <c r="Q1493" s="24"/>
      <c r="R1493" s="24"/>
      <c r="S1493" s="27"/>
      <c r="T1493"/>
      <c r="U1493" s="6"/>
      <c r="W1493" s="7"/>
      <c r="Z1493" s="4"/>
    </row>
    <row r="1494" spans="1:26" x14ac:dyDescent="0.3">
      <c r="A1494" t="s">
        <v>1865</v>
      </c>
      <c r="B1494" s="16" t="s">
        <v>43</v>
      </c>
      <c r="C1494" s="18" t="s">
        <v>11</v>
      </c>
      <c r="D1494" s="18" t="s">
        <v>323</v>
      </c>
      <c r="E1494" s="18">
        <v>32</v>
      </c>
      <c r="F1494" t="s">
        <v>381</v>
      </c>
      <c r="G1494" s="18" t="s">
        <v>31</v>
      </c>
      <c r="H1494" s="18" t="s">
        <v>18</v>
      </c>
      <c r="I1494" s="18">
        <v>6150</v>
      </c>
      <c r="J1494" s="18">
        <v>5</v>
      </c>
      <c r="K1494" s="19">
        <f t="shared" si="69"/>
        <v>30750</v>
      </c>
      <c r="L1494" s="20">
        <v>45648</v>
      </c>
      <c r="M1494" s="18" t="str">
        <f t="shared" si="70"/>
        <v>Sunday</v>
      </c>
      <c r="N1494" s="18" t="str">
        <f t="shared" si="71"/>
        <v>Weekday</v>
      </c>
      <c r="Q1494" s="18"/>
      <c r="R1494" s="18"/>
      <c r="S1494" s="21"/>
      <c r="T1494"/>
      <c r="U1494" s="6"/>
      <c r="W1494" s="7"/>
      <c r="Z1494" s="4"/>
    </row>
    <row r="1495" spans="1:26" x14ac:dyDescent="0.3">
      <c r="A1495" t="s">
        <v>1866</v>
      </c>
      <c r="B1495" s="22" t="s">
        <v>101</v>
      </c>
      <c r="C1495" s="24" t="s">
        <v>11</v>
      </c>
      <c r="D1495" s="24" t="s">
        <v>322</v>
      </c>
      <c r="E1495" s="24">
        <v>19</v>
      </c>
      <c r="F1495" t="s">
        <v>373</v>
      </c>
      <c r="G1495" s="24" t="s">
        <v>13</v>
      </c>
      <c r="H1495" s="24" t="s">
        <v>14</v>
      </c>
      <c r="I1495" s="24">
        <v>36900</v>
      </c>
      <c r="J1495" s="24">
        <v>4</v>
      </c>
      <c r="K1495" s="25">
        <f t="shared" si="69"/>
        <v>147600</v>
      </c>
      <c r="L1495" s="26">
        <v>45419</v>
      </c>
      <c r="M1495" s="24" t="str">
        <f t="shared" si="70"/>
        <v>Tuesday</v>
      </c>
      <c r="N1495" s="24" t="str">
        <f t="shared" si="71"/>
        <v>Weekday</v>
      </c>
      <c r="Q1495" s="24"/>
      <c r="R1495" s="24"/>
      <c r="S1495" s="27"/>
      <c r="T1495"/>
      <c r="U1495" s="6"/>
      <c r="W1495" s="7"/>
      <c r="Z1495" s="4"/>
    </row>
    <row r="1496" spans="1:26" x14ac:dyDescent="0.3">
      <c r="A1496" t="s">
        <v>1867</v>
      </c>
      <c r="B1496" s="16" t="s">
        <v>124</v>
      </c>
      <c r="C1496" s="18" t="s">
        <v>20</v>
      </c>
      <c r="D1496" s="18" t="s">
        <v>326</v>
      </c>
      <c r="E1496" s="18">
        <v>19</v>
      </c>
      <c r="F1496" t="s">
        <v>373</v>
      </c>
      <c r="G1496" s="18" t="s">
        <v>17</v>
      </c>
      <c r="H1496" s="18" t="s">
        <v>18</v>
      </c>
      <c r="I1496" s="18">
        <v>12300</v>
      </c>
      <c r="J1496" s="18">
        <v>1</v>
      </c>
      <c r="K1496" s="19">
        <f t="shared" si="69"/>
        <v>12300</v>
      </c>
      <c r="L1496" s="20">
        <v>45457</v>
      </c>
      <c r="M1496" s="18" t="str">
        <f t="shared" si="70"/>
        <v>Friday</v>
      </c>
      <c r="N1496" s="18" t="str">
        <f t="shared" si="71"/>
        <v>Weekend</v>
      </c>
      <c r="Q1496" s="18"/>
      <c r="R1496" s="18"/>
      <c r="S1496" s="21"/>
      <c r="T1496"/>
      <c r="U1496" s="6"/>
      <c r="W1496" s="7"/>
      <c r="Z1496" s="4"/>
    </row>
    <row r="1497" spans="1:26" x14ac:dyDescent="0.3">
      <c r="A1497" t="s">
        <v>1868</v>
      </c>
      <c r="B1497" s="22" t="s">
        <v>129</v>
      </c>
      <c r="C1497" s="24" t="s">
        <v>20</v>
      </c>
      <c r="D1497" s="24" t="s">
        <v>329</v>
      </c>
      <c r="E1497" s="24">
        <v>38</v>
      </c>
      <c r="F1497" t="s">
        <v>381</v>
      </c>
      <c r="G1497" s="24" t="s">
        <v>42</v>
      </c>
      <c r="H1497" s="24" t="s">
        <v>14</v>
      </c>
      <c r="I1497" s="24">
        <v>98400</v>
      </c>
      <c r="J1497" s="24">
        <v>2</v>
      </c>
      <c r="K1497" s="25">
        <f t="shared" si="69"/>
        <v>196800</v>
      </c>
      <c r="L1497" s="26">
        <v>45607</v>
      </c>
      <c r="M1497" s="24" t="str">
        <f t="shared" si="70"/>
        <v>Monday</v>
      </c>
      <c r="N1497" s="24" t="str">
        <f t="shared" si="71"/>
        <v>Weekday</v>
      </c>
      <c r="Q1497" s="24"/>
      <c r="R1497" s="24"/>
      <c r="S1497" s="27"/>
      <c r="T1497"/>
      <c r="U1497" s="6"/>
      <c r="W1497" s="7"/>
      <c r="Z1497" s="4"/>
    </row>
    <row r="1498" spans="1:26" x14ac:dyDescent="0.3">
      <c r="A1498" t="s">
        <v>1869</v>
      </c>
      <c r="B1498" s="16" t="s">
        <v>60</v>
      </c>
      <c r="C1498" s="18" t="s">
        <v>20</v>
      </c>
      <c r="D1498" s="18" t="s">
        <v>322</v>
      </c>
      <c r="E1498" s="18">
        <v>64</v>
      </c>
      <c r="F1498" t="s">
        <v>381</v>
      </c>
      <c r="G1498" s="18" t="s">
        <v>13</v>
      </c>
      <c r="H1498" s="18" t="s">
        <v>14</v>
      </c>
      <c r="I1498" s="18">
        <v>36900</v>
      </c>
      <c r="J1498" s="18">
        <v>4</v>
      </c>
      <c r="K1498" s="19">
        <f t="shared" si="69"/>
        <v>147600</v>
      </c>
      <c r="L1498" s="20">
        <v>45576</v>
      </c>
      <c r="M1498" s="18" t="str">
        <f t="shared" si="70"/>
        <v>Friday</v>
      </c>
      <c r="N1498" s="18" t="str">
        <f t="shared" si="71"/>
        <v>Weekend</v>
      </c>
      <c r="Q1498" s="18"/>
      <c r="R1498" s="18"/>
      <c r="S1498" s="21"/>
      <c r="T1498"/>
      <c r="U1498" s="6"/>
      <c r="W1498" s="7"/>
      <c r="Z1498" s="4"/>
    </row>
    <row r="1499" spans="1:26" x14ac:dyDescent="0.3">
      <c r="A1499" t="s">
        <v>1870</v>
      </c>
      <c r="B1499" s="22" t="s">
        <v>167</v>
      </c>
      <c r="C1499" s="24" t="s">
        <v>11</v>
      </c>
      <c r="D1499" s="24" t="s">
        <v>322</v>
      </c>
      <c r="E1499" s="24">
        <v>66</v>
      </c>
      <c r="F1499" t="s">
        <v>373</v>
      </c>
      <c r="G1499" s="24" t="s">
        <v>31</v>
      </c>
      <c r="H1499" s="24" t="s">
        <v>18</v>
      </c>
      <c r="I1499" s="24">
        <v>6150</v>
      </c>
      <c r="J1499" s="24">
        <v>4</v>
      </c>
      <c r="K1499" s="25">
        <f t="shared" si="69"/>
        <v>24600</v>
      </c>
      <c r="L1499" s="26">
        <v>45622</v>
      </c>
      <c r="M1499" s="24" t="str">
        <f t="shared" si="70"/>
        <v>Tuesday</v>
      </c>
      <c r="N1499" s="24" t="str">
        <f t="shared" si="71"/>
        <v>Weekday</v>
      </c>
      <c r="Q1499" s="24"/>
      <c r="R1499" s="24"/>
      <c r="S1499" s="27"/>
      <c r="T1499"/>
      <c r="U1499" s="6"/>
      <c r="W1499" s="7"/>
      <c r="Z1499" s="4"/>
    </row>
    <row r="1500" spans="1:26" x14ac:dyDescent="0.3">
      <c r="A1500" t="s">
        <v>1871</v>
      </c>
      <c r="B1500" s="16" t="s">
        <v>293</v>
      </c>
      <c r="C1500" s="18" t="s">
        <v>20</v>
      </c>
      <c r="D1500" s="18" t="s">
        <v>323</v>
      </c>
      <c r="E1500" s="18">
        <v>53</v>
      </c>
      <c r="F1500" t="s">
        <v>370</v>
      </c>
      <c r="G1500" s="18" t="s">
        <v>42</v>
      </c>
      <c r="H1500" s="18" t="s">
        <v>14</v>
      </c>
      <c r="I1500" s="18">
        <v>98400</v>
      </c>
      <c r="J1500" s="18">
        <v>4</v>
      </c>
      <c r="K1500" s="19">
        <f t="shared" si="69"/>
        <v>393600</v>
      </c>
      <c r="L1500" s="20">
        <v>45631</v>
      </c>
      <c r="M1500" s="18" t="str">
        <f t="shared" si="70"/>
        <v>Thursday</v>
      </c>
      <c r="N1500" s="18" t="str">
        <f t="shared" si="71"/>
        <v>Weekday</v>
      </c>
      <c r="Q1500" s="18"/>
      <c r="R1500" s="18"/>
      <c r="S1500" s="21"/>
      <c r="T1500"/>
      <c r="U1500" s="6"/>
      <c r="W1500" s="7"/>
      <c r="Z1500" s="4"/>
    </row>
    <row r="1501" spans="1:26" x14ac:dyDescent="0.3">
      <c r="A1501" t="s">
        <v>1872</v>
      </c>
      <c r="B1501" s="22" t="s">
        <v>316</v>
      </c>
      <c r="C1501" s="24" t="s">
        <v>20</v>
      </c>
      <c r="D1501" s="24" t="s">
        <v>322</v>
      </c>
      <c r="E1501" s="24">
        <v>54</v>
      </c>
      <c r="F1501" t="s">
        <v>370</v>
      </c>
      <c r="G1501" s="24" t="s">
        <v>31</v>
      </c>
      <c r="H1501" s="24" t="s">
        <v>18</v>
      </c>
      <c r="I1501" s="24">
        <v>6150</v>
      </c>
      <c r="J1501" s="24">
        <v>5</v>
      </c>
      <c r="K1501" s="25">
        <f t="shared" si="69"/>
        <v>30750</v>
      </c>
      <c r="L1501" s="26">
        <v>45565</v>
      </c>
      <c r="M1501" s="24" t="str">
        <f t="shared" si="70"/>
        <v>Monday</v>
      </c>
      <c r="N1501" s="24" t="str">
        <f t="shared" si="71"/>
        <v>Weekday</v>
      </c>
      <c r="Q1501" s="24"/>
      <c r="R1501" s="24"/>
      <c r="S1501" s="27"/>
      <c r="T1501"/>
      <c r="U1501" s="6"/>
      <c r="W1501" s="7"/>
      <c r="Z1501" s="4"/>
    </row>
    <row r="1502" spans="1:26" x14ac:dyDescent="0.3">
      <c r="A1502" t="s">
        <v>1873</v>
      </c>
      <c r="B1502" s="16" t="s">
        <v>80</v>
      </c>
      <c r="C1502" s="18" t="s">
        <v>366</v>
      </c>
      <c r="D1502" s="18" t="s">
        <v>325</v>
      </c>
      <c r="E1502" s="18">
        <v>67</v>
      </c>
      <c r="F1502" t="s">
        <v>381</v>
      </c>
      <c r="G1502" s="18" t="s">
        <v>31</v>
      </c>
      <c r="H1502" s="18" t="s">
        <v>18</v>
      </c>
      <c r="I1502" s="18">
        <v>6150</v>
      </c>
      <c r="J1502" s="18">
        <v>1</v>
      </c>
      <c r="K1502" s="19">
        <f t="shared" si="69"/>
        <v>6150</v>
      </c>
      <c r="L1502" s="20">
        <v>45594</v>
      </c>
      <c r="M1502" s="18" t="str">
        <f t="shared" si="70"/>
        <v>Tuesday</v>
      </c>
      <c r="N1502" s="18" t="str">
        <f t="shared" si="71"/>
        <v>Weekday</v>
      </c>
      <c r="Q1502" s="18"/>
      <c r="R1502" s="18"/>
      <c r="S1502" s="21"/>
      <c r="T1502"/>
      <c r="U1502" s="6"/>
      <c r="W1502" s="7"/>
      <c r="Z1502" s="4"/>
    </row>
    <row r="1503" spans="1:26" x14ac:dyDescent="0.3">
      <c r="A1503" t="s">
        <v>1874</v>
      </c>
      <c r="B1503" s="22" t="s">
        <v>202</v>
      </c>
      <c r="C1503" s="24" t="s">
        <v>11</v>
      </c>
      <c r="D1503" s="24" t="s">
        <v>324</v>
      </c>
      <c r="E1503" s="24">
        <v>44</v>
      </c>
      <c r="F1503" t="s">
        <v>373</v>
      </c>
      <c r="G1503" s="24" t="s">
        <v>26</v>
      </c>
      <c r="H1503" s="24" t="s">
        <v>27</v>
      </c>
      <c r="I1503" s="24">
        <v>24600</v>
      </c>
      <c r="J1503" s="24">
        <v>3</v>
      </c>
      <c r="K1503" s="25">
        <f t="shared" si="69"/>
        <v>73800</v>
      </c>
      <c r="L1503" s="26">
        <v>45310</v>
      </c>
      <c r="M1503" s="24" t="str">
        <f t="shared" si="70"/>
        <v>Friday</v>
      </c>
      <c r="N1503" s="24" t="str">
        <f t="shared" si="71"/>
        <v>Weekend</v>
      </c>
      <c r="Q1503" s="24"/>
      <c r="R1503" s="24"/>
      <c r="S1503" s="27"/>
      <c r="T1503"/>
      <c r="U1503" s="6"/>
      <c r="W1503" s="7"/>
      <c r="Z1503" s="4"/>
    </row>
    <row r="1504" spans="1:26" x14ac:dyDescent="0.3">
      <c r="A1504" t="s">
        <v>1875</v>
      </c>
      <c r="B1504" s="16" t="s">
        <v>268</v>
      </c>
      <c r="C1504" s="18" t="s">
        <v>20</v>
      </c>
      <c r="D1504" s="18" t="s">
        <v>323</v>
      </c>
      <c r="E1504" s="18">
        <v>55</v>
      </c>
      <c r="F1504" t="s">
        <v>370</v>
      </c>
      <c r="G1504" s="18" t="s">
        <v>13</v>
      </c>
      <c r="H1504" s="18" t="s">
        <v>14</v>
      </c>
      <c r="I1504" s="18">
        <v>36900</v>
      </c>
      <c r="J1504" s="18">
        <v>2</v>
      </c>
      <c r="K1504" s="19">
        <f t="shared" si="69"/>
        <v>73800</v>
      </c>
      <c r="L1504" s="20">
        <v>45432</v>
      </c>
      <c r="M1504" s="18" t="str">
        <f t="shared" si="70"/>
        <v>Monday</v>
      </c>
      <c r="N1504" s="18" t="str">
        <f t="shared" si="71"/>
        <v>Weekday</v>
      </c>
      <c r="Q1504" s="18"/>
      <c r="R1504" s="18"/>
      <c r="S1504" s="21"/>
      <c r="T1504"/>
      <c r="U1504" s="6"/>
      <c r="W1504" s="7"/>
      <c r="Z1504" s="4"/>
    </row>
    <row r="1505" spans="1:26" x14ac:dyDescent="0.3">
      <c r="A1505" t="s">
        <v>1876</v>
      </c>
      <c r="B1505" s="22" t="s">
        <v>231</v>
      </c>
      <c r="C1505" s="24" t="s">
        <v>11</v>
      </c>
      <c r="D1505" s="24" t="s">
        <v>326</v>
      </c>
      <c r="E1505" s="24">
        <v>65</v>
      </c>
      <c r="F1505" t="s">
        <v>381</v>
      </c>
      <c r="G1505" s="24" t="s">
        <v>13</v>
      </c>
      <c r="H1505" s="24" t="s">
        <v>14</v>
      </c>
      <c r="I1505" s="24">
        <v>36900</v>
      </c>
      <c r="J1505" s="24">
        <v>4</v>
      </c>
      <c r="K1505" s="25">
        <f t="shared" si="69"/>
        <v>147600</v>
      </c>
      <c r="L1505" s="26">
        <v>45435</v>
      </c>
      <c r="M1505" s="24" t="str">
        <f t="shared" si="70"/>
        <v>Thursday</v>
      </c>
      <c r="N1505" s="24" t="str">
        <f t="shared" si="71"/>
        <v>Weekday</v>
      </c>
      <c r="Q1505" s="24"/>
      <c r="R1505" s="24"/>
      <c r="S1505" s="27"/>
      <c r="T1505"/>
      <c r="U1505" s="6"/>
      <c r="W1505" s="7"/>
      <c r="Z1505" s="4"/>
    </row>
    <row r="1506" spans="1:26" x14ac:dyDescent="0.3">
      <c r="A1506" t="s">
        <v>1877</v>
      </c>
      <c r="B1506" s="16" t="s">
        <v>147</v>
      </c>
      <c r="C1506" s="18" t="s">
        <v>11</v>
      </c>
      <c r="D1506" s="18" t="s">
        <v>322</v>
      </c>
      <c r="E1506" s="18">
        <v>30</v>
      </c>
      <c r="F1506" t="s">
        <v>375</v>
      </c>
      <c r="G1506" s="18" t="s">
        <v>13</v>
      </c>
      <c r="H1506" s="18" t="s">
        <v>14</v>
      </c>
      <c r="I1506" s="18">
        <v>36900</v>
      </c>
      <c r="J1506" s="18">
        <v>4</v>
      </c>
      <c r="K1506" s="19">
        <f t="shared" si="69"/>
        <v>147600</v>
      </c>
      <c r="L1506" s="20">
        <v>45597</v>
      </c>
      <c r="M1506" s="18" t="str">
        <f t="shared" si="70"/>
        <v>Friday</v>
      </c>
      <c r="N1506" s="18" t="str">
        <f t="shared" si="71"/>
        <v>Weekend</v>
      </c>
      <c r="Q1506" s="18"/>
      <c r="R1506" s="18"/>
      <c r="S1506" s="21"/>
      <c r="T1506"/>
      <c r="U1506" s="6"/>
      <c r="W1506" s="7"/>
      <c r="Z1506" s="4"/>
    </row>
    <row r="1507" spans="1:26" x14ac:dyDescent="0.3">
      <c r="A1507" t="s">
        <v>1878</v>
      </c>
      <c r="B1507" s="22" t="s">
        <v>198</v>
      </c>
      <c r="C1507" s="24" t="s">
        <v>366</v>
      </c>
      <c r="D1507" s="24" t="s">
        <v>324</v>
      </c>
      <c r="E1507" s="24">
        <v>66</v>
      </c>
      <c r="F1507" t="s">
        <v>381</v>
      </c>
      <c r="G1507" s="24" t="s">
        <v>42</v>
      </c>
      <c r="H1507" s="24" t="s">
        <v>14</v>
      </c>
      <c r="I1507" s="24">
        <v>98400</v>
      </c>
      <c r="J1507" s="24">
        <v>3</v>
      </c>
      <c r="K1507" s="25">
        <f t="shared" si="69"/>
        <v>295200</v>
      </c>
      <c r="L1507" s="26">
        <v>45440</v>
      </c>
      <c r="M1507" s="24" t="str">
        <f t="shared" si="70"/>
        <v>Tuesday</v>
      </c>
      <c r="N1507" s="24" t="str">
        <f t="shared" si="71"/>
        <v>Weekday</v>
      </c>
      <c r="Q1507" s="24"/>
      <c r="R1507" s="24"/>
      <c r="S1507" s="27"/>
      <c r="T1507"/>
      <c r="U1507" s="6"/>
      <c r="W1507" s="7"/>
      <c r="Z1507" s="4"/>
    </row>
    <row r="1508" spans="1:26" x14ac:dyDescent="0.3">
      <c r="A1508" t="s">
        <v>1879</v>
      </c>
      <c r="B1508" s="16" t="s">
        <v>76</v>
      </c>
      <c r="C1508" s="18" t="s">
        <v>366</v>
      </c>
      <c r="D1508" s="18" t="s">
        <v>322</v>
      </c>
      <c r="E1508" s="18">
        <v>46</v>
      </c>
      <c r="F1508" t="s">
        <v>375</v>
      </c>
      <c r="G1508" s="18" t="s">
        <v>42</v>
      </c>
      <c r="H1508" s="18" t="s">
        <v>14</v>
      </c>
      <c r="I1508" s="18">
        <v>98400</v>
      </c>
      <c r="J1508" s="18">
        <v>2</v>
      </c>
      <c r="K1508" s="19">
        <f t="shared" si="69"/>
        <v>196800</v>
      </c>
      <c r="L1508" s="20">
        <v>45611</v>
      </c>
      <c r="M1508" s="18" t="str">
        <f t="shared" si="70"/>
        <v>Friday</v>
      </c>
      <c r="N1508" s="18" t="str">
        <f t="shared" si="71"/>
        <v>Weekend</v>
      </c>
      <c r="Q1508" s="18"/>
      <c r="R1508" s="18"/>
      <c r="S1508" s="21"/>
      <c r="T1508"/>
      <c r="U1508" s="6"/>
      <c r="W1508" s="7"/>
      <c r="Z1508" s="4"/>
    </row>
    <row r="1509" spans="1:26" x14ac:dyDescent="0.3">
      <c r="A1509" t="s">
        <v>1880</v>
      </c>
      <c r="B1509" s="22" t="s">
        <v>190</v>
      </c>
      <c r="C1509" s="24" t="s">
        <v>366</v>
      </c>
      <c r="D1509" s="24" t="s">
        <v>324</v>
      </c>
      <c r="E1509" s="24">
        <v>52</v>
      </c>
      <c r="F1509" t="s">
        <v>381</v>
      </c>
      <c r="G1509" s="24" t="s">
        <v>24</v>
      </c>
      <c r="H1509" s="24" t="s">
        <v>14</v>
      </c>
      <c r="I1509" s="24">
        <v>184500</v>
      </c>
      <c r="J1509" s="24">
        <v>4</v>
      </c>
      <c r="K1509" s="25">
        <f t="shared" si="69"/>
        <v>738000</v>
      </c>
      <c r="L1509" s="26">
        <v>45633</v>
      </c>
      <c r="M1509" s="24" t="str">
        <f t="shared" si="70"/>
        <v>Saturday</v>
      </c>
      <c r="N1509" s="24" t="str">
        <f t="shared" si="71"/>
        <v>Weekend</v>
      </c>
      <c r="Q1509" s="24"/>
      <c r="R1509" s="24"/>
      <c r="S1509" s="27"/>
      <c r="T1509"/>
      <c r="U1509" s="6"/>
      <c r="W1509" s="7"/>
      <c r="Z1509" s="4"/>
    </row>
    <row r="1510" spans="1:26" x14ac:dyDescent="0.3">
      <c r="A1510" t="s">
        <v>1881</v>
      </c>
      <c r="B1510" s="16" t="s">
        <v>252</v>
      </c>
      <c r="C1510" s="18" t="s">
        <v>20</v>
      </c>
      <c r="D1510" s="18" t="s">
        <v>329</v>
      </c>
      <c r="E1510" s="18">
        <v>56</v>
      </c>
      <c r="F1510" t="s">
        <v>373</v>
      </c>
      <c r="G1510" s="18" t="s">
        <v>17</v>
      </c>
      <c r="H1510" s="18" t="s">
        <v>18</v>
      </c>
      <c r="I1510" s="18">
        <v>12300</v>
      </c>
      <c r="J1510" s="18">
        <v>4</v>
      </c>
      <c r="K1510" s="19">
        <f t="shared" si="69"/>
        <v>49200</v>
      </c>
      <c r="L1510" s="20">
        <v>45552</v>
      </c>
      <c r="M1510" s="18" t="str">
        <f t="shared" si="70"/>
        <v>Tuesday</v>
      </c>
      <c r="N1510" s="18" t="str">
        <f t="shared" si="71"/>
        <v>Weekday</v>
      </c>
      <c r="Q1510" s="18"/>
      <c r="R1510" s="18"/>
      <c r="S1510" s="21"/>
      <c r="T1510"/>
      <c r="U1510" s="6"/>
      <c r="W1510" s="7"/>
      <c r="Z1510" s="4"/>
    </row>
    <row r="1511" spans="1:26" x14ac:dyDescent="0.3">
      <c r="A1511" t="s">
        <v>1882</v>
      </c>
      <c r="B1511" s="22" t="s">
        <v>217</v>
      </c>
      <c r="C1511" s="24" t="s">
        <v>11</v>
      </c>
      <c r="D1511" s="24" t="s">
        <v>324</v>
      </c>
      <c r="E1511" s="24">
        <v>62</v>
      </c>
      <c r="F1511" t="s">
        <v>373</v>
      </c>
      <c r="G1511" s="24" t="s">
        <v>42</v>
      </c>
      <c r="H1511" s="24" t="s">
        <v>14</v>
      </c>
      <c r="I1511" s="24">
        <v>98400</v>
      </c>
      <c r="J1511" s="24">
        <v>1</v>
      </c>
      <c r="K1511" s="25">
        <f t="shared" si="69"/>
        <v>98400</v>
      </c>
      <c r="L1511" s="26">
        <v>45415</v>
      </c>
      <c r="M1511" s="24" t="str">
        <f t="shared" si="70"/>
        <v>Friday</v>
      </c>
      <c r="N1511" s="24" t="str">
        <f t="shared" si="71"/>
        <v>Weekend</v>
      </c>
      <c r="Q1511" s="24"/>
      <c r="R1511" s="24"/>
      <c r="S1511" s="27"/>
      <c r="T1511"/>
      <c r="U1511" s="6"/>
      <c r="W1511" s="7"/>
      <c r="Z1511" s="4"/>
    </row>
    <row r="1512" spans="1:26" x14ac:dyDescent="0.3">
      <c r="A1512" t="s">
        <v>1883</v>
      </c>
      <c r="B1512" s="16" t="s">
        <v>294</v>
      </c>
      <c r="C1512" s="18" t="s">
        <v>11</v>
      </c>
      <c r="D1512" s="18" t="s">
        <v>327</v>
      </c>
      <c r="E1512" s="18">
        <v>41</v>
      </c>
      <c r="F1512" t="s">
        <v>373</v>
      </c>
      <c r="G1512" s="18" t="s">
        <v>31</v>
      </c>
      <c r="H1512" s="18" t="s">
        <v>18</v>
      </c>
      <c r="I1512" s="18">
        <v>6150</v>
      </c>
      <c r="J1512" s="18">
        <v>1</v>
      </c>
      <c r="K1512" s="19">
        <f t="shared" si="69"/>
        <v>6150</v>
      </c>
      <c r="L1512" s="20">
        <v>45378</v>
      </c>
      <c r="M1512" s="18" t="str">
        <f t="shared" si="70"/>
        <v>Wednesday</v>
      </c>
      <c r="N1512" s="18" t="str">
        <f t="shared" si="71"/>
        <v>Weekday</v>
      </c>
      <c r="Q1512" s="18"/>
      <c r="R1512" s="18"/>
      <c r="S1512" s="21"/>
      <c r="T1512"/>
      <c r="U1512" s="6"/>
      <c r="W1512" s="7"/>
      <c r="Z1512" s="4"/>
    </row>
    <row r="1513" spans="1:26" x14ac:dyDescent="0.3">
      <c r="A1513" t="s">
        <v>1884</v>
      </c>
      <c r="B1513" s="22" t="s">
        <v>55</v>
      </c>
      <c r="C1513" s="24" t="s">
        <v>11</v>
      </c>
      <c r="D1513" s="24" t="s">
        <v>324</v>
      </c>
      <c r="E1513" s="24">
        <v>55</v>
      </c>
      <c r="F1513" t="s">
        <v>373</v>
      </c>
      <c r="G1513" s="24" t="s">
        <v>17</v>
      </c>
      <c r="H1513" s="24" t="s">
        <v>18</v>
      </c>
      <c r="I1513" s="24">
        <v>12300</v>
      </c>
      <c r="J1513" s="24">
        <v>1</v>
      </c>
      <c r="K1513" s="25">
        <f t="shared" si="69"/>
        <v>12300</v>
      </c>
      <c r="L1513" s="26">
        <v>45314</v>
      </c>
      <c r="M1513" s="24" t="str">
        <f t="shared" si="70"/>
        <v>Tuesday</v>
      </c>
      <c r="N1513" s="24" t="str">
        <f t="shared" si="71"/>
        <v>Weekday</v>
      </c>
      <c r="Q1513" s="24"/>
      <c r="R1513" s="24"/>
      <c r="S1513" s="27"/>
      <c r="T1513"/>
      <c r="U1513" s="6"/>
      <c r="W1513" s="7"/>
      <c r="Z1513" s="4"/>
    </row>
    <row r="1514" spans="1:26" x14ac:dyDescent="0.3">
      <c r="A1514" t="s">
        <v>1885</v>
      </c>
      <c r="B1514" s="16" t="s">
        <v>127</v>
      </c>
      <c r="C1514" s="18" t="s">
        <v>11</v>
      </c>
      <c r="D1514" s="18" t="s">
        <v>325</v>
      </c>
      <c r="E1514" s="18">
        <v>29</v>
      </c>
      <c r="F1514" t="s">
        <v>375</v>
      </c>
      <c r="G1514" s="18" t="s">
        <v>24</v>
      </c>
      <c r="H1514" s="18" t="s">
        <v>14</v>
      </c>
      <c r="I1514" s="18">
        <v>184500</v>
      </c>
      <c r="J1514" s="18">
        <v>3</v>
      </c>
      <c r="K1514" s="19">
        <f t="shared" si="69"/>
        <v>553500</v>
      </c>
      <c r="L1514" s="20">
        <v>45364</v>
      </c>
      <c r="M1514" s="18" t="str">
        <f t="shared" si="70"/>
        <v>Wednesday</v>
      </c>
      <c r="N1514" s="18" t="str">
        <f t="shared" si="71"/>
        <v>Weekday</v>
      </c>
      <c r="Q1514" s="18"/>
      <c r="R1514" s="18"/>
      <c r="S1514" s="21"/>
      <c r="T1514"/>
      <c r="U1514" s="6"/>
      <c r="W1514" s="7"/>
      <c r="Z1514" s="4"/>
    </row>
    <row r="1515" spans="1:26" x14ac:dyDescent="0.3">
      <c r="A1515" t="s">
        <v>1886</v>
      </c>
      <c r="B1515" s="22" t="s">
        <v>89</v>
      </c>
      <c r="C1515" s="24" t="s">
        <v>366</v>
      </c>
      <c r="D1515" s="24" t="s">
        <v>326</v>
      </c>
      <c r="E1515" s="24">
        <v>21</v>
      </c>
      <c r="F1515" t="s">
        <v>381</v>
      </c>
      <c r="G1515" s="24" t="s">
        <v>32</v>
      </c>
      <c r="H1515" s="24" t="s">
        <v>18</v>
      </c>
      <c r="I1515" s="24">
        <v>3690</v>
      </c>
      <c r="J1515" s="24">
        <v>1</v>
      </c>
      <c r="K1515" s="25">
        <f t="shared" si="69"/>
        <v>3690</v>
      </c>
      <c r="L1515" s="26">
        <v>45646</v>
      </c>
      <c r="M1515" s="24" t="str">
        <f t="shared" si="70"/>
        <v>Friday</v>
      </c>
      <c r="N1515" s="24" t="str">
        <f t="shared" si="71"/>
        <v>Weekend</v>
      </c>
      <c r="Q1515" s="24"/>
      <c r="R1515" s="24"/>
      <c r="S1515" s="27"/>
      <c r="T1515"/>
      <c r="U1515" s="6"/>
      <c r="W1515" s="7"/>
      <c r="Z1515" s="4"/>
    </row>
    <row r="1516" spans="1:26" x14ac:dyDescent="0.3">
      <c r="A1516" t="s">
        <v>1887</v>
      </c>
      <c r="B1516" s="16" t="s">
        <v>254</v>
      </c>
      <c r="C1516" s="18" t="s">
        <v>20</v>
      </c>
      <c r="D1516" s="18" t="s">
        <v>325</v>
      </c>
      <c r="E1516" s="18">
        <v>55</v>
      </c>
      <c r="F1516" t="s">
        <v>373</v>
      </c>
      <c r="G1516" s="18" t="s">
        <v>17</v>
      </c>
      <c r="H1516" s="18" t="s">
        <v>18</v>
      </c>
      <c r="I1516" s="18">
        <v>12300</v>
      </c>
      <c r="J1516" s="18">
        <v>4</v>
      </c>
      <c r="K1516" s="19">
        <f t="shared" si="69"/>
        <v>49200</v>
      </c>
      <c r="L1516" s="20">
        <v>45394</v>
      </c>
      <c r="M1516" s="18" t="str">
        <f t="shared" si="70"/>
        <v>Friday</v>
      </c>
      <c r="N1516" s="18" t="str">
        <f t="shared" si="71"/>
        <v>Weekend</v>
      </c>
      <c r="Q1516" s="18"/>
      <c r="R1516" s="18"/>
      <c r="S1516" s="21"/>
      <c r="T1516"/>
      <c r="U1516" s="6"/>
      <c r="W1516" s="7"/>
      <c r="Z1516" s="4"/>
    </row>
    <row r="1517" spans="1:26" x14ac:dyDescent="0.3">
      <c r="A1517" t="s">
        <v>1888</v>
      </c>
      <c r="B1517" s="22" t="s">
        <v>109</v>
      </c>
      <c r="C1517" s="24" t="s">
        <v>366</v>
      </c>
      <c r="D1517" s="24" t="s">
        <v>324</v>
      </c>
      <c r="E1517" s="24">
        <v>26</v>
      </c>
      <c r="F1517" t="s">
        <v>370</v>
      </c>
      <c r="G1517" s="24" t="s">
        <v>42</v>
      </c>
      <c r="H1517" s="24" t="s">
        <v>14</v>
      </c>
      <c r="I1517" s="24">
        <v>98400</v>
      </c>
      <c r="J1517" s="24">
        <v>3</v>
      </c>
      <c r="K1517" s="25">
        <f t="shared" si="69"/>
        <v>295200</v>
      </c>
      <c r="L1517" s="26">
        <v>45415</v>
      </c>
      <c r="M1517" s="24" t="str">
        <f t="shared" si="70"/>
        <v>Friday</v>
      </c>
      <c r="N1517" s="24" t="str">
        <f t="shared" si="71"/>
        <v>Weekend</v>
      </c>
      <c r="Q1517" s="24"/>
      <c r="R1517" s="24"/>
      <c r="S1517" s="27"/>
      <c r="T1517"/>
      <c r="U1517" s="6"/>
      <c r="W1517" s="7"/>
      <c r="Z1517" s="4"/>
    </row>
    <row r="1518" spans="1:26" x14ac:dyDescent="0.3">
      <c r="A1518" t="s">
        <v>1889</v>
      </c>
      <c r="B1518" s="16" t="s">
        <v>171</v>
      </c>
      <c r="C1518" s="18" t="s">
        <v>11</v>
      </c>
      <c r="D1518" s="18" t="s">
        <v>324</v>
      </c>
      <c r="E1518" s="18">
        <v>51</v>
      </c>
      <c r="F1518" t="s">
        <v>370</v>
      </c>
      <c r="G1518" s="18" t="s">
        <v>13</v>
      </c>
      <c r="H1518" s="18" t="s">
        <v>14</v>
      </c>
      <c r="I1518" s="18">
        <v>36900</v>
      </c>
      <c r="J1518" s="18">
        <v>4</v>
      </c>
      <c r="K1518" s="19">
        <f t="shared" si="69"/>
        <v>147600</v>
      </c>
      <c r="L1518" s="20">
        <v>45468</v>
      </c>
      <c r="M1518" s="18" t="str">
        <f t="shared" si="70"/>
        <v>Tuesday</v>
      </c>
      <c r="N1518" s="18" t="str">
        <f t="shared" si="71"/>
        <v>Weekday</v>
      </c>
      <c r="Q1518" s="18"/>
      <c r="R1518" s="18"/>
      <c r="S1518" s="21"/>
      <c r="T1518"/>
      <c r="U1518" s="6"/>
      <c r="W1518" s="7"/>
      <c r="Z1518" s="4"/>
    </row>
    <row r="1519" spans="1:26" x14ac:dyDescent="0.3">
      <c r="A1519" t="s">
        <v>1890</v>
      </c>
      <c r="B1519" s="22" t="s">
        <v>135</v>
      </c>
      <c r="C1519" s="24" t="s">
        <v>366</v>
      </c>
      <c r="D1519" s="24" t="s">
        <v>323</v>
      </c>
      <c r="E1519" s="24">
        <v>41</v>
      </c>
      <c r="F1519" t="s">
        <v>370</v>
      </c>
      <c r="G1519" s="24" t="s">
        <v>42</v>
      </c>
      <c r="H1519" s="24" t="s">
        <v>14</v>
      </c>
      <c r="I1519" s="24">
        <v>98400</v>
      </c>
      <c r="J1519" s="24">
        <v>2</v>
      </c>
      <c r="K1519" s="25">
        <f t="shared" si="69"/>
        <v>196800</v>
      </c>
      <c r="L1519" s="26">
        <v>45358</v>
      </c>
      <c r="M1519" s="24" t="str">
        <f t="shared" si="70"/>
        <v>Thursday</v>
      </c>
      <c r="N1519" s="24" t="str">
        <f t="shared" si="71"/>
        <v>Weekday</v>
      </c>
      <c r="Q1519" s="24"/>
      <c r="R1519" s="24"/>
      <c r="S1519" s="27"/>
      <c r="T1519"/>
      <c r="U1519" s="6"/>
      <c r="W1519" s="7"/>
      <c r="Z1519" s="4"/>
    </row>
    <row r="1520" spans="1:26" x14ac:dyDescent="0.3">
      <c r="A1520" t="s">
        <v>1891</v>
      </c>
      <c r="B1520" s="16" t="s">
        <v>163</v>
      </c>
      <c r="C1520" s="18" t="s">
        <v>11</v>
      </c>
      <c r="D1520" s="18" t="s">
        <v>323</v>
      </c>
      <c r="E1520" s="18">
        <v>65</v>
      </c>
      <c r="F1520" t="s">
        <v>381</v>
      </c>
      <c r="G1520" s="18" t="s">
        <v>32</v>
      </c>
      <c r="H1520" s="18" t="s">
        <v>18</v>
      </c>
      <c r="I1520" s="18">
        <v>3690</v>
      </c>
      <c r="J1520" s="18">
        <v>4</v>
      </c>
      <c r="K1520" s="19">
        <f t="shared" si="69"/>
        <v>14760</v>
      </c>
      <c r="L1520" s="20">
        <v>45382</v>
      </c>
      <c r="M1520" s="18" t="str">
        <f t="shared" si="70"/>
        <v>Sunday</v>
      </c>
      <c r="N1520" s="18" t="str">
        <f t="shared" si="71"/>
        <v>Weekday</v>
      </c>
      <c r="Q1520" s="18"/>
      <c r="R1520" s="18"/>
      <c r="S1520" s="21"/>
      <c r="T1520"/>
      <c r="U1520" s="6"/>
      <c r="W1520" s="7"/>
      <c r="Z1520" s="4"/>
    </row>
    <row r="1521" spans="1:26" x14ac:dyDescent="0.3">
      <c r="A1521" t="s">
        <v>1892</v>
      </c>
      <c r="B1521" s="22" t="s">
        <v>23</v>
      </c>
      <c r="C1521" s="24" t="s">
        <v>11</v>
      </c>
      <c r="D1521" s="24" t="s">
        <v>322</v>
      </c>
      <c r="E1521" s="24">
        <v>65</v>
      </c>
      <c r="F1521" t="s">
        <v>370</v>
      </c>
      <c r="G1521" s="24" t="s">
        <v>26</v>
      </c>
      <c r="H1521" s="24" t="s">
        <v>27</v>
      </c>
      <c r="I1521" s="24">
        <v>24600</v>
      </c>
      <c r="J1521" s="24">
        <v>2</v>
      </c>
      <c r="K1521" s="25">
        <f t="shared" si="69"/>
        <v>49200</v>
      </c>
      <c r="L1521" s="26">
        <v>45469</v>
      </c>
      <c r="M1521" s="24" t="str">
        <f t="shared" si="70"/>
        <v>Wednesday</v>
      </c>
      <c r="N1521" s="24" t="str">
        <f t="shared" si="71"/>
        <v>Weekday</v>
      </c>
      <c r="Q1521" s="24"/>
      <c r="R1521" s="24"/>
      <c r="S1521" s="27"/>
      <c r="T1521"/>
      <c r="U1521" s="6"/>
      <c r="W1521" s="7"/>
      <c r="Z1521" s="4"/>
    </row>
    <row r="1522" spans="1:26" x14ac:dyDescent="0.3">
      <c r="A1522" t="s">
        <v>1893</v>
      </c>
      <c r="B1522" s="16" t="s">
        <v>23</v>
      </c>
      <c r="C1522" s="18" t="s">
        <v>11</v>
      </c>
      <c r="D1522" s="18" t="s">
        <v>322</v>
      </c>
      <c r="E1522" s="18">
        <v>65</v>
      </c>
      <c r="F1522" t="s">
        <v>370</v>
      </c>
      <c r="G1522" s="18" t="s">
        <v>17</v>
      </c>
      <c r="H1522" s="18" t="s">
        <v>18</v>
      </c>
      <c r="I1522" s="18">
        <v>12300</v>
      </c>
      <c r="J1522" s="18">
        <v>3</v>
      </c>
      <c r="K1522" s="19">
        <f t="shared" si="69"/>
        <v>36900</v>
      </c>
      <c r="L1522" s="20">
        <v>45314</v>
      </c>
      <c r="M1522" s="18" t="str">
        <f t="shared" si="70"/>
        <v>Tuesday</v>
      </c>
      <c r="N1522" s="18" t="str">
        <f t="shared" si="71"/>
        <v>Weekday</v>
      </c>
      <c r="Q1522" s="18"/>
      <c r="R1522" s="18"/>
      <c r="S1522" s="21"/>
      <c r="T1522"/>
      <c r="U1522" s="6"/>
      <c r="W1522" s="7"/>
      <c r="Z1522" s="4"/>
    </row>
    <row r="1523" spans="1:26" x14ac:dyDescent="0.3">
      <c r="A1523" t="s">
        <v>1894</v>
      </c>
      <c r="B1523" s="22" t="s">
        <v>166</v>
      </c>
      <c r="C1523" s="24" t="s">
        <v>366</v>
      </c>
      <c r="D1523" s="24" t="s">
        <v>326</v>
      </c>
      <c r="E1523" s="24">
        <v>57</v>
      </c>
      <c r="F1523" t="s">
        <v>375</v>
      </c>
      <c r="G1523" s="24" t="s">
        <v>26</v>
      </c>
      <c r="H1523" s="24" t="s">
        <v>27</v>
      </c>
      <c r="I1523" s="24">
        <v>24600</v>
      </c>
      <c r="J1523" s="24">
        <v>4</v>
      </c>
      <c r="K1523" s="25">
        <f t="shared" si="69"/>
        <v>98400</v>
      </c>
      <c r="L1523" s="26">
        <v>45421</v>
      </c>
      <c r="M1523" s="24" t="str">
        <f t="shared" si="70"/>
        <v>Thursday</v>
      </c>
      <c r="N1523" s="24" t="str">
        <f t="shared" si="71"/>
        <v>Weekday</v>
      </c>
      <c r="Q1523" s="24"/>
      <c r="R1523" s="24"/>
      <c r="S1523" s="27"/>
      <c r="T1523"/>
      <c r="U1523" s="6"/>
      <c r="W1523" s="7"/>
      <c r="Z1523" s="4"/>
    </row>
    <row r="1524" spans="1:26" x14ac:dyDescent="0.3">
      <c r="A1524" t="s">
        <v>1895</v>
      </c>
      <c r="B1524" s="16" t="s">
        <v>137</v>
      </c>
      <c r="C1524" s="18" t="s">
        <v>11</v>
      </c>
      <c r="D1524" s="18" t="s">
        <v>329</v>
      </c>
      <c r="E1524" s="18">
        <v>54</v>
      </c>
      <c r="F1524" t="s">
        <v>381</v>
      </c>
      <c r="G1524" s="18" t="s">
        <v>26</v>
      </c>
      <c r="H1524" s="18" t="s">
        <v>27</v>
      </c>
      <c r="I1524" s="18">
        <v>24600</v>
      </c>
      <c r="J1524" s="18">
        <v>3</v>
      </c>
      <c r="K1524" s="19">
        <f t="shared" si="69"/>
        <v>73800</v>
      </c>
      <c r="L1524" s="20">
        <v>45335</v>
      </c>
      <c r="M1524" s="18" t="str">
        <f t="shared" si="70"/>
        <v>Tuesday</v>
      </c>
      <c r="N1524" s="18" t="str">
        <f t="shared" si="71"/>
        <v>Weekday</v>
      </c>
      <c r="Q1524" s="18"/>
      <c r="R1524" s="18"/>
      <c r="S1524" s="21"/>
      <c r="T1524"/>
      <c r="U1524" s="6"/>
      <c r="W1524" s="7"/>
      <c r="Z1524" s="4"/>
    </row>
    <row r="1525" spans="1:26" x14ac:dyDescent="0.3">
      <c r="A1525" t="s">
        <v>1896</v>
      </c>
      <c r="B1525" s="22" t="s">
        <v>78</v>
      </c>
      <c r="C1525" s="24" t="s">
        <v>366</v>
      </c>
      <c r="D1525" s="24" t="s">
        <v>322</v>
      </c>
      <c r="E1525" s="24">
        <v>62</v>
      </c>
      <c r="F1525" t="s">
        <v>381</v>
      </c>
      <c r="G1525" s="24" t="s">
        <v>13</v>
      </c>
      <c r="H1525" s="24" t="s">
        <v>14</v>
      </c>
      <c r="I1525" s="24">
        <v>36900</v>
      </c>
      <c r="J1525" s="24">
        <v>5</v>
      </c>
      <c r="K1525" s="25">
        <f t="shared" si="69"/>
        <v>184500</v>
      </c>
      <c r="L1525" s="26">
        <v>45614</v>
      </c>
      <c r="M1525" s="24" t="str">
        <f t="shared" si="70"/>
        <v>Monday</v>
      </c>
      <c r="N1525" s="24" t="str">
        <f t="shared" si="71"/>
        <v>Weekday</v>
      </c>
      <c r="Q1525" s="24"/>
      <c r="R1525" s="24"/>
      <c r="S1525" s="27"/>
      <c r="T1525"/>
      <c r="U1525" s="6"/>
      <c r="W1525" s="7"/>
      <c r="Z1525" s="4"/>
    </row>
    <row r="1526" spans="1:26" x14ac:dyDescent="0.3">
      <c r="A1526" t="s">
        <v>1897</v>
      </c>
      <c r="B1526" s="16" t="s">
        <v>170</v>
      </c>
      <c r="C1526" s="18" t="s">
        <v>20</v>
      </c>
      <c r="D1526" s="18" t="s">
        <v>326</v>
      </c>
      <c r="E1526" s="18">
        <v>42</v>
      </c>
      <c r="F1526" t="s">
        <v>370</v>
      </c>
      <c r="G1526" s="18" t="s">
        <v>24</v>
      </c>
      <c r="H1526" s="18" t="s">
        <v>14</v>
      </c>
      <c r="I1526" s="18">
        <v>184500</v>
      </c>
      <c r="J1526" s="18">
        <v>1</v>
      </c>
      <c r="K1526" s="19">
        <f t="shared" si="69"/>
        <v>184500</v>
      </c>
      <c r="L1526" s="20">
        <v>45605</v>
      </c>
      <c r="M1526" s="18" t="str">
        <f t="shared" si="70"/>
        <v>Saturday</v>
      </c>
      <c r="N1526" s="18" t="str">
        <f t="shared" si="71"/>
        <v>Weekend</v>
      </c>
      <c r="Q1526" s="18"/>
      <c r="R1526" s="18"/>
      <c r="S1526" s="21"/>
      <c r="T1526"/>
      <c r="U1526" s="6"/>
      <c r="W1526" s="7"/>
      <c r="Z1526" s="4"/>
    </row>
    <row r="1527" spans="1:26" x14ac:dyDescent="0.3">
      <c r="A1527" t="s">
        <v>1898</v>
      </c>
      <c r="B1527" s="22" t="s">
        <v>192</v>
      </c>
      <c r="C1527" s="24" t="s">
        <v>20</v>
      </c>
      <c r="D1527" s="24" t="s">
        <v>322</v>
      </c>
      <c r="E1527" s="24">
        <v>59</v>
      </c>
      <c r="F1527" t="s">
        <v>381</v>
      </c>
      <c r="G1527" s="24" t="s">
        <v>42</v>
      </c>
      <c r="H1527" s="24" t="s">
        <v>14</v>
      </c>
      <c r="I1527" s="24">
        <v>98400</v>
      </c>
      <c r="J1527" s="24">
        <v>3</v>
      </c>
      <c r="K1527" s="25">
        <f t="shared" si="69"/>
        <v>295200</v>
      </c>
      <c r="L1527" s="26">
        <v>45564</v>
      </c>
      <c r="M1527" s="24" t="str">
        <f t="shared" si="70"/>
        <v>Sunday</v>
      </c>
      <c r="N1527" s="24" t="str">
        <f t="shared" si="71"/>
        <v>Weekday</v>
      </c>
      <c r="Q1527" s="24"/>
      <c r="R1527" s="24"/>
      <c r="S1527" s="27"/>
      <c r="T1527"/>
      <c r="U1527" s="6"/>
      <c r="W1527" s="7"/>
      <c r="Z1527" s="4"/>
    </row>
    <row r="1528" spans="1:26" x14ac:dyDescent="0.3">
      <c r="A1528" t="s">
        <v>1899</v>
      </c>
      <c r="B1528" s="16" t="s">
        <v>178</v>
      </c>
      <c r="C1528" s="18" t="s">
        <v>11</v>
      </c>
      <c r="D1528" s="18" t="s">
        <v>328</v>
      </c>
      <c r="E1528" s="18">
        <v>20</v>
      </c>
      <c r="F1528" t="s">
        <v>375</v>
      </c>
      <c r="G1528" s="18" t="s">
        <v>17</v>
      </c>
      <c r="H1528" s="18" t="s">
        <v>18</v>
      </c>
      <c r="I1528" s="18">
        <v>12300</v>
      </c>
      <c r="J1528" s="18">
        <v>2</v>
      </c>
      <c r="K1528" s="19">
        <f t="shared" si="69"/>
        <v>24600</v>
      </c>
      <c r="L1528" s="20">
        <v>45472</v>
      </c>
      <c r="M1528" s="18" t="str">
        <f t="shared" si="70"/>
        <v>Saturday</v>
      </c>
      <c r="N1528" s="18" t="str">
        <f t="shared" si="71"/>
        <v>Weekend</v>
      </c>
      <c r="Q1528" s="18"/>
      <c r="R1528" s="18"/>
      <c r="S1528" s="21"/>
      <c r="T1528"/>
      <c r="U1528" s="6"/>
      <c r="W1528" s="7"/>
      <c r="Z1528" s="4"/>
    </row>
    <row r="1529" spans="1:26" x14ac:dyDescent="0.3">
      <c r="A1529" t="s">
        <v>1900</v>
      </c>
      <c r="B1529" s="22" t="s">
        <v>55</v>
      </c>
      <c r="C1529" s="24" t="s">
        <v>11</v>
      </c>
      <c r="D1529" s="24" t="s">
        <v>324</v>
      </c>
      <c r="E1529" s="24">
        <v>55</v>
      </c>
      <c r="F1529" t="s">
        <v>375</v>
      </c>
      <c r="G1529" s="24" t="s">
        <v>42</v>
      </c>
      <c r="H1529" s="24" t="s">
        <v>14</v>
      </c>
      <c r="I1529" s="24">
        <v>98400</v>
      </c>
      <c r="J1529" s="24">
        <v>5</v>
      </c>
      <c r="K1529" s="25">
        <f t="shared" si="69"/>
        <v>492000</v>
      </c>
      <c r="L1529" s="26">
        <v>45434</v>
      </c>
      <c r="M1529" s="24" t="str">
        <f t="shared" si="70"/>
        <v>Wednesday</v>
      </c>
      <c r="N1529" s="24" t="str">
        <f t="shared" si="71"/>
        <v>Weekday</v>
      </c>
      <c r="Q1529" s="24"/>
      <c r="R1529" s="24"/>
      <c r="S1529" s="27"/>
      <c r="T1529"/>
      <c r="U1529" s="6"/>
      <c r="W1529" s="7"/>
      <c r="Z1529" s="4"/>
    </row>
    <row r="1530" spans="1:26" x14ac:dyDescent="0.3">
      <c r="A1530" t="s">
        <v>1901</v>
      </c>
      <c r="B1530" s="16" t="s">
        <v>97</v>
      </c>
      <c r="C1530" s="18" t="s">
        <v>20</v>
      </c>
      <c r="D1530" s="18" t="s">
        <v>322</v>
      </c>
      <c r="E1530" s="18">
        <v>33</v>
      </c>
      <c r="F1530" t="s">
        <v>373</v>
      </c>
      <c r="G1530" s="18" t="s">
        <v>32</v>
      </c>
      <c r="H1530" s="18" t="s">
        <v>18</v>
      </c>
      <c r="I1530" s="18">
        <v>3690</v>
      </c>
      <c r="J1530" s="18">
        <v>1</v>
      </c>
      <c r="K1530" s="19">
        <f t="shared" si="69"/>
        <v>3690</v>
      </c>
      <c r="L1530" s="20">
        <v>45360</v>
      </c>
      <c r="M1530" s="18" t="str">
        <f t="shared" si="70"/>
        <v>Saturday</v>
      </c>
      <c r="N1530" s="18" t="str">
        <f t="shared" si="71"/>
        <v>Weekend</v>
      </c>
      <c r="Q1530" s="18"/>
      <c r="R1530" s="18"/>
      <c r="S1530" s="21"/>
      <c r="T1530"/>
      <c r="U1530" s="6"/>
      <c r="W1530" s="7"/>
      <c r="Z1530" s="4"/>
    </row>
    <row r="1531" spans="1:26" x14ac:dyDescent="0.3">
      <c r="A1531" t="s">
        <v>1902</v>
      </c>
      <c r="B1531" s="22" t="s">
        <v>240</v>
      </c>
      <c r="C1531" s="24" t="s">
        <v>20</v>
      </c>
      <c r="D1531" s="24" t="s">
        <v>323</v>
      </c>
      <c r="E1531" s="24">
        <v>58</v>
      </c>
      <c r="F1531" t="s">
        <v>375</v>
      </c>
      <c r="G1531" s="24" t="s">
        <v>26</v>
      </c>
      <c r="H1531" s="24" t="s">
        <v>27</v>
      </c>
      <c r="I1531" s="24">
        <v>24600</v>
      </c>
      <c r="J1531" s="24">
        <v>4</v>
      </c>
      <c r="K1531" s="25">
        <f t="shared" si="69"/>
        <v>98400</v>
      </c>
      <c r="L1531" s="26">
        <v>45314</v>
      </c>
      <c r="M1531" s="24" t="str">
        <f t="shared" si="70"/>
        <v>Tuesday</v>
      </c>
      <c r="N1531" s="24" t="str">
        <f t="shared" si="71"/>
        <v>Weekday</v>
      </c>
      <c r="Q1531" s="24"/>
      <c r="R1531" s="24"/>
      <c r="S1531" s="27"/>
      <c r="T1531"/>
      <c r="U1531" s="6"/>
      <c r="W1531" s="7"/>
      <c r="Z1531" s="4"/>
    </row>
    <row r="1532" spans="1:26" x14ac:dyDescent="0.3">
      <c r="A1532" t="s">
        <v>1903</v>
      </c>
      <c r="B1532" s="16" t="s">
        <v>123</v>
      </c>
      <c r="C1532" s="18" t="s">
        <v>20</v>
      </c>
      <c r="D1532" s="18" t="s">
        <v>328</v>
      </c>
      <c r="E1532" s="18">
        <v>38</v>
      </c>
      <c r="F1532" t="s">
        <v>373</v>
      </c>
      <c r="G1532" s="18" t="s">
        <v>24</v>
      </c>
      <c r="H1532" s="18" t="s">
        <v>14</v>
      </c>
      <c r="I1532" s="18">
        <v>184500</v>
      </c>
      <c r="J1532" s="18">
        <v>2</v>
      </c>
      <c r="K1532" s="19">
        <f t="shared" si="69"/>
        <v>369000</v>
      </c>
      <c r="L1532" s="20">
        <v>45469</v>
      </c>
      <c r="M1532" s="18" t="str">
        <f t="shared" si="70"/>
        <v>Wednesday</v>
      </c>
      <c r="N1532" s="18" t="str">
        <f t="shared" si="71"/>
        <v>Weekday</v>
      </c>
      <c r="Q1532" s="18"/>
      <c r="R1532" s="18"/>
      <c r="S1532" s="21"/>
      <c r="T1532"/>
      <c r="U1532" s="6"/>
      <c r="W1532" s="7"/>
      <c r="Z1532" s="4"/>
    </row>
    <row r="1533" spans="1:26" x14ac:dyDescent="0.3">
      <c r="A1533" t="s">
        <v>1904</v>
      </c>
      <c r="B1533" s="22" t="s">
        <v>269</v>
      </c>
      <c r="C1533" s="24" t="s">
        <v>11</v>
      </c>
      <c r="D1533" s="24" t="s">
        <v>327</v>
      </c>
      <c r="E1533" s="24">
        <v>19</v>
      </c>
      <c r="F1533" t="s">
        <v>370</v>
      </c>
      <c r="G1533" s="24" t="s">
        <v>32</v>
      </c>
      <c r="H1533" s="24" t="s">
        <v>18</v>
      </c>
      <c r="I1533" s="24">
        <v>3690</v>
      </c>
      <c r="J1533" s="24">
        <v>3</v>
      </c>
      <c r="K1533" s="25">
        <f t="shared" si="69"/>
        <v>11070</v>
      </c>
      <c r="L1533" s="26">
        <v>45378</v>
      </c>
      <c r="M1533" s="24" t="str">
        <f t="shared" si="70"/>
        <v>Wednesday</v>
      </c>
      <c r="N1533" s="24" t="str">
        <f t="shared" si="71"/>
        <v>Weekday</v>
      </c>
      <c r="Q1533" s="24"/>
      <c r="R1533" s="24"/>
      <c r="S1533" s="27"/>
      <c r="T1533"/>
      <c r="U1533" s="6"/>
      <c r="W1533" s="7"/>
      <c r="Z1533" s="4"/>
    </row>
    <row r="1534" spans="1:26" x14ac:dyDescent="0.3">
      <c r="A1534" t="s">
        <v>1905</v>
      </c>
      <c r="B1534" s="16" t="s">
        <v>311</v>
      </c>
      <c r="C1534" s="18" t="s">
        <v>11</v>
      </c>
      <c r="D1534" s="18" t="s">
        <v>322</v>
      </c>
      <c r="E1534" s="18">
        <v>21</v>
      </c>
      <c r="F1534" t="s">
        <v>373</v>
      </c>
      <c r="G1534" s="18" t="s">
        <v>17</v>
      </c>
      <c r="H1534" s="18" t="s">
        <v>18</v>
      </c>
      <c r="I1534" s="18">
        <v>12300</v>
      </c>
      <c r="J1534" s="18">
        <v>3</v>
      </c>
      <c r="K1534" s="19">
        <f t="shared" si="69"/>
        <v>36900</v>
      </c>
      <c r="L1534" s="20">
        <v>45650</v>
      </c>
      <c r="M1534" s="18" t="str">
        <f t="shared" si="70"/>
        <v>Tuesday</v>
      </c>
      <c r="N1534" s="18" t="str">
        <f t="shared" si="71"/>
        <v>Weekday</v>
      </c>
      <c r="Q1534" s="18"/>
      <c r="R1534" s="18"/>
      <c r="S1534" s="21"/>
      <c r="T1534"/>
      <c r="U1534" s="6"/>
      <c r="W1534" s="7"/>
      <c r="Z1534" s="4"/>
    </row>
    <row r="1535" spans="1:26" x14ac:dyDescent="0.3">
      <c r="A1535" t="s">
        <v>1906</v>
      </c>
      <c r="B1535" s="22" t="s">
        <v>158</v>
      </c>
      <c r="C1535" s="24" t="s">
        <v>20</v>
      </c>
      <c r="D1535" s="24" t="s">
        <v>322</v>
      </c>
      <c r="E1535" s="24">
        <v>54</v>
      </c>
      <c r="F1535" t="s">
        <v>373</v>
      </c>
      <c r="G1535" s="24" t="s">
        <v>32</v>
      </c>
      <c r="H1535" s="24" t="s">
        <v>18</v>
      </c>
      <c r="I1535" s="24">
        <v>3690</v>
      </c>
      <c r="J1535" s="24">
        <v>5</v>
      </c>
      <c r="K1535" s="25">
        <f t="shared" si="69"/>
        <v>18450</v>
      </c>
      <c r="L1535" s="26">
        <v>45557</v>
      </c>
      <c r="M1535" s="24" t="str">
        <f t="shared" si="70"/>
        <v>Sunday</v>
      </c>
      <c r="N1535" s="24" t="str">
        <f t="shared" si="71"/>
        <v>Weekday</v>
      </c>
      <c r="Q1535" s="24"/>
      <c r="R1535" s="24"/>
      <c r="S1535" s="27"/>
      <c r="T1535"/>
      <c r="U1535" s="6"/>
      <c r="W1535" s="7"/>
      <c r="Z1535" s="4"/>
    </row>
    <row r="1536" spans="1:26" x14ac:dyDescent="0.3">
      <c r="A1536" t="s">
        <v>1907</v>
      </c>
      <c r="B1536" s="16" t="s">
        <v>197</v>
      </c>
      <c r="C1536" s="18" t="s">
        <v>20</v>
      </c>
      <c r="D1536" s="18" t="s">
        <v>323</v>
      </c>
      <c r="E1536" s="18">
        <v>51</v>
      </c>
      <c r="F1536" t="s">
        <v>370</v>
      </c>
      <c r="G1536" s="18" t="s">
        <v>32</v>
      </c>
      <c r="H1536" s="18" t="s">
        <v>18</v>
      </c>
      <c r="I1536" s="18">
        <v>3690</v>
      </c>
      <c r="J1536" s="18">
        <v>1</v>
      </c>
      <c r="K1536" s="19">
        <f t="shared" si="69"/>
        <v>3690</v>
      </c>
      <c r="L1536" s="20">
        <v>45620</v>
      </c>
      <c r="M1536" s="18" t="str">
        <f t="shared" si="70"/>
        <v>Sunday</v>
      </c>
      <c r="N1536" s="18" t="str">
        <f t="shared" si="71"/>
        <v>Weekday</v>
      </c>
      <c r="Q1536" s="18"/>
      <c r="R1536" s="18"/>
      <c r="S1536" s="21"/>
      <c r="T1536"/>
      <c r="U1536" s="6"/>
      <c r="W1536" s="7"/>
      <c r="Z1536" s="4"/>
    </row>
    <row r="1537" spans="1:26" x14ac:dyDescent="0.3">
      <c r="A1537" t="s">
        <v>1908</v>
      </c>
      <c r="B1537" s="22" t="s">
        <v>183</v>
      </c>
      <c r="C1537" s="24" t="s">
        <v>11</v>
      </c>
      <c r="D1537" s="24" t="s">
        <v>324</v>
      </c>
      <c r="E1537" s="24">
        <v>29</v>
      </c>
      <c r="F1537" t="s">
        <v>373</v>
      </c>
      <c r="G1537" s="24" t="s">
        <v>26</v>
      </c>
      <c r="H1537" s="24" t="s">
        <v>27</v>
      </c>
      <c r="I1537" s="24">
        <v>24600</v>
      </c>
      <c r="J1537" s="24">
        <v>3</v>
      </c>
      <c r="K1537" s="25">
        <f t="shared" si="69"/>
        <v>73800</v>
      </c>
      <c r="L1537" s="26">
        <v>45545</v>
      </c>
      <c r="M1537" s="24" t="str">
        <f t="shared" si="70"/>
        <v>Tuesday</v>
      </c>
      <c r="N1537" s="24" t="str">
        <f t="shared" si="71"/>
        <v>Weekday</v>
      </c>
      <c r="Q1537" s="24"/>
      <c r="R1537" s="24"/>
      <c r="S1537" s="27"/>
      <c r="T1537"/>
      <c r="U1537" s="6"/>
      <c r="W1537" s="7"/>
      <c r="Z1537" s="4"/>
    </row>
    <row r="1538" spans="1:26" x14ac:dyDescent="0.3">
      <c r="A1538" t="s">
        <v>1909</v>
      </c>
      <c r="B1538" s="16" t="s">
        <v>263</v>
      </c>
      <c r="C1538" s="18" t="s">
        <v>366</v>
      </c>
      <c r="D1538" s="18" t="s">
        <v>322</v>
      </c>
      <c r="E1538" s="18">
        <v>26</v>
      </c>
      <c r="F1538" t="s">
        <v>375</v>
      </c>
      <c r="G1538" s="18" t="s">
        <v>42</v>
      </c>
      <c r="H1538" s="18" t="s">
        <v>14</v>
      </c>
      <c r="I1538" s="18">
        <v>98400</v>
      </c>
      <c r="J1538" s="18">
        <v>1</v>
      </c>
      <c r="K1538" s="19">
        <f t="shared" ref="K1538:K1601" si="72">I1538*J1538</f>
        <v>98400</v>
      </c>
      <c r="L1538" s="20">
        <v>45523</v>
      </c>
      <c r="M1538" s="18" t="str">
        <f t="shared" ref="M1538:M1601" si="73">TEXT(L1538, "dddd")</f>
        <v>Monday</v>
      </c>
      <c r="N1538" s="18" t="str">
        <f t="shared" ref="N1538:N1601" si="74">IF(OR(WEEKDAY(L1538, 2)=5, WEEKDAY(L1538, 2)=6), "Weekend", "Weekday")</f>
        <v>Weekday</v>
      </c>
      <c r="Q1538" s="18"/>
      <c r="R1538" s="18"/>
      <c r="S1538" s="21"/>
      <c r="T1538"/>
      <c r="U1538" s="6"/>
      <c r="W1538" s="7"/>
      <c r="Z1538" s="4"/>
    </row>
    <row r="1539" spans="1:26" x14ac:dyDescent="0.3">
      <c r="A1539" t="s">
        <v>1910</v>
      </c>
      <c r="B1539" s="22" t="s">
        <v>62</v>
      </c>
      <c r="C1539" s="24" t="s">
        <v>366</v>
      </c>
      <c r="D1539" s="24" t="s">
        <v>329</v>
      </c>
      <c r="E1539" s="24">
        <v>43</v>
      </c>
      <c r="F1539" t="s">
        <v>370</v>
      </c>
      <c r="G1539" s="24" t="s">
        <v>26</v>
      </c>
      <c r="H1539" s="24" t="s">
        <v>27</v>
      </c>
      <c r="I1539" s="24">
        <v>24600</v>
      </c>
      <c r="J1539" s="24">
        <v>2</v>
      </c>
      <c r="K1539" s="25">
        <f t="shared" si="72"/>
        <v>49200</v>
      </c>
      <c r="L1539" s="26">
        <v>45578</v>
      </c>
      <c r="M1539" s="24" t="str">
        <f t="shared" si="73"/>
        <v>Sunday</v>
      </c>
      <c r="N1539" s="24" t="str">
        <f t="shared" si="74"/>
        <v>Weekday</v>
      </c>
      <c r="Q1539" s="24"/>
      <c r="R1539" s="24"/>
      <c r="S1539" s="27"/>
      <c r="T1539"/>
      <c r="U1539" s="6"/>
      <c r="W1539" s="7"/>
      <c r="Z1539" s="4"/>
    </row>
    <row r="1540" spans="1:26" x14ac:dyDescent="0.3">
      <c r="A1540" t="s">
        <v>1911</v>
      </c>
      <c r="B1540" s="16" t="s">
        <v>297</v>
      </c>
      <c r="C1540" s="18" t="s">
        <v>11</v>
      </c>
      <c r="D1540" s="18" t="s">
        <v>323</v>
      </c>
      <c r="E1540" s="18">
        <v>39</v>
      </c>
      <c r="F1540" t="s">
        <v>381</v>
      </c>
      <c r="G1540" s="18" t="s">
        <v>24</v>
      </c>
      <c r="H1540" s="18" t="s">
        <v>14</v>
      </c>
      <c r="I1540" s="18">
        <v>184500</v>
      </c>
      <c r="J1540" s="18">
        <v>4</v>
      </c>
      <c r="K1540" s="19">
        <f t="shared" si="72"/>
        <v>738000</v>
      </c>
      <c r="L1540" s="20">
        <v>45327</v>
      </c>
      <c r="M1540" s="18" t="str">
        <f t="shared" si="73"/>
        <v>Monday</v>
      </c>
      <c r="N1540" s="18" t="str">
        <f t="shared" si="74"/>
        <v>Weekday</v>
      </c>
      <c r="Q1540" s="18"/>
      <c r="R1540" s="18"/>
      <c r="S1540" s="21"/>
      <c r="T1540"/>
      <c r="U1540" s="6"/>
      <c r="W1540" s="7"/>
      <c r="Z1540" s="4"/>
    </row>
    <row r="1541" spans="1:26" x14ac:dyDescent="0.3">
      <c r="A1541" t="s">
        <v>1912</v>
      </c>
      <c r="B1541" s="22" t="s">
        <v>128</v>
      </c>
      <c r="C1541" s="24" t="s">
        <v>11</v>
      </c>
      <c r="D1541" s="24" t="s">
        <v>323</v>
      </c>
      <c r="E1541" s="24">
        <v>50</v>
      </c>
      <c r="F1541" t="s">
        <v>373</v>
      </c>
      <c r="G1541" s="24" t="s">
        <v>24</v>
      </c>
      <c r="H1541" s="24" t="s">
        <v>14</v>
      </c>
      <c r="I1541" s="24">
        <v>184500</v>
      </c>
      <c r="J1541" s="24">
        <v>4</v>
      </c>
      <c r="K1541" s="25">
        <f t="shared" si="72"/>
        <v>738000</v>
      </c>
      <c r="L1541" s="26">
        <v>45540</v>
      </c>
      <c r="M1541" s="24" t="str">
        <f t="shared" si="73"/>
        <v>Thursday</v>
      </c>
      <c r="N1541" s="24" t="str">
        <f t="shared" si="74"/>
        <v>Weekday</v>
      </c>
      <c r="Q1541" s="24"/>
      <c r="R1541" s="24"/>
      <c r="S1541" s="27"/>
      <c r="T1541"/>
      <c r="U1541" s="6"/>
      <c r="W1541" s="7"/>
      <c r="Z1541" s="4"/>
    </row>
    <row r="1542" spans="1:26" x14ac:dyDescent="0.3">
      <c r="A1542" t="s">
        <v>1913</v>
      </c>
      <c r="B1542" s="16" t="s">
        <v>187</v>
      </c>
      <c r="C1542" s="18" t="s">
        <v>11</v>
      </c>
      <c r="D1542" s="18" t="s">
        <v>324</v>
      </c>
      <c r="E1542" s="18">
        <v>68</v>
      </c>
      <c r="F1542" t="s">
        <v>375</v>
      </c>
      <c r="G1542" s="18" t="s">
        <v>42</v>
      </c>
      <c r="H1542" s="18" t="s">
        <v>14</v>
      </c>
      <c r="I1542" s="18">
        <v>98400</v>
      </c>
      <c r="J1542" s="18">
        <v>2</v>
      </c>
      <c r="K1542" s="19">
        <f t="shared" si="72"/>
        <v>196800</v>
      </c>
      <c r="L1542" s="20">
        <v>45515</v>
      </c>
      <c r="M1542" s="18" t="str">
        <f t="shared" si="73"/>
        <v>Sunday</v>
      </c>
      <c r="N1542" s="18" t="str">
        <f t="shared" si="74"/>
        <v>Weekday</v>
      </c>
      <c r="Q1542" s="18"/>
      <c r="R1542" s="18"/>
      <c r="S1542" s="21"/>
      <c r="T1542"/>
      <c r="U1542" s="6"/>
      <c r="W1542" s="7"/>
      <c r="Z1542" s="4"/>
    </row>
    <row r="1543" spans="1:26" x14ac:dyDescent="0.3">
      <c r="A1543" t="s">
        <v>1914</v>
      </c>
      <c r="B1543" s="22" t="s">
        <v>116</v>
      </c>
      <c r="C1543" s="24" t="s">
        <v>20</v>
      </c>
      <c r="D1543" s="24" t="s">
        <v>322</v>
      </c>
      <c r="E1543" s="24">
        <v>33</v>
      </c>
      <c r="F1543" t="s">
        <v>381</v>
      </c>
      <c r="G1543" s="24" t="s">
        <v>24</v>
      </c>
      <c r="H1543" s="24" t="s">
        <v>14</v>
      </c>
      <c r="I1543" s="24">
        <v>184500</v>
      </c>
      <c r="J1543" s="24">
        <v>1</v>
      </c>
      <c r="K1543" s="25">
        <f t="shared" si="72"/>
        <v>184500</v>
      </c>
      <c r="L1543" s="26">
        <v>45419</v>
      </c>
      <c r="M1543" s="24" t="str">
        <f t="shared" si="73"/>
        <v>Tuesday</v>
      </c>
      <c r="N1543" s="24" t="str">
        <f t="shared" si="74"/>
        <v>Weekday</v>
      </c>
      <c r="Q1543" s="24"/>
      <c r="R1543" s="24"/>
      <c r="S1543" s="27"/>
      <c r="T1543"/>
      <c r="U1543" s="6"/>
      <c r="W1543" s="7"/>
      <c r="Z1543" s="4"/>
    </row>
    <row r="1544" spans="1:26" x14ac:dyDescent="0.3">
      <c r="A1544" t="s">
        <v>1915</v>
      </c>
      <c r="B1544" s="16" t="s">
        <v>112</v>
      </c>
      <c r="C1544" s="18" t="s">
        <v>366</v>
      </c>
      <c r="D1544" s="18" t="s">
        <v>325</v>
      </c>
      <c r="E1544" s="18">
        <v>38</v>
      </c>
      <c r="F1544" t="s">
        <v>370</v>
      </c>
      <c r="G1544" s="18" t="s">
        <v>31</v>
      </c>
      <c r="H1544" s="18" t="s">
        <v>18</v>
      </c>
      <c r="I1544" s="18">
        <v>6150</v>
      </c>
      <c r="J1544" s="18">
        <v>2</v>
      </c>
      <c r="K1544" s="19">
        <f t="shared" si="72"/>
        <v>12300</v>
      </c>
      <c r="L1544" s="20">
        <v>45560</v>
      </c>
      <c r="M1544" s="18" t="str">
        <f t="shared" si="73"/>
        <v>Wednesday</v>
      </c>
      <c r="N1544" s="18" t="str">
        <f t="shared" si="74"/>
        <v>Weekday</v>
      </c>
      <c r="Q1544" s="18"/>
      <c r="R1544" s="18"/>
      <c r="S1544" s="21"/>
      <c r="T1544"/>
      <c r="U1544" s="6"/>
      <c r="W1544" s="7"/>
      <c r="Z1544" s="4"/>
    </row>
    <row r="1545" spans="1:26" x14ac:dyDescent="0.3">
      <c r="A1545" t="s">
        <v>1916</v>
      </c>
      <c r="B1545" s="22" t="s">
        <v>71</v>
      </c>
      <c r="C1545" s="24" t="s">
        <v>20</v>
      </c>
      <c r="D1545" s="24" t="s">
        <v>323</v>
      </c>
      <c r="E1545" s="24">
        <v>67</v>
      </c>
      <c r="F1545" t="s">
        <v>370</v>
      </c>
      <c r="G1545" s="24" t="s">
        <v>17</v>
      </c>
      <c r="H1545" s="24" t="s">
        <v>18</v>
      </c>
      <c r="I1545" s="24">
        <v>12300</v>
      </c>
      <c r="J1545" s="24">
        <v>5</v>
      </c>
      <c r="K1545" s="25">
        <f t="shared" si="72"/>
        <v>61500</v>
      </c>
      <c r="L1545" s="26">
        <v>45639</v>
      </c>
      <c r="M1545" s="24" t="str">
        <f t="shared" si="73"/>
        <v>Friday</v>
      </c>
      <c r="N1545" s="24" t="str">
        <f t="shared" si="74"/>
        <v>Weekend</v>
      </c>
      <c r="Q1545" s="24"/>
      <c r="R1545" s="24"/>
      <c r="S1545" s="27"/>
      <c r="T1545"/>
      <c r="U1545" s="6"/>
      <c r="W1545" s="7"/>
      <c r="Z1545" s="4"/>
    </row>
    <row r="1546" spans="1:26" x14ac:dyDescent="0.3">
      <c r="A1546" t="s">
        <v>1917</v>
      </c>
      <c r="B1546" s="16" t="s">
        <v>217</v>
      </c>
      <c r="C1546" s="18" t="s">
        <v>11</v>
      </c>
      <c r="D1546" s="18" t="s">
        <v>324</v>
      </c>
      <c r="E1546" s="18">
        <v>62</v>
      </c>
      <c r="F1546" t="s">
        <v>370</v>
      </c>
      <c r="G1546" s="18" t="s">
        <v>13</v>
      </c>
      <c r="H1546" s="18" t="s">
        <v>14</v>
      </c>
      <c r="I1546" s="18">
        <v>36900</v>
      </c>
      <c r="J1546" s="18">
        <v>3</v>
      </c>
      <c r="K1546" s="19">
        <f t="shared" si="72"/>
        <v>110700</v>
      </c>
      <c r="L1546" s="20">
        <v>45298</v>
      </c>
      <c r="M1546" s="18" t="str">
        <f t="shared" si="73"/>
        <v>Sunday</v>
      </c>
      <c r="N1546" s="18" t="str">
        <f t="shared" si="74"/>
        <v>Weekday</v>
      </c>
      <c r="Q1546" s="18"/>
      <c r="R1546" s="18"/>
      <c r="S1546" s="21"/>
      <c r="T1546"/>
      <c r="U1546" s="6"/>
      <c r="W1546" s="7"/>
      <c r="Z1546" s="4"/>
    </row>
    <row r="1547" spans="1:26" x14ac:dyDescent="0.3">
      <c r="A1547" t="s">
        <v>1918</v>
      </c>
      <c r="B1547" s="22" t="s">
        <v>34</v>
      </c>
      <c r="C1547" s="24" t="s">
        <v>20</v>
      </c>
      <c r="D1547" s="24" t="s">
        <v>323</v>
      </c>
      <c r="E1547" s="24">
        <v>49</v>
      </c>
      <c r="F1547" t="s">
        <v>375</v>
      </c>
      <c r="G1547" s="24" t="s">
        <v>32</v>
      </c>
      <c r="H1547" s="24" t="s">
        <v>18</v>
      </c>
      <c r="I1547" s="24">
        <v>3690</v>
      </c>
      <c r="J1547" s="24">
        <v>1</v>
      </c>
      <c r="K1547" s="25">
        <f t="shared" si="72"/>
        <v>3690</v>
      </c>
      <c r="L1547" s="26">
        <v>45330</v>
      </c>
      <c r="M1547" s="24" t="str">
        <f t="shared" si="73"/>
        <v>Thursday</v>
      </c>
      <c r="N1547" s="24" t="str">
        <f t="shared" si="74"/>
        <v>Weekday</v>
      </c>
      <c r="Q1547" s="24"/>
      <c r="R1547" s="24"/>
      <c r="S1547" s="27"/>
      <c r="T1547"/>
      <c r="U1547" s="6"/>
      <c r="W1547" s="7"/>
      <c r="Z1547" s="4"/>
    </row>
    <row r="1548" spans="1:26" x14ac:dyDescent="0.3">
      <c r="A1548" t="s">
        <v>1919</v>
      </c>
      <c r="B1548" s="16" t="s">
        <v>202</v>
      </c>
      <c r="C1548" s="18" t="s">
        <v>11</v>
      </c>
      <c r="D1548" s="18" t="s">
        <v>324</v>
      </c>
      <c r="E1548" s="18">
        <v>44</v>
      </c>
      <c r="F1548" t="s">
        <v>381</v>
      </c>
      <c r="G1548" s="18" t="s">
        <v>24</v>
      </c>
      <c r="H1548" s="18" t="s">
        <v>14</v>
      </c>
      <c r="I1548" s="18">
        <v>184500</v>
      </c>
      <c r="J1548" s="18">
        <v>2</v>
      </c>
      <c r="K1548" s="19">
        <f t="shared" si="72"/>
        <v>369000</v>
      </c>
      <c r="L1548" s="20">
        <v>45462</v>
      </c>
      <c r="M1548" s="18" t="str">
        <f t="shared" si="73"/>
        <v>Wednesday</v>
      </c>
      <c r="N1548" s="18" t="str">
        <f t="shared" si="74"/>
        <v>Weekday</v>
      </c>
      <c r="Q1548" s="18"/>
      <c r="R1548" s="18"/>
      <c r="S1548" s="21"/>
      <c r="T1548"/>
      <c r="U1548" s="6"/>
      <c r="W1548" s="7"/>
      <c r="Z1548" s="4"/>
    </row>
    <row r="1549" spans="1:26" x14ac:dyDescent="0.3">
      <c r="A1549" t="s">
        <v>1920</v>
      </c>
      <c r="B1549" s="22" t="s">
        <v>182</v>
      </c>
      <c r="C1549" s="24" t="s">
        <v>366</v>
      </c>
      <c r="D1549" s="24" t="s">
        <v>322</v>
      </c>
      <c r="E1549" s="24">
        <v>55</v>
      </c>
      <c r="F1549" t="s">
        <v>370</v>
      </c>
      <c r="G1549" s="24" t="s">
        <v>17</v>
      </c>
      <c r="H1549" s="24" t="s">
        <v>18</v>
      </c>
      <c r="I1549" s="24">
        <v>12300</v>
      </c>
      <c r="J1549" s="24">
        <v>1</v>
      </c>
      <c r="K1549" s="25">
        <f t="shared" si="72"/>
        <v>12300</v>
      </c>
      <c r="L1549" s="26">
        <v>45332</v>
      </c>
      <c r="M1549" s="24" t="str">
        <f t="shared" si="73"/>
        <v>Saturday</v>
      </c>
      <c r="N1549" s="24" t="str">
        <f t="shared" si="74"/>
        <v>Weekend</v>
      </c>
      <c r="Q1549" s="24"/>
      <c r="R1549" s="24"/>
      <c r="S1549" s="27"/>
      <c r="T1549"/>
      <c r="U1549" s="6"/>
      <c r="W1549" s="7"/>
      <c r="Z1549" s="4"/>
    </row>
    <row r="1550" spans="1:26" x14ac:dyDescent="0.3">
      <c r="A1550" t="s">
        <v>1921</v>
      </c>
      <c r="B1550" s="16" t="s">
        <v>259</v>
      </c>
      <c r="C1550" s="18" t="s">
        <v>366</v>
      </c>
      <c r="D1550" s="18" t="s">
        <v>328</v>
      </c>
      <c r="E1550" s="18">
        <v>58</v>
      </c>
      <c r="F1550" t="s">
        <v>375</v>
      </c>
      <c r="G1550" s="18" t="s">
        <v>32</v>
      </c>
      <c r="H1550" s="18" t="s">
        <v>18</v>
      </c>
      <c r="I1550" s="18">
        <v>3690</v>
      </c>
      <c r="J1550" s="18">
        <v>5</v>
      </c>
      <c r="K1550" s="19">
        <f t="shared" si="72"/>
        <v>18450</v>
      </c>
      <c r="L1550" s="20">
        <v>45640</v>
      </c>
      <c r="M1550" s="18" t="str">
        <f t="shared" si="73"/>
        <v>Saturday</v>
      </c>
      <c r="N1550" s="18" t="str">
        <f t="shared" si="74"/>
        <v>Weekend</v>
      </c>
      <c r="Q1550" s="18"/>
      <c r="R1550" s="18"/>
      <c r="S1550" s="21"/>
      <c r="T1550"/>
      <c r="U1550" s="6"/>
      <c r="W1550" s="7"/>
      <c r="Z1550" s="4"/>
    </row>
    <row r="1551" spans="1:26" x14ac:dyDescent="0.3">
      <c r="A1551" t="s">
        <v>1922</v>
      </c>
      <c r="B1551" s="22" t="s">
        <v>94</v>
      </c>
      <c r="C1551" s="24" t="s">
        <v>11</v>
      </c>
      <c r="D1551" s="24" t="s">
        <v>326</v>
      </c>
      <c r="E1551" s="24">
        <v>63</v>
      </c>
      <c r="F1551" t="s">
        <v>375</v>
      </c>
      <c r="G1551" s="24" t="s">
        <v>24</v>
      </c>
      <c r="H1551" s="24" t="s">
        <v>14</v>
      </c>
      <c r="I1551" s="24">
        <v>184500</v>
      </c>
      <c r="J1551" s="24">
        <v>4</v>
      </c>
      <c r="K1551" s="25">
        <f t="shared" si="72"/>
        <v>738000</v>
      </c>
      <c r="L1551" s="26">
        <v>45510</v>
      </c>
      <c r="M1551" s="24" t="str">
        <f t="shared" si="73"/>
        <v>Tuesday</v>
      </c>
      <c r="N1551" s="24" t="str">
        <f t="shared" si="74"/>
        <v>Weekday</v>
      </c>
      <c r="Q1551" s="24"/>
      <c r="R1551" s="24"/>
      <c r="S1551" s="27"/>
      <c r="T1551"/>
      <c r="U1551" s="6"/>
      <c r="W1551" s="7"/>
      <c r="Z1551" s="4"/>
    </row>
    <row r="1552" spans="1:26" x14ac:dyDescent="0.3">
      <c r="A1552" t="s">
        <v>1923</v>
      </c>
      <c r="B1552" s="16" t="s">
        <v>232</v>
      </c>
      <c r="C1552" s="18" t="s">
        <v>366</v>
      </c>
      <c r="D1552" s="18" t="s">
        <v>323</v>
      </c>
      <c r="E1552" s="18">
        <v>42</v>
      </c>
      <c r="F1552" t="s">
        <v>381</v>
      </c>
      <c r="G1552" s="18" t="s">
        <v>13</v>
      </c>
      <c r="H1552" s="18" t="s">
        <v>14</v>
      </c>
      <c r="I1552" s="18">
        <v>36900</v>
      </c>
      <c r="J1552" s="18">
        <v>2</v>
      </c>
      <c r="K1552" s="19">
        <f t="shared" si="72"/>
        <v>73800</v>
      </c>
      <c r="L1552" s="20">
        <v>45298</v>
      </c>
      <c r="M1552" s="18" t="str">
        <f t="shared" si="73"/>
        <v>Sunday</v>
      </c>
      <c r="N1552" s="18" t="str">
        <f t="shared" si="74"/>
        <v>Weekday</v>
      </c>
      <c r="Q1552" s="18"/>
      <c r="R1552" s="18"/>
      <c r="S1552" s="21"/>
      <c r="T1552"/>
      <c r="U1552" s="6"/>
      <c r="W1552" s="7"/>
      <c r="Z1552" s="4"/>
    </row>
    <row r="1553" spans="1:26" x14ac:dyDescent="0.3">
      <c r="A1553" t="s">
        <v>1924</v>
      </c>
      <c r="B1553" s="22" t="s">
        <v>36</v>
      </c>
      <c r="C1553" s="24" t="s">
        <v>366</v>
      </c>
      <c r="D1553" s="24" t="s">
        <v>324</v>
      </c>
      <c r="E1553" s="24">
        <v>41</v>
      </c>
      <c r="F1553" t="s">
        <v>370</v>
      </c>
      <c r="G1553" s="24" t="s">
        <v>31</v>
      </c>
      <c r="H1553" s="24" t="s">
        <v>18</v>
      </c>
      <c r="I1553" s="24">
        <v>6150</v>
      </c>
      <c r="J1553" s="24">
        <v>5</v>
      </c>
      <c r="K1553" s="25">
        <f t="shared" si="72"/>
        <v>30750</v>
      </c>
      <c r="L1553" s="26">
        <v>45496</v>
      </c>
      <c r="M1553" s="24" t="str">
        <f t="shared" si="73"/>
        <v>Tuesday</v>
      </c>
      <c r="N1553" s="24" t="str">
        <f t="shared" si="74"/>
        <v>Weekday</v>
      </c>
      <c r="Q1553" s="24"/>
      <c r="R1553" s="24"/>
      <c r="S1553" s="27"/>
      <c r="T1553"/>
      <c r="U1553" s="6"/>
      <c r="W1553" s="7"/>
      <c r="Z1553" s="4"/>
    </row>
    <row r="1554" spans="1:26" x14ac:dyDescent="0.3">
      <c r="A1554" t="s">
        <v>1925</v>
      </c>
      <c r="B1554" s="16" t="s">
        <v>45</v>
      </c>
      <c r="C1554" s="18" t="s">
        <v>20</v>
      </c>
      <c r="D1554" s="18" t="s">
        <v>323</v>
      </c>
      <c r="E1554" s="18">
        <v>37</v>
      </c>
      <c r="F1554" t="s">
        <v>370</v>
      </c>
      <c r="G1554" s="18" t="s">
        <v>26</v>
      </c>
      <c r="H1554" s="18" t="s">
        <v>27</v>
      </c>
      <c r="I1554" s="18">
        <v>24600</v>
      </c>
      <c r="J1554" s="18">
        <v>3</v>
      </c>
      <c r="K1554" s="19">
        <f t="shared" si="72"/>
        <v>73800</v>
      </c>
      <c r="L1554" s="20">
        <v>45324</v>
      </c>
      <c r="M1554" s="18" t="str">
        <f t="shared" si="73"/>
        <v>Friday</v>
      </c>
      <c r="N1554" s="18" t="str">
        <f t="shared" si="74"/>
        <v>Weekend</v>
      </c>
      <c r="Q1554" s="18"/>
      <c r="R1554" s="18"/>
      <c r="S1554" s="21"/>
      <c r="T1554"/>
      <c r="U1554" s="6"/>
      <c r="W1554" s="7"/>
      <c r="Z1554" s="4"/>
    </row>
    <row r="1555" spans="1:26" x14ac:dyDescent="0.3">
      <c r="A1555" t="s">
        <v>1926</v>
      </c>
      <c r="B1555" s="22" t="s">
        <v>50</v>
      </c>
      <c r="C1555" s="24" t="s">
        <v>20</v>
      </c>
      <c r="D1555" s="24" t="s">
        <v>326</v>
      </c>
      <c r="E1555" s="24">
        <v>59</v>
      </c>
      <c r="F1555" t="s">
        <v>373</v>
      </c>
      <c r="G1555" s="24" t="s">
        <v>32</v>
      </c>
      <c r="H1555" s="24" t="s">
        <v>18</v>
      </c>
      <c r="I1555" s="24">
        <v>3690</v>
      </c>
      <c r="J1555" s="24">
        <v>1</v>
      </c>
      <c r="K1555" s="25">
        <f t="shared" si="72"/>
        <v>3690</v>
      </c>
      <c r="L1555" s="26">
        <v>45537</v>
      </c>
      <c r="M1555" s="24" t="str">
        <f t="shared" si="73"/>
        <v>Monday</v>
      </c>
      <c r="N1555" s="24" t="str">
        <f t="shared" si="74"/>
        <v>Weekday</v>
      </c>
      <c r="Q1555" s="24"/>
      <c r="R1555" s="24"/>
      <c r="S1555" s="27"/>
      <c r="T1555"/>
      <c r="U1555" s="6"/>
      <c r="W1555" s="7"/>
      <c r="Z1555" s="4"/>
    </row>
    <row r="1556" spans="1:26" x14ac:dyDescent="0.3">
      <c r="A1556" t="s">
        <v>1927</v>
      </c>
      <c r="B1556" s="16" t="s">
        <v>85</v>
      </c>
      <c r="C1556" s="18" t="s">
        <v>11</v>
      </c>
      <c r="D1556" s="18" t="s">
        <v>326</v>
      </c>
      <c r="E1556" s="18">
        <v>36</v>
      </c>
      <c r="F1556" t="s">
        <v>370</v>
      </c>
      <c r="G1556" s="18" t="s">
        <v>26</v>
      </c>
      <c r="H1556" s="18" t="s">
        <v>27</v>
      </c>
      <c r="I1556" s="18">
        <v>24600</v>
      </c>
      <c r="J1556" s="18">
        <v>4</v>
      </c>
      <c r="K1556" s="19">
        <f t="shared" si="72"/>
        <v>98400</v>
      </c>
      <c r="L1556" s="20">
        <v>45605</v>
      </c>
      <c r="M1556" s="18" t="str">
        <f t="shared" si="73"/>
        <v>Saturday</v>
      </c>
      <c r="N1556" s="18" t="str">
        <f t="shared" si="74"/>
        <v>Weekend</v>
      </c>
      <c r="Q1556" s="18"/>
      <c r="R1556" s="18"/>
      <c r="S1556" s="21"/>
      <c r="T1556"/>
      <c r="U1556" s="6"/>
      <c r="W1556" s="7"/>
      <c r="Z1556" s="4"/>
    </row>
    <row r="1557" spans="1:26" x14ac:dyDescent="0.3">
      <c r="A1557" t="s">
        <v>1928</v>
      </c>
      <c r="B1557" s="22" t="s">
        <v>268</v>
      </c>
      <c r="C1557" s="24" t="s">
        <v>20</v>
      </c>
      <c r="D1557" s="24" t="s">
        <v>323</v>
      </c>
      <c r="E1557" s="24">
        <v>55</v>
      </c>
      <c r="F1557" t="s">
        <v>381</v>
      </c>
      <c r="G1557" s="24" t="s">
        <v>32</v>
      </c>
      <c r="H1557" s="24" t="s">
        <v>18</v>
      </c>
      <c r="I1557" s="24">
        <v>3690</v>
      </c>
      <c r="J1557" s="24">
        <v>2</v>
      </c>
      <c r="K1557" s="25">
        <f t="shared" si="72"/>
        <v>7380</v>
      </c>
      <c r="L1557" s="26">
        <v>45556</v>
      </c>
      <c r="M1557" s="24" t="str">
        <f t="shared" si="73"/>
        <v>Saturday</v>
      </c>
      <c r="N1557" s="24" t="str">
        <f t="shared" si="74"/>
        <v>Weekend</v>
      </c>
      <c r="Q1557" s="24"/>
      <c r="R1557" s="24"/>
      <c r="S1557" s="27"/>
      <c r="T1557"/>
      <c r="U1557" s="6"/>
      <c r="W1557" s="7"/>
      <c r="Z1557" s="4"/>
    </row>
    <row r="1558" spans="1:26" x14ac:dyDescent="0.3">
      <c r="A1558" t="s">
        <v>1929</v>
      </c>
      <c r="B1558" s="16" t="s">
        <v>23</v>
      </c>
      <c r="C1558" s="18" t="s">
        <v>11</v>
      </c>
      <c r="D1558" s="18" t="s">
        <v>322</v>
      </c>
      <c r="E1558" s="18">
        <v>65</v>
      </c>
      <c r="F1558" t="s">
        <v>375</v>
      </c>
      <c r="G1558" s="18" t="s">
        <v>24</v>
      </c>
      <c r="H1558" s="18" t="s">
        <v>14</v>
      </c>
      <c r="I1558" s="18">
        <v>184500</v>
      </c>
      <c r="J1558" s="18">
        <v>4</v>
      </c>
      <c r="K1558" s="19">
        <f t="shared" si="72"/>
        <v>738000</v>
      </c>
      <c r="L1558" s="20">
        <v>45643</v>
      </c>
      <c r="M1558" s="18" t="str">
        <f t="shared" si="73"/>
        <v>Tuesday</v>
      </c>
      <c r="N1558" s="18" t="str">
        <f t="shared" si="74"/>
        <v>Weekday</v>
      </c>
      <c r="Q1558" s="18"/>
      <c r="R1558" s="18"/>
      <c r="S1558" s="21"/>
      <c r="T1558"/>
      <c r="U1558" s="6"/>
      <c r="W1558" s="7"/>
      <c r="Z1558" s="4"/>
    </row>
    <row r="1559" spans="1:26" x14ac:dyDescent="0.3">
      <c r="A1559" t="s">
        <v>1930</v>
      </c>
      <c r="B1559" s="22" t="s">
        <v>164</v>
      </c>
      <c r="C1559" s="24" t="s">
        <v>11</v>
      </c>
      <c r="D1559" s="24" t="s">
        <v>327</v>
      </c>
      <c r="E1559" s="24">
        <v>62</v>
      </c>
      <c r="F1559" t="s">
        <v>381</v>
      </c>
      <c r="G1559" s="24" t="s">
        <v>31</v>
      </c>
      <c r="H1559" s="24" t="s">
        <v>18</v>
      </c>
      <c r="I1559" s="24">
        <v>6150</v>
      </c>
      <c r="J1559" s="24">
        <v>5</v>
      </c>
      <c r="K1559" s="25">
        <f t="shared" si="72"/>
        <v>30750</v>
      </c>
      <c r="L1559" s="26">
        <v>45470</v>
      </c>
      <c r="M1559" s="24" t="str">
        <f t="shared" si="73"/>
        <v>Thursday</v>
      </c>
      <c r="N1559" s="24" t="str">
        <f t="shared" si="74"/>
        <v>Weekday</v>
      </c>
      <c r="Q1559" s="24"/>
      <c r="R1559" s="24"/>
      <c r="S1559" s="27"/>
      <c r="T1559"/>
      <c r="U1559" s="6"/>
      <c r="W1559" s="7"/>
      <c r="Z1559" s="4"/>
    </row>
    <row r="1560" spans="1:26" x14ac:dyDescent="0.3">
      <c r="A1560" t="s">
        <v>1931</v>
      </c>
      <c r="B1560" s="16" t="s">
        <v>79</v>
      </c>
      <c r="C1560" s="18" t="s">
        <v>11</v>
      </c>
      <c r="D1560" s="18" t="s">
        <v>324</v>
      </c>
      <c r="E1560" s="18">
        <v>54</v>
      </c>
      <c r="F1560" t="s">
        <v>370</v>
      </c>
      <c r="G1560" s="18" t="s">
        <v>31</v>
      </c>
      <c r="H1560" s="18" t="s">
        <v>18</v>
      </c>
      <c r="I1560" s="18">
        <v>6150</v>
      </c>
      <c r="J1560" s="18">
        <v>5</v>
      </c>
      <c r="K1560" s="19">
        <f t="shared" si="72"/>
        <v>30750</v>
      </c>
      <c r="L1560" s="20">
        <v>45499</v>
      </c>
      <c r="M1560" s="18" t="str">
        <f t="shared" si="73"/>
        <v>Friday</v>
      </c>
      <c r="N1560" s="18" t="str">
        <f t="shared" si="74"/>
        <v>Weekend</v>
      </c>
      <c r="Q1560" s="18"/>
      <c r="R1560" s="18"/>
      <c r="S1560" s="21"/>
      <c r="T1560"/>
      <c r="U1560" s="6"/>
      <c r="W1560" s="7"/>
      <c r="Z1560" s="4"/>
    </row>
    <row r="1561" spans="1:26" x14ac:dyDescent="0.3">
      <c r="A1561" t="s">
        <v>1932</v>
      </c>
      <c r="B1561" s="22" t="s">
        <v>80</v>
      </c>
      <c r="C1561" s="24" t="s">
        <v>366</v>
      </c>
      <c r="D1561" s="24" t="s">
        <v>325</v>
      </c>
      <c r="E1561" s="24">
        <v>67</v>
      </c>
      <c r="F1561" t="s">
        <v>375</v>
      </c>
      <c r="G1561" s="24" t="s">
        <v>26</v>
      </c>
      <c r="H1561" s="24" t="s">
        <v>27</v>
      </c>
      <c r="I1561" s="24">
        <v>24600</v>
      </c>
      <c r="J1561" s="24">
        <v>2</v>
      </c>
      <c r="K1561" s="25">
        <f t="shared" si="72"/>
        <v>49200</v>
      </c>
      <c r="L1561" s="26">
        <v>45452</v>
      </c>
      <c r="M1561" s="24" t="str">
        <f t="shared" si="73"/>
        <v>Sunday</v>
      </c>
      <c r="N1561" s="24" t="str">
        <f t="shared" si="74"/>
        <v>Weekday</v>
      </c>
      <c r="Q1561" s="24"/>
      <c r="R1561" s="24"/>
      <c r="S1561" s="27"/>
      <c r="T1561"/>
      <c r="U1561" s="6"/>
      <c r="W1561" s="7"/>
      <c r="Z1561" s="4"/>
    </row>
    <row r="1562" spans="1:26" x14ac:dyDescent="0.3">
      <c r="A1562" t="s">
        <v>1933</v>
      </c>
      <c r="B1562" s="16" t="s">
        <v>293</v>
      </c>
      <c r="C1562" s="18" t="s">
        <v>20</v>
      </c>
      <c r="D1562" s="18" t="s">
        <v>323</v>
      </c>
      <c r="E1562" s="18">
        <v>53</v>
      </c>
      <c r="F1562" t="s">
        <v>381</v>
      </c>
      <c r="G1562" s="18" t="s">
        <v>17</v>
      </c>
      <c r="H1562" s="18" t="s">
        <v>18</v>
      </c>
      <c r="I1562" s="18">
        <v>12300</v>
      </c>
      <c r="J1562" s="18">
        <v>3</v>
      </c>
      <c r="K1562" s="19">
        <f t="shared" si="72"/>
        <v>36900</v>
      </c>
      <c r="L1562" s="20">
        <v>45602</v>
      </c>
      <c r="M1562" s="18" t="str">
        <f t="shared" si="73"/>
        <v>Wednesday</v>
      </c>
      <c r="N1562" s="18" t="str">
        <f t="shared" si="74"/>
        <v>Weekday</v>
      </c>
      <c r="Q1562" s="18"/>
      <c r="R1562" s="18"/>
      <c r="S1562" s="21"/>
      <c r="T1562"/>
      <c r="U1562" s="6"/>
      <c r="W1562" s="7"/>
      <c r="Z1562" s="4"/>
    </row>
    <row r="1563" spans="1:26" x14ac:dyDescent="0.3">
      <c r="A1563" t="s">
        <v>1934</v>
      </c>
      <c r="B1563" s="22" t="s">
        <v>46</v>
      </c>
      <c r="C1563" s="24" t="s">
        <v>366</v>
      </c>
      <c r="D1563" s="24" t="s">
        <v>323</v>
      </c>
      <c r="E1563" s="24">
        <v>40</v>
      </c>
      <c r="F1563" t="s">
        <v>370</v>
      </c>
      <c r="G1563" s="24" t="s">
        <v>31</v>
      </c>
      <c r="H1563" s="24" t="s">
        <v>18</v>
      </c>
      <c r="I1563" s="24">
        <v>6150</v>
      </c>
      <c r="J1563" s="24">
        <v>4</v>
      </c>
      <c r="K1563" s="25">
        <f t="shared" si="72"/>
        <v>24600</v>
      </c>
      <c r="L1563" s="26">
        <v>45412</v>
      </c>
      <c r="M1563" s="24" t="str">
        <f t="shared" si="73"/>
        <v>Tuesday</v>
      </c>
      <c r="N1563" s="24" t="str">
        <f t="shared" si="74"/>
        <v>Weekday</v>
      </c>
      <c r="Q1563" s="24"/>
      <c r="R1563" s="24"/>
      <c r="S1563" s="27"/>
      <c r="T1563"/>
      <c r="U1563" s="6"/>
      <c r="W1563" s="7"/>
      <c r="Z1563" s="4"/>
    </row>
    <row r="1564" spans="1:26" x14ac:dyDescent="0.3">
      <c r="A1564" t="s">
        <v>1935</v>
      </c>
      <c r="B1564" s="16" t="s">
        <v>272</v>
      </c>
      <c r="C1564" s="18" t="s">
        <v>20</v>
      </c>
      <c r="D1564" s="18" t="s">
        <v>322</v>
      </c>
      <c r="E1564" s="18">
        <v>36</v>
      </c>
      <c r="F1564" t="s">
        <v>370</v>
      </c>
      <c r="G1564" s="18" t="s">
        <v>24</v>
      </c>
      <c r="H1564" s="18" t="s">
        <v>14</v>
      </c>
      <c r="I1564" s="18">
        <v>184500</v>
      </c>
      <c r="J1564" s="18">
        <v>2</v>
      </c>
      <c r="K1564" s="19">
        <f t="shared" si="72"/>
        <v>369000</v>
      </c>
      <c r="L1564" s="20">
        <v>45325</v>
      </c>
      <c r="M1564" s="18" t="str">
        <f t="shared" si="73"/>
        <v>Saturday</v>
      </c>
      <c r="N1564" s="18" t="str">
        <f t="shared" si="74"/>
        <v>Weekend</v>
      </c>
      <c r="Q1564" s="18"/>
      <c r="R1564" s="18"/>
      <c r="S1564" s="21"/>
      <c r="T1564"/>
      <c r="U1564" s="6"/>
      <c r="W1564" s="7"/>
      <c r="Z1564" s="4"/>
    </row>
    <row r="1565" spans="1:26" x14ac:dyDescent="0.3">
      <c r="A1565" t="s">
        <v>1936</v>
      </c>
      <c r="B1565" s="22" t="s">
        <v>82</v>
      </c>
      <c r="C1565" s="24" t="s">
        <v>11</v>
      </c>
      <c r="D1565" s="24" t="s">
        <v>322</v>
      </c>
      <c r="E1565" s="24">
        <v>64</v>
      </c>
      <c r="F1565" t="s">
        <v>370</v>
      </c>
      <c r="G1565" s="24" t="s">
        <v>42</v>
      </c>
      <c r="H1565" s="24" t="s">
        <v>14</v>
      </c>
      <c r="I1565" s="24">
        <v>98400</v>
      </c>
      <c r="J1565" s="24">
        <v>5</v>
      </c>
      <c r="K1565" s="25">
        <f t="shared" si="72"/>
        <v>492000</v>
      </c>
      <c r="L1565" s="26">
        <v>45443</v>
      </c>
      <c r="M1565" s="24" t="str">
        <f t="shared" si="73"/>
        <v>Friday</v>
      </c>
      <c r="N1565" s="24" t="str">
        <f t="shared" si="74"/>
        <v>Weekend</v>
      </c>
      <c r="Q1565" s="24"/>
      <c r="R1565" s="24"/>
      <c r="S1565" s="27"/>
      <c r="T1565"/>
      <c r="U1565" s="6"/>
      <c r="W1565" s="7"/>
      <c r="Z1565" s="4"/>
    </row>
    <row r="1566" spans="1:26" x14ac:dyDescent="0.3">
      <c r="A1566" t="s">
        <v>1937</v>
      </c>
      <c r="B1566" s="16" t="s">
        <v>72</v>
      </c>
      <c r="C1566" s="18" t="s">
        <v>11</v>
      </c>
      <c r="D1566" s="18" t="s">
        <v>328</v>
      </c>
      <c r="E1566" s="18">
        <v>23</v>
      </c>
      <c r="F1566" t="s">
        <v>373</v>
      </c>
      <c r="G1566" s="18" t="s">
        <v>42</v>
      </c>
      <c r="H1566" s="18" t="s">
        <v>14</v>
      </c>
      <c r="I1566" s="18">
        <v>98400</v>
      </c>
      <c r="J1566" s="18">
        <v>5</v>
      </c>
      <c r="K1566" s="19">
        <f t="shared" si="72"/>
        <v>492000</v>
      </c>
      <c r="L1566" s="20">
        <v>45600</v>
      </c>
      <c r="M1566" s="18" t="str">
        <f t="shared" si="73"/>
        <v>Monday</v>
      </c>
      <c r="N1566" s="18" t="str">
        <f t="shared" si="74"/>
        <v>Weekday</v>
      </c>
      <c r="Q1566" s="18"/>
      <c r="R1566" s="18"/>
      <c r="S1566" s="21"/>
      <c r="T1566"/>
      <c r="U1566" s="6"/>
      <c r="W1566" s="7"/>
      <c r="Z1566" s="4"/>
    </row>
    <row r="1567" spans="1:26" x14ac:dyDescent="0.3">
      <c r="A1567" t="s">
        <v>1938</v>
      </c>
      <c r="B1567" s="22" t="s">
        <v>157</v>
      </c>
      <c r="C1567" s="24" t="s">
        <v>11</v>
      </c>
      <c r="D1567" s="24" t="s">
        <v>322</v>
      </c>
      <c r="E1567" s="24">
        <v>60</v>
      </c>
      <c r="F1567" t="s">
        <v>373</v>
      </c>
      <c r="G1567" s="24" t="s">
        <v>32</v>
      </c>
      <c r="H1567" s="24" t="s">
        <v>18</v>
      </c>
      <c r="I1567" s="24">
        <v>3690</v>
      </c>
      <c r="J1567" s="24">
        <v>2</v>
      </c>
      <c r="K1567" s="25">
        <f t="shared" si="72"/>
        <v>7380</v>
      </c>
      <c r="L1567" s="26">
        <v>45300</v>
      </c>
      <c r="M1567" s="24" t="str">
        <f t="shared" si="73"/>
        <v>Tuesday</v>
      </c>
      <c r="N1567" s="24" t="str">
        <f t="shared" si="74"/>
        <v>Weekday</v>
      </c>
      <c r="Q1567" s="24"/>
      <c r="R1567" s="24"/>
      <c r="S1567" s="27"/>
      <c r="T1567"/>
      <c r="U1567" s="6"/>
      <c r="W1567" s="7"/>
      <c r="Z1567" s="4"/>
    </row>
    <row r="1568" spans="1:26" x14ac:dyDescent="0.3">
      <c r="A1568" t="s">
        <v>1939</v>
      </c>
      <c r="B1568" s="16" t="s">
        <v>263</v>
      </c>
      <c r="C1568" s="18" t="s">
        <v>366</v>
      </c>
      <c r="D1568" s="18" t="s">
        <v>322</v>
      </c>
      <c r="E1568" s="18">
        <v>26</v>
      </c>
      <c r="F1568" t="s">
        <v>373</v>
      </c>
      <c r="G1568" s="18" t="s">
        <v>13</v>
      </c>
      <c r="H1568" s="18" t="s">
        <v>14</v>
      </c>
      <c r="I1568" s="18">
        <v>36900</v>
      </c>
      <c r="J1568" s="18">
        <v>1</v>
      </c>
      <c r="K1568" s="19">
        <f t="shared" si="72"/>
        <v>36900</v>
      </c>
      <c r="L1568" s="20">
        <v>45410</v>
      </c>
      <c r="M1568" s="18" t="str">
        <f t="shared" si="73"/>
        <v>Sunday</v>
      </c>
      <c r="N1568" s="18" t="str">
        <f t="shared" si="74"/>
        <v>Weekday</v>
      </c>
      <c r="Q1568" s="18"/>
      <c r="R1568" s="18"/>
      <c r="S1568" s="21"/>
      <c r="T1568"/>
      <c r="U1568" s="6"/>
      <c r="W1568" s="7"/>
      <c r="Z1568" s="4"/>
    </row>
    <row r="1569" spans="1:26" x14ac:dyDescent="0.3">
      <c r="A1569" t="s">
        <v>1940</v>
      </c>
      <c r="B1569" s="22" t="s">
        <v>174</v>
      </c>
      <c r="C1569" s="24" t="s">
        <v>11</v>
      </c>
      <c r="D1569" s="24" t="s">
        <v>322</v>
      </c>
      <c r="E1569" s="24">
        <v>57</v>
      </c>
      <c r="F1569" t="s">
        <v>375</v>
      </c>
      <c r="G1569" s="24" t="s">
        <v>24</v>
      </c>
      <c r="H1569" s="24" t="s">
        <v>14</v>
      </c>
      <c r="I1569" s="24">
        <v>184500</v>
      </c>
      <c r="J1569" s="24">
        <v>3</v>
      </c>
      <c r="K1569" s="25">
        <f t="shared" si="72"/>
        <v>553500</v>
      </c>
      <c r="L1569" s="26">
        <v>45539</v>
      </c>
      <c r="M1569" s="24" t="str">
        <f t="shared" si="73"/>
        <v>Wednesday</v>
      </c>
      <c r="N1569" s="24" t="str">
        <f t="shared" si="74"/>
        <v>Weekday</v>
      </c>
      <c r="Q1569" s="24"/>
      <c r="R1569" s="24"/>
      <c r="S1569" s="27"/>
      <c r="T1569"/>
      <c r="U1569" s="6"/>
      <c r="W1569" s="7"/>
      <c r="Z1569" s="4"/>
    </row>
    <row r="1570" spans="1:26" x14ac:dyDescent="0.3">
      <c r="A1570" t="s">
        <v>1941</v>
      </c>
      <c r="B1570" s="16" t="s">
        <v>49</v>
      </c>
      <c r="C1570" s="18" t="s">
        <v>20</v>
      </c>
      <c r="D1570" s="18" t="s">
        <v>323</v>
      </c>
      <c r="E1570" s="18">
        <v>57</v>
      </c>
      <c r="F1570" t="s">
        <v>381</v>
      </c>
      <c r="G1570" s="18" t="s">
        <v>13</v>
      </c>
      <c r="H1570" s="18" t="s">
        <v>14</v>
      </c>
      <c r="I1570" s="18">
        <v>36900</v>
      </c>
      <c r="J1570" s="18">
        <v>2</v>
      </c>
      <c r="K1570" s="19">
        <f t="shared" si="72"/>
        <v>73800</v>
      </c>
      <c r="L1570" s="20">
        <v>45333</v>
      </c>
      <c r="M1570" s="18" t="str">
        <f t="shared" si="73"/>
        <v>Sunday</v>
      </c>
      <c r="N1570" s="18" t="str">
        <f t="shared" si="74"/>
        <v>Weekday</v>
      </c>
      <c r="Q1570" s="18"/>
      <c r="R1570" s="18"/>
      <c r="S1570" s="21"/>
      <c r="T1570"/>
      <c r="U1570" s="6"/>
      <c r="W1570" s="7"/>
      <c r="Z1570" s="4"/>
    </row>
    <row r="1571" spans="1:26" x14ac:dyDescent="0.3">
      <c r="A1571" t="s">
        <v>1942</v>
      </c>
      <c r="B1571" s="22" t="s">
        <v>209</v>
      </c>
      <c r="C1571" s="24" t="s">
        <v>11</v>
      </c>
      <c r="D1571" s="24" t="s">
        <v>329</v>
      </c>
      <c r="E1571" s="24">
        <v>63</v>
      </c>
      <c r="F1571" t="s">
        <v>375</v>
      </c>
      <c r="G1571" s="24" t="s">
        <v>26</v>
      </c>
      <c r="H1571" s="24" t="s">
        <v>27</v>
      </c>
      <c r="I1571" s="24">
        <v>24600</v>
      </c>
      <c r="J1571" s="24">
        <v>5</v>
      </c>
      <c r="K1571" s="25">
        <f t="shared" si="72"/>
        <v>123000</v>
      </c>
      <c r="L1571" s="26">
        <v>45294</v>
      </c>
      <c r="M1571" s="24" t="str">
        <f t="shared" si="73"/>
        <v>Wednesday</v>
      </c>
      <c r="N1571" s="24" t="str">
        <f t="shared" si="74"/>
        <v>Weekday</v>
      </c>
      <c r="Q1571" s="24"/>
      <c r="R1571" s="24"/>
      <c r="S1571" s="27"/>
      <c r="T1571"/>
      <c r="U1571" s="6"/>
      <c r="W1571" s="7"/>
      <c r="Z1571" s="4"/>
    </row>
    <row r="1572" spans="1:26" x14ac:dyDescent="0.3">
      <c r="A1572" t="s">
        <v>1943</v>
      </c>
      <c r="B1572" s="16" t="s">
        <v>216</v>
      </c>
      <c r="C1572" s="18" t="s">
        <v>11</v>
      </c>
      <c r="D1572" s="18" t="s">
        <v>323</v>
      </c>
      <c r="E1572" s="18">
        <v>67</v>
      </c>
      <c r="F1572" t="s">
        <v>375</v>
      </c>
      <c r="G1572" s="18" t="s">
        <v>42</v>
      </c>
      <c r="H1572" s="18" t="s">
        <v>14</v>
      </c>
      <c r="I1572" s="18">
        <v>98400</v>
      </c>
      <c r="J1572" s="18">
        <v>3</v>
      </c>
      <c r="K1572" s="19">
        <f t="shared" si="72"/>
        <v>295200</v>
      </c>
      <c r="L1572" s="20">
        <v>45609</v>
      </c>
      <c r="M1572" s="18" t="str">
        <f t="shared" si="73"/>
        <v>Wednesday</v>
      </c>
      <c r="N1572" s="18" t="str">
        <f t="shared" si="74"/>
        <v>Weekday</v>
      </c>
      <c r="Q1572" s="18"/>
      <c r="R1572" s="18"/>
      <c r="S1572" s="21"/>
      <c r="T1572"/>
      <c r="U1572" s="6"/>
      <c r="W1572" s="7"/>
      <c r="Z1572" s="4"/>
    </row>
    <row r="1573" spans="1:26" x14ac:dyDescent="0.3">
      <c r="A1573" t="s">
        <v>1944</v>
      </c>
      <c r="B1573" s="22" t="s">
        <v>259</v>
      </c>
      <c r="C1573" s="24" t="s">
        <v>366</v>
      </c>
      <c r="D1573" s="24" t="s">
        <v>328</v>
      </c>
      <c r="E1573" s="24">
        <v>58</v>
      </c>
      <c r="F1573" t="s">
        <v>370</v>
      </c>
      <c r="G1573" s="24" t="s">
        <v>24</v>
      </c>
      <c r="H1573" s="24" t="s">
        <v>14</v>
      </c>
      <c r="I1573" s="24">
        <v>184500</v>
      </c>
      <c r="J1573" s="24">
        <v>4</v>
      </c>
      <c r="K1573" s="25">
        <f t="shared" si="72"/>
        <v>738000</v>
      </c>
      <c r="L1573" s="26">
        <v>45622</v>
      </c>
      <c r="M1573" s="24" t="str">
        <f t="shared" si="73"/>
        <v>Tuesday</v>
      </c>
      <c r="N1573" s="24" t="str">
        <f t="shared" si="74"/>
        <v>Weekday</v>
      </c>
      <c r="Q1573" s="24"/>
      <c r="R1573" s="24"/>
      <c r="S1573" s="27"/>
      <c r="T1573"/>
      <c r="U1573" s="6"/>
      <c r="W1573" s="7"/>
      <c r="Z1573" s="4"/>
    </row>
    <row r="1574" spans="1:26" x14ac:dyDescent="0.3">
      <c r="A1574" t="s">
        <v>1945</v>
      </c>
      <c r="B1574" s="16" t="s">
        <v>241</v>
      </c>
      <c r="C1574" s="18" t="s">
        <v>11</v>
      </c>
      <c r="D1574" s="18" t="s">
        <v>322</v>
      </c>
      <c r="E1574" s="18">
        <v>56</v>
      </c>
      <c r="F1574" t="s">
        <v>370</v>
      </c>
      <c r="G1574" s="18" t="s">
        <v>32</v>
      </c>
      <c r="H1574" s="18" t="s">
        <v>18</v>
      </c>
      <c r="I1574" s="18">
        <v>3690</v>
      </c>
      <c r="J1574" s="18">
        <v>2</v>
      </c>
      <c r="K1574" s="19">
        <f t="shared" si="72"/>
        <v>7380</v>
      </c>
      <c r="L1574" s="20">
        <v>45497</v>
      </c>
      <c r="M1574" s="18" t="str">
        <f t="shared" si="73"/>
        <v>Wednesday</v>
      </c>
      <c r="N1574" s="18" t="str">
        <f t="shared" si="74"/>
        <v>Weekday</v>
      </c>
      <c r="Q1574" s="18"/>
      <c r="R1574" s="18"/>
      <c r="S1574" s="21"/>
      <c r="T1574"/>
      <c r="U1574" s="6"/>
      <c r="W1574" s="7"/>
      <c r="Z1574" s="4"/>
    </row>
    <row r="1575" spans="1:26" x14ac:dyDescent="0.3">
      <c r="A1575" t="s">
        <v>1946</v>
      </c>
      <c r="B1575" s="22" t="s">
        <v>56</v>
      </c>
      <c r="C1575" s="24" t="s">
        <v>20</v>
      </c>
      <c r="D1575" s="24" t="s">
        <v>329</v>
      </c>
      <c r="E1575" s="24">
        <v>53</v>
      </c>
      <c r="F1575" t="s">
        <v>375</v>
      </c>
      <c r="G1575" s="24" t="s">
        <v>42</v>
      </c>
      <c r="H1575" s="24" t="s">
        <v>14</v>
      </c>
      <c r="I1575" s="24">
        <v>98400</v>
      </c>
      <c r="J1575" s="24">
        <v>2</v>
      </c>
      <c r="K1575" s="25">
        <f t="shared" si="72"/>
        <v>196800</v>
      </c>
      <c r="L1575" s="26">
        <v>45520</v>
      </c>
      <c r="M1575" s="24" t="str">
        <f t="shared" si="73"/>
        <v>Friday</v>
      </c>
      <c r="N1575" s="24" t="str">
        <f t="shared" si="74"/>
        <v>Weekend</v>
      </c>
      <c r="Q1575" s="24"/>
      <c r="R1575" s="24"/>
      <c r="S1575" s="27"/>
      <c r="T1575"/>
      <c r="U1575" s="6"/>
      <c r="W1575" s="7"/>
      <c r="Z1575" s="4"/>
    </row>
    <row r="1576" spans="1:26" x14ac:dyDescent="0.3">
      <c r="A1576" t="s">
        <v>1947</v>
      </c>
      <c r="B1576" s="16" t="s">
        <v>317</v>
      </c>
      <c r="C1576" s="18" t="s">
        <v>11</v>
      </c>
      <c r="D1576" s="18" t="s">
        <v>322</v>
      </c>
      <c r="E1576" s="18">
        <v>18</v>
      </c>
      <c r="F1576" t="s">
        <v>381</v>
      </c>
      <c r="G1576" s="18" t="s">
        <v>32</v>
      </c>
      <c r="H1576" s="18" t="s">
        <v>18</v>
      </c>
      <c r="I1576" s="18">
        <v>3690</v>
      </c>
      <c r="J1576" s="18">
        <v>4</v>
      </c>
      <c r="K1576" s="19">
        <f t="shared" si="72"/>
        <v>14760</v>
      </c>
      <c r="L1576" s="20">
        <v>45376</v>
      </c>
      <c r="M1576" s="18" t="str">
        <f t="shared" si="73"/>
        <v>Monday</v>
      </c>
      <c r="N1576" s="18" t="str">
        <f t="shared" si="74"/>
        <v>Weekday</v>
      </c>
      <c r="Q1576" s="18"/>
      <c r="R1576" s="18"/>
      <c r="S1576" s="21"/>
      <c r="T1576"/>
      <c r="U1576" s="6"/>
      <c r="W1576" s="7"/>
      <c r="Z1576" s="4"/>
    </row>
    <row r="1577" spans="1:26" x14ac:dyDescent="0.3">
      <c r="A1577" t="s">
        <v>1948</v>
      </c>
      <c r="B1577" s="22" t="s">
        <v>209</v>
      </c>
      <c r="C1577" s="24" t="s">
        <v>11</v>
      </c>
      <c r="D1577" s="24" t="s">
        <v>329</v>
      </c>
      <c r="E1577" s="24">
        <v>63</v>
      </c>
      <c r="F1577" t="s">
        <v>373</v>
      </c>
      <c r="G1577" s="24" t="s">
        <v>31</v>
      </c>
      <c r="H1577" s="24" t="s">
        <v>18</v>
      </c>
      <c r="I1577" s="24">
        <v>6150</v>
      </c>
      <c r="J1577" s="24">
        <v>1</v>
      </c>
      <c r="K1577" s="25">
        <f t="shared" si="72"/>
        <v>6150</v>
      </c>
      <c r="L1577" s="26">
        <v>45441</v>
      </c>
      <c r="M1577" s="24" t="str">
        <f t="shared" si="73"/>
        <v>Wednesday</v>
      </c>
      <c r="N1577" s="24" t="str">
        <f t="shared" si="74"/>
        <v>Weekday</v>
      </c>
      <c r="Q1577" s="24"/>
      <c r="R1577" s="24"/>
      <c r="S1577" s="27"/>
      <c r="T1577"/>
      <c r="U1577" s="6"/>
      <c r="W1577" s="7"/>
      <c r="Z1577" s="4"/>
    </row>
    <row r="1578" spans="1:26" x14ac:dyDescent="0.3">
      <c r="A1578" t="s">
        <v>1949</v>
      </c>
      <c r="B1578" s="16" t="s">
        <v>92</v>
      </c>
      <c r="C1578" s="18" t="s">
        <v>11</v>
      </c>
      <c r="D1578" s="18" t="s">
        <v>323</v>
      </c>
      <c r="E1578" s="18">
        <v>50</v>
      </c>
      <c r="F1578" t="s">
        <v>375</v>
      </c>
      <c r="G1578" s="18" t="s">
        <v>26</v>
      </c>
      <c r="H1578" s="18" t="s">
        <v>27</v>
      </c>
      <c r="I1578" s="18">
        <v>24600</v>
      </c>
      <c r="J1578" s="18">
        <v>4</v>
      </c>
      <c r="K1578" s="19">
        <f t="shared" si="72"/>
        <v>98400</v>
      </c>
      <c r="L1578" s="20">
        <v>45366</v>
      </c>
      <c r="M1578" s="18" t="str">
        <f t="shared" si="73"/>
        <v>Friday</v>
      </c>
      <c r="N1578" s="18" t="str">
        <f t="shared" si="74"/>
        <v>Weekend</v>
      </c>
      <c r="Q1578" s="18"/>
      <c r="R1578" s="18"/>
      <c r="S1578" s="21"/>
      <c r="T1578"/>
      <c r="U1578" s="6"/>
      <c r="W1578" s="7"/>
      <c r="Z1578" s="4"/>
    </row>
    <row r="1579" spans="1:26" x14ac:dyDescent="0.3">
      <c r="A1579" t="s">
        <v>1950</v>
      </c>
      <c r="B1579" s="22" t="s">
        <v>49</v>
      </c>
      <c r="C1579" s="24" t="s">
        <v>20</v>
      </c>
      <c r="D1579" s="24" t="s">
        <v>323</v>
      </c>
      <c r="E1579" s="24">
        <v>57</v>
      </c>
      <c r="F1579" t="s">
        <v>375</v>
      </c>
      <c r="G1579" s="24" t="s">
        <v>13</v>
      </c>
      <c r="H1579" s="24" t="s">
        <v>14</v>
      </c>
      <c r="I1579" s="24">
        <v>36900</v>
      </c>
      <c r="J1579" s="24">
        <v>3</v>
      </c>
      <c r="K1579" s="25">
        <f t="shared" si="72"/>
        <v>110700</v>
      </c>
      <c r="L1579" s="26">
        <v>45405</v>
      </c>
      <c r="M1579" s="24" t="str">
        <f t="shared" si="73"/>
        <v>Tuesday</v>
      </c>
      <c r="N1579" s="24" t="str">
        <f t="shared" si="74"/>
        <v>Weekday</v>
      </c>
      <c r="Q1579" s="24"/>
      <c r="R1579" s="24"/>
      <c r="S1579" s="27"/>
      <c r="T1579"/>
      <c r="U1579" s="6"/>
      <c r="W1579" s="7"/>
      <c r="Z1579" s="4"/>
    </row>
    <row r="1580" spans="1:26" x14ac:dyDescent="0.3">
      <c r="A1580" t="s">
        <v>1951</v>
      </c>
      <c r="B1580" s="16" t="s">
        <v>294</v>
      </c>
      <c r="C1580" s="18" t="s">
        <v>11</v>
      </c>
      <c r="D1580" s="18" t="s">
        <v>327</v>
      </c>
      <c r="E1580" s="18">
        <v>41</v>
      </c>
      <c r="F1580" t="s">
        <v>381</v>
      </c>
      <c r="G1580" s="18" t="s">
        <v>42</v>
      </c>
      <c r="H1580" s="18" t="s">
        <v>14</v>
      </c>
      <c r="I1580" s="18">
        <v>98400</v>
      </c>
      <c r="J1580" s="18">
        <v>5</v>
      </c>
      <c r="K1580" s="19">
        <f t="shared" si="72"/>
        <v>492000</v>
      </c>
      <c r="L1580" s="20">
        <v>45404</v>
      </c>
      <c r="M1580" s="18" t="str">
        <f t="shared" si="73"/>
        <v>Monday</v>
      </c>
      <c r="N1580" s="18" t="str">
        <f t="shared" si="74"/>
        <v>Weekday</v>
      </c>
      <c r="Q1580" s="18"/>
      <c r="R1580" s="18"/>
      <c r="S1580" s="21"/>
      <c r="T1580"/>
      <c r="U1580" s="6"/>
      <c r="W1580" s="7"/>
      <c r="Z1580" s="4"/>
    </row>
    <row r="1581" spans="1:26" x14ac:dyDescent="0.3">
      <c r="A1581" t="s">
        <v>1952</v>
      </c>
      <c r="B1581" s="22" t="s">
        <v>199</v>
      </c>
      <c r="C1581" s="24" t="s">
        <v>20</v>
      </c>
      <c r="D1581" s="24" t="s">
        <v>323</v>
      </c>
      <c r="E1581" s="24">
        <v>45</v>
      </c>
      <c r="F1581" t="s">
        <v>381</v>
      </c>
      <c r="G1581" s="24" t="s">
        <v>31</v>
      </c>
      <c r="H1581" s="24" t="s">
        <v>18</v>
      </c>
      <c r="I1581" s="24">
        <v>6150</v>
      </c>
      <c r="J1581" s="24">
        <v>5</v>
      </c>
      <c r="K1581" s="25">
        <f t="shared" si="72"/>
        <v>30750</v>
      </c>
      <c r="L1581" s="26">
        <v>45326</v>
      </c>
      <c r="M1581" s="24" t="str">
        <f t="shared" si="73"/>
        <v>Sunday</v>
      </c>
      <c r="N1581" s="24" t="str">
        <f t="shared" si="74"/>
        <v>Weekday</v>
      </c>
      <c r="Q1581" s="24"/>
      <c r="R1581" s="24"/>
      <c r="S1581" s="27"/>
      <c r="T1581"/>
      <c r="U1581" s="6"/>
      <c r="W1581" s="7"/>
      <c r="Z1581" s="4"/>
    </row>
    <row r="1582" spans="1:26" x14ac:dyDescent="0.3">
      <c r="A1582" t="s">
        <v>1953</v>
      </c>
      <c r="B1582" s="16" t="s">
        <v>247</v>
      </c>
      <c r="C1582" s="18" t="s">
        <v>20</v>
      </c>
      <c r="D1582" s="18" t="s">
        <v>322</v>
      </c>
      <c r="E1582" s="18">
        <v>57</v>
      </c>
      <c r="F1582" t="s">
        <v>375</v>
      </c>
      <c r="G1582" s="18" t="s">
        <v>32</v>
      </c>
      <c r="H1582" s="18" t="s">
        <v>18</v>
      </c>
      <c r="I1582" s="18">
        <v>3690</v>
      </c>
      <c r="J1582" s="18">
        <v>2</v>
      </c>
      <c r="K1582" s="19">
        <f t="shared" si="72"/>
        <v>7380</v>
      </c>
      <c r="L1582" s="20">
        <v>45618</v>
      </c>
      <c r="M1582" s="18" t="str">
        <f t="shared" si="73"/>
        <v>Friday</v>
      </c>
      <c r="N1582" s="18" t="str">
        <f t="shared" si="74"/>
        <v>Weekend</v>
      </c>
      <c r="Q1582" s="18"/>
      <c r="R1582" s="18"/>
      <c r="S1582" s="21"/>
      <c r="T1582"/>
      <c r="U1582" s="6"/>
      <c r="W1582" s="7"/>
      <c r="Z1582" s="4"/>
    </row>
    <row r="1583" spans="1:26" x14ac:dyDescent="0.3">
      <c r="A1583" t="s">
        <v>1954</v>
      </c>
      <c r="B1583" s="22" t="s">
        <v>223</v>
      </c>
      <c r="C1583" s="24" t="s">
        <v>366</v>
      </c>
      <c r="D1583" s="24" t="s">
        <v>326</v>
      </c>
      <c r="E1583" s="24">
        <v>37</v>
      </c>
      <c r="F1583" t="s">
        <v>370</v>
      </c>
      <c r="G1583" s="24" t="s">
        <v>17</v>
      </c>
      <c r="H1583" s="24" t="s">
        <v>18</v>
      </c>
      <c r="I1583" s="24">
        <v>12300</v>
      </c>
      <c r="J1583" s="24">
        <v>5</v>
      </c>
      <c r="K1583" s="25">
        <f t="shared" si="72"/>
        <v>61500</v>
      </c>
      <c r="L1583" s="26">
        <v>45324</v>
      </c>
      <c r="M1583" s="24" t="str">
        <f t="shared" si="73"/>
        <v>Friday</v>
      </c>
      <c r="N1583" s="24" t="str">
        <f t="shared" si="74"/>
        <v>Weekend</v>
      </c>
      <c r="Q1583" s="24"/>
      <c r="R1583" s="24"/>
      <c r="S1583" s="27"/>
      <c r="T1583"/>
      <c r="U1583" s="6"/>
      <c r="W1583" s="7"/>
      <c r="Z1583" s="4"/>
    </row>
    <row r="1584" spans="1:26" x14ac:dyDescent="0.3">
      <c r="A1584" t="s">
        <v>1955</v>
      </c>
      <c r="B1584" s="16" t="s">
        <v>25</v>
      </c>
      <c r="C1584" s="18" t="s">
        <v>11</v>
      </c>
      <c r="D1584" s="18" t="s">
        <v>323</v>
      </c>
      <c r="E1584" s="18">
        <v>64</v>
      </c>
      <c r="F1584" t="s">
        <v>370</v>
      </c>
      <c r="G1584" s="18" t="s">
        <v>32</v>
      </c>
      <c r="H1584" s="18" t="s">
        <v>18</v>
      </c>
      <c r="I1584" s="18">
        <v>3690</v>
      </c>
      <c r="J1584" s="18">
        <v>2</v>
      </c>
      <c r="K1584" s="19">
        <f t="shared" si="72"/>
        <v>7380</v>
      </c>
      <c r="L1584" s="20">
        <v>45350</v>
      </c>
      <c r="M1584" s="18" t="str">
        <f t="shared" si="73"/>
        <v>Wednesday</v>
      </c>
      <c r="N1584" s="18" t="str">
        <f t="shared" si="74"/>
        <v>Weekday</v>
      </c>
      <c r="Q1584" s="18"/>
      <c r="R1584" s="18"/>
      <c r="S1584" s="21"/>
      <c r="T1584"/>
      <c r="U1584" s="6"/>
      <c r="W1584" s="7"/>
      <c r="Z1584" s="4"/>
    </row>
    <row r="1585" spans="1:26" x14ac:dyDescent="0.3">
      <c r="A1585" t="s">
        <v>1956</v>
      </c>
      <c r="B1585" s="22" t="s">
        <v>279</v>
      </c>
      <c r="C1585" s="24" t="s">
        <v>20</v>
      </c>
      <c r="D1585" s="24" t="s">
        <v>323</v>
      </c>
      <c r="E1585" s="24">
        <v>29</v>
      </c>
      <c r="F1585" t="s">
        <v>375</v>
      </c>
      <c r="G1585" s="24" t="s">
        <v>42</v>
      </c>
      <c r="H1585" s="24" t="s">
        <v>14</v>
      </c>
      <c r="I1585" s="24">
        <v>98400</v>
      </c>
      <c r="J1585" s="24">
        <v>2</v>
      </c>
      <c r="K1585" s="25">
        <f t="shared" si="72"/>
        <v>196800</v>
      </c>
      <c r="L1585" s="26">
        <v>45393</v>
      </c>
      <c r="M1585" s="24" t="str">
        <f t="shared" si="73"/>
        <v>Thursday</v>
      </c>
      <c r="N1585" s="24" t="str">
        <f t="shared" si="74"/>
        <v>Weekday</v>
      </c>
      <c r="Q1585" s="24"/>
      <c r="R1585" s="24"/>
      <c r="S1585" s="27"/>
      <c r="T1585"/>
      <c r="U1585" s="6"/>
      <c r="W1585" s="7"/>
      <c r="Z1585" s="4"/>
    </row>
    <row r="1586" spans="1:26" x14ac:dyDescent="0.3">
      <c r="A1586" t="s">
        <v>1957</v>
      </c>
      <c r="B1586" s="16" t="s">
        <v>149</v>
      </c>
      <c r="C1586" s="18" t="s">
        <v>366</v>
      </c>
      <c r="D1586" s="18" t="s">
        <v>322</v>
      </c>
      <c r="E1586" s="18">
        <v>58</v>
      </c>
      <c r="F1586" t="s">
        <v>370</v>
      </c>
      <c r="G1586" s="18" t="s">
        <v>24</v>
      </c>
      <c r="H1586" s="18" t="s">
        <v>14</v>
      </c>
      <c r="I1586" s="18">
        <v>184500</v>
      </c>
      <c r="J1586" s="18">
        <v>3</v>
      </c>
      <c r="K1586" s="19">
        <f t="shared" si="72"/>
        <v>553500</v>
      </c>
      <c r="L1586" s="20">
        <v>45340</v>
      </c>
      <c r="M1586" s="18" t="str">
        <f t="shared" si="73"/>
        <v>Sunday</v>
      </c>
      <c r="N1586" s="18" t="str">
        <f t="shared" si="74"/>
        <v>Weekday</v>
      </c>
      <c r="Q1586" s="18"/>
      <c r="R1586" s="18"/>
      <c r="S1586" s="21"/>
      <c r="T1586"/>
      <c r="U1586" s="6"/>
      <c r="W1586" s="7"/>
      <c r="Z1586" s="4"/>
    </row>
    <row r="1587" spans="1:26" x14ac:dyDescent="0.3">
      <c r="A1587" t="s">
        <v>1958</v>
      </c>
      <c r="B1587" s="22" t="s">
        <v>219</v>
      </c>
      <c r="C1587" s="24" t="s">
        <v>11</v>
      </c>
      <c r="D1587" s="24" t="s">
        <v>328</v>
      </c>
      <c r="E1587" s="24">
        <v>69</v>
      </c>
      <c r="F1587" t="s">
        <v>381</v>
      </c>
      <c r="G1587" s="24" t="s">
        <v>26</v>
      </c>
      <c r="H1587" s="24" t="s">
        <v>27</v>
      </c>
      <c r="I1587" s="24">
        <v>24600</v>
      </c>
      <c r="J1587" s="24">
        <v>2</v>
      </c>
      <c r="K1587" s="25">
        <f t="shared" si="72"/>
        <v>49200</v>
      </c>
      <c r="L1587" s="26">
        <v>45348</v>
      </c>
      <c r="M1587" s="24" t="str">
        <f t="shared" si="73"/>
        <v>Monday</v>
      </c>
      <c r="N1587" s="24" t="str">
        <f t="shared" si="74"/>
        <v>Weekday</v>
      </c>
      <c r="Q1587" s="24"/>
      <c r="R1587" s="24"/>
      <c r="S1587" s="27"/>
      <c r="T1587"/>
      <c r="U1587" s="6"/>
      <c r="W1587" s="7"/>
      <c r="Z1587" s="4"/>
    </row>
    <row r="1588" spans="1:26" x14ac:dyDescent="0.3">
      <c r="A1588" t="s">
        <v>1959</v>
      </c>
      <c r="B1588" s="16" t="s">
        <v>255</v>
      </c>
      <c r="C1588" s="18" t="s">
        <v>20</v>
      </c>
      <c r="D1588" s="18" t="s">
        <v>322</v>
      </c>
      <c r="E1588" s="18">
        <v>56</v>
      </c>
      <c r="F1588" t="s">
        <v>373</v>
      </c>
      <c r="G1588" s="18" t="s">
        <v>13</v>
      </c>
      <c r="H1588" s="18" t="s">
        <v>14</v>
      </c>
      <c r="I1588" s="18">
        <v>36900</v>
      </c>
      <c r="J1588" s="18">
        <v>4</v>
      </c>
      <c r="K1588" s="19">
        <f t="shared" si="72"/>
        <v>147600</v>
      </c>
      <c r="L1588" s="20">
        <v>45398</v>
      </c>
      <c r="M1588" s="18" t="str">
        <f t="shared" si="73"/>
        <v>Tuesday</v>
      </c>
      <c r="N1588" s="18" t="str">
        <f t="shared" si="74"/>
        <v>Weekday</v>
      </c>
      <c r="Q1588" s="18"/>
      <c r="R1588" s="18"/>
      <c r="S1588" s="21"/>
      <c r="T1588"/>
      <c r="U1588" s="6"/>
      <c r="W1588" s="7"/>
      <c r="Z1588" s="4"/>
    </row>
    <row r="1589" spans="1:26" x14ac:dyDescent="0.3">
      <c r="A1589" t="s">
        <v>1960</v>
      </c>
      <c r="B1589" s="22" t="s">
        <v>34</v>
      </c>
      <c r="C1589" s="24" t="s">
        <v>20</v>
      </c>
      <c r="D1589" s="24" t="s">
        <v>323</v>
      </c>
      <c r="E1589" s="24">
        <v>49</v>
      </c>
      <c r="F1589" t="s">
        <v>381</v>
      </c>
      <c r="G1589" s="24" t="s">
        <v>13</v>
      </c>
      <c r="H1589" s="24" t="s">
        <v>14</v>
      </c>
      <c r="I1589" s="24">
        <v>36900</v>
      </c>
      <c r="J1589" s="24">
        <v>4</v>
      </c>
      <c r="K1589" s="25">
        <f t="shared" si="72"/>
        <v>147600</v>
      </c>
      <c r="L1589" s="26">
        <v>45583</v>
      </c>
      <c r="M1589" s="24" t="str">
        <f t="shared" si="73"/>
        <v>Friday</v>
      </c>
      <c r="N1589" s="24" t="str">
        <f t="shared" si="74"/>
        <v>Weekend</v>
      </c>
      <c r="Q1589" s="24"/>
      <c r="R1589" s="24"/>
      <c r="S1589" s="27"/>
      <c r="T1589"/>
      <c r="U1589" s="6"/>
      <c r="W1589" s="7"/>
      <c r="Z1589" s="4"/>
    </row>
    <row r="1590" spans="1:26" x14ac:dyDescent="0.3">
      <c r="A1590" t="s">
        <v>1961</v>
      </c>
      <c r="B1590" s="16" t="s">
        <v>10</v>
      </c>
      <c r="C1590" s="18" t="s">
        <v>11</v>
      </c>
      <c r="D1590" s="18" t="s">
        <v>322</v>
      </c>
      <c r="E1590" s="18">
        <v>21</v>
      </c>
      <c r="F1590" t="s">
        <v>373</v>
      </c>
      <c r="G1590" s="18" t="s">
        <v>42</v>
      </c>
      <c r="H1590" s="18" t="s">
        <v>14</v>
      </c>
      <c r="I1590" s="18">
        <v>98400</v>
      </c>
      <c r="J1590" s="18">
        <v>1</v>
      </c>
      <c r="K1590" s="19">
        <f t="shared" si="72"/>
        <v>98400</v>
      </c>
      <c r="L1590" s="20">
        <v>45312</v>
      </c>
      <c r="M1590" s="18" t="str">
        <f t="shared" si="73"/>
        <v>Sunday</v>
      </c>
      <c r="N1590" s="18" t="str">
        <f t="shared" si="74"/>
        <v>Weekday</v>
      </c>
      <c r="Q1590" s="18"/>
      <c r="R1590" s="18"/>
      <c r="S1590" s="21"/>
      <c r="T1590"/>
      <c r="U1590" s="6"/>
      <c r="W1590" s="7"/>
      <c r="Z1590" s="4"/>
    </row>
    <row r="1591" spans="1:26" x14ac:dyDescent="0.3">
      <c r="A1591" t="s">
        <v>1962</v>
      </c>
      <c r="B1591" s="22" t="s">
        <v>181</v>
      </c>
      <c r="C1591" s="24" t="s">
        <v>20</v>
      </c>
      <c r="D1591" s="24" t="s">
        <v>325</v>
      </c>
      <c r="E1591" s="24">
        <v>61</v>
      </c>
      <c r="F1591" t="s">
        <v>375</v>
      </c>
      <c r="G1591" s="24" t="s">
        <v>31</v>
      </c>
      <c r="H1591" s="24" t="s">
        <v>18</v>
      </c>
      <c r="I1591" s="24">
        <v>6150</v>
      </c>
      <c r="J1591" s="24">
        <v>5</v>
      </c>
      <c r="K1591" s="25">
        <f t="shared" si="72"/>
        <v>30750</v>
      </c>
      <c r="L1591" s="26">
        <v>45611</v>
      </c>
      <c r="M1591" s="24" t="str">
        <f t="shared" si="73"/>
        <v>Friday</v>
      </c>
      <c r="N1591" s="24" t="str">
        <f t="shared" si="74"/>
        <v>Weekend</v>
      </c>
      <c r="Q1591" s="24"/>
      <c r="R1591" s="24"/>
      <c r="S1591" s="27"/>
      <c r="T1591"/>
      <c r="U1591" s="6"/>
      <c r="W1591" s="7"/>
      <c r="Z1591" s="4"/>
    </row>
    <row r="1592" spans="1:26" x14ac:dyDescent="0.3">
      <c r="A1592" t="s">
        <v>1963</v>
      </c>
      <c r="B1592" s="16" t="s">
        <v>200</v>
      </c>
      <c r="C1592" s="18" t="s">
        <v>366</v>
      </c>
      <c r="D1592" s="18" t="s">
        <v>322</v>
      </c>
      <c r="E1592" s="18">
        <v>46</v>
      </c>
      <c r="F1592" t="s">
        <v>375</v>
      </c>
      <c r="G1592" s="18" t="s">
        <v>24</v>
      </c>
      <c r="H1592" s="18" t="s">
        <v>14</v>
      </c>
      <c r="I1592" s="18">
        <v>184500</v>
      </c>
      <c r="J1592" s="18">
        <v>1</v>
      </c>
      <c r="K1592" s="19">
        <f t="shared" si="72"/>
        <v>184500</v>
      </c>
      <c r="L1592" s="20">
        <v>45515</v>
      </c>
      <c r="M1592" s="18" t="str">
        <f t="shared" si="73"/>
        <v>Sunday</v>
      </c>
      <c r="N1592" s="18" t="str">
        <f t="shared" si="74"/>
        <v>Weekday</v>
      </c>
      <c r="Q1592" s="18"/>
      <c r="R1592" s="18"/>
      <c r="S1592" s="21"/>
      <c r="T1592"/>
      <c r="U1592" s="6"/>
      <c r="W1592" s="7"/>
      <c r="Z1592" s="4"/>
    </row>
    <row r="1593" spans="1:26" x14ac:dyDescent="0.3">
      <c r="A1593" t="s">
        <v>1964</v>
      </c>
      <c r="B1593" s="22" t="s">
        <v>312</v>
      </c>
      <c r="C1593" s="24" t="s">
        <v>20</v>
      </c>
      <c r="D1593" s="24" t="s">
        <v>323</v>
      </c>
      <c r="E1593" s="24">
        <v>29</v>
      </c>
      <c r="F1593" t="s">
        <v>373</v>
      </c>
      <c r="G1593" s="24" t="s">
        <v>42</v>
      </c>
      <c r="H1593" s="24" t="s">
        <v>14</v>
      </c>
      <c r="I1593" s="24">
        <v>98400</v>
      </c>
      <c r="J1593" s="24">
        <v>5</v>
      </c>
      <c r="K1593" s="25">
        <f t="shared" si="72"/>
        <v>492000</v>
      </c>
      <c r="L1593" s="26">
        <v>45404</v>
      </c>
      <c r="M1593" s="24" t="str">
        <f t="shared" si="73"/>
        <v>Monday</v>
      </c>
      <c r="N1593" s="24" t="str">
        <f t="shared" si="74"/>
        <v>Weekday</v>
      </c>
      <c r="Q1593" s="24"/>
      <c r="R1593" s="24"/>
      <c r="S1593" s="27"/>
      <c r="T1593"/>
      <c r="U1593" s="6"/>
      <c r="W1593" s="7"/>
      <c r="Z1593" s="4"/>
    </row>
    <row r="1594" spans="1:26" x14ac:dyDescent="0.3">
      <c r="A1594" t="s">
        <v>1965</v>
      </c>
      <c r="B1594" s="16" t="s">
        <v>212</v>
      </c>
      <c r="C1594" s="18" t="s">
        <v>20</v>
      </c>
      <c r="D1594" s="18" t="s">
        <v>322</v>
      </c>
      <c r="E1594" s="18">
        <v>54</v>
      </c>
      <c r="F1594" t="s">
        <v>370</v>
      </c>
      <c r="G1594" s="18" t="s">
        <v>32</v>
      </c>
      <c r="H1594" s="18" t="s">
        <v>18</v>
      </c>
      <c r="I1594" s="18">
        <v>3690</v>
      </c>
      <c r="J1594" s="18">
        <v>4</v>
      </c>
      <c r="K1594" s="19">
        <f t="shared" si="72"/>
        <v>14760</v>
      </c>
      <c r="L1594" s="20">
        <v>45495</v>
      </c>
      <c r="M1594" s="18" t="str">
        <f t="shared" si="73"/>
        <v>Monday</v>
      </c>
      <c r="N1594" s="18" t="str">
        <f t="shared" si="74"/>
        <v>Weekday</v>
      </c>
      <c r="Q1594" s="18"/>
      <c r="R1594" s="18"/>
      <c r="S1594" s="21"/>
      <c r="T1594"/>
      <c r="U1594" s="6"/>
      <c r="W1594" s="7"/>
      <c r="Z1594" s="4"/>
    </row>
    <row r="1595" spans="1:26" x14ac:dyDescent="0.3">
      <c r="A1595" t="s">
        <v>1966</v>
      </c>
      <c r="B1595" s="22" t="s">
        <v>139</v>
      </c>
      <c r="C1595" s="24" t="s">
        <v>366</v>
      </c>
      <c r="D1595" s="24" t="s">
        <v>324</v>
      </c>
      <c r="E1595" s="24">
        <v>27</v>
      </c>
      <c r="F1595" t="s">
        <v>375</v>
      </c>
      <c r="G1595" s="24" t="s">
        <v>13</v>
      </c>
      <c r="H1595" s="24" t="s">
        <v>14</v>
      </c>
      <c r="I1595" s="24">
        <v>36900</v>
      </c>
      <c r="J1595" s="24">
        <v>3</v>
      </c>
      <c r="K1595" s="25">
        <f t="shared" si="72"/>
        <v>110700</v>
      </c>
      <c r="L1595" s="26">
        <v>45596</v>
      </c>
      <c r="M1595" s="24" t="str">
        <f t="shared" si="73"/>
        <v>Thursday</v>
      </c>
      <c r="N1595" s="24" t="str">
        <f t="shared" si="74"/>
        <v>Weekday</v>
      </c>
      <c r="Q1595" s="24"/>
      <c r="R1595" s="24"/>
      <c r="S1595" s="27"/>
      <c r="T1595"/>
      <c r="U1595" s="6"/>
      <c r="W1595" s="7"/>
      <c r="Z1595" s="4"/>
    </row>
    <row r="1596" spans="1:26" x14ac:dyDescent="0.3">
      <c r="A1596" t="s">
        <v>1967</v>
      </c>
      <c r="B1596" s="16" t="s">
        <v>175</v>
      </c>
      <c r="C1596" s="18" t="s">
        <v>20</v>
      </c>
      <c r="D1596" s="18" t="s">
        <v>322</v>
      </c>
      <c r="E1596" s="18">
        <v>60</v>
      </c>
      <c r="F1596" t="s">
        <v>373</v>
      </c>
      <c r="G1596" s="18" t="s">
        <v>31</v>
      </c>
      <c r="H1596" s="18" t="s">
        <v>18</v>
      </c>
      <c r="I1596" s="18">
        <v>6150</v>
      </c>
      <c r="J1596" s="18">
        <v>5</v>
      </c>
      <c r="K1596" s="19">
        <f t="shared" si="72"/>
        <v>30750</v>
      </c>
      <c r="L1596" s="20">
        <v>45537</v>
      </c>
      <c r="M1596" s="18" t="str">
        <f t="shared" si="73"/>
        <v>Monday</v>
      </c>
      <c r="N1596" s="18" t="str">
        <f t="shared" si="74"/>
        <v>Weekday</v>
      </c>
      <c r="Q1596" s="18"/>
      <c r="R1596" s="18"/>
      <c r="S1596" s="21"/>
      <c r="T1596"/>
      <c r="U1596" s="6"/>
      <c r="W1596" s="7"/>
      <c r="Z1596" s="4"/>
    </row>
    <row r="1597" spans="1:26" x14ac:dyDescent="0.3">
      <c r="A1597" t="s">
        <v>1968</v>
      </c>
      <c r="B1597" s="22" t="s">
        <v>110</v>
      </c>
      <c r="C1597" s="24" t="s">
        <v>11</v>
      </c>
      <c r="D1597" s="24" t="s">
        <v>323</v>
      </c>
      <c r="E1597" s="24">
        <v>25</v>
      </c>
      <c r="F1597" t="s">
        <v>370</v>
      </c>
      <c r="G1597" s="24" t="s">
        <v>26</v>
      </c>
      <c r="H1597" s="24" t="s">
        <v>27</v>
      </c>
      <c r="I1597" s="24">
        <v>24600</v>
      </c>
      <c r="J1597" s="24">
        <v>2</v>
      </c>
      <c r="K1597" s="25">
        <f t="shared" si="72"/>
        <v>49200</v>
      </c>
      <c r="L1597" s="26">
        <v>45406</v>
      </c>
      <c r="M1597" s="24" t="str">
        <f t="shared" si="73"/>
        <v>Wednesday</v>
      </c>
      <c r="N1597" s="24" t="str">
        <f t="shared" si="74"/>
        <v>Weekday</v>
      </c>
      <c r="Q1597" s="24"/>
      <c r="R1597" s="24"/>
      <c r="S1597" s="27"/>
      <c r="T1597"/>
      <c r="U1597" s="6"/>
      <c r="W1597" s="7"/>
      <c r="Z1597" s="4"/>
    </row>
    <row r="1598" spans="1:26" x14ac:dyDescent="0.3">
      <c r="A1598" t="s">
        <v>1969</v>
      </c>
      <c r="B1598" s="16" t="s">
        <v>235</v>
      </c>
      <c r="C1598" s="18" t="s">
        <v>20</v>
      </c>
      <c r="D1598" s="18" t="s">
        <v>326</v>
      </c>
      <c r="E1598" s="18">
        <v>38</v>
      </c>
      <c r="F1598" t="s">
        <v>373</v>
      </c>
      <c r="G1598" s="18" t="s">
        <v>13</v>
      </c>
      <c r="H1598" s="18" t="s">
        <v>14</v>
      </c>
      <c r="I1598" s="18">
        <v>36900</v>
      </c>
      <c r="J1598" s="18">
        <v>3</v>
      </c>
      <c r="K1598" s="19">
        <f t="shared" si="72"/>
        <v>110700</v>
      </c>
      <c r="L1598" s="20">
        <v>45416</v>
      </c>
      <c r="M1598" s="18" t="str">
        <f t="shared" si="73"/>
        <v>Saturday</v>
      </c>
      <c r="N1598" s="18" t="str">
        <f t="shared" si="74"/>
        <v>Weekend</v>
      </c>
      <c r="Q1598" s="18"/>
      <c r="R1598" s="18"/>
      <c r="S1598" s="21"/>
      <c r="T1598"/>
      <c r="U1598" s="6"/>
      <c r="W1598" s="7"/>
      <c r="Z1598" s="4"/>
    </row>
    <row r="1599" spans="1:26" x14ac:dyDescent="0.3">
      <c r="A1599" t="s">
        <v>1970</v>
      </c>
      <c r="B1599" s="22" t="s">
        <v>227</v>
      </c>
      <c r="C1599" s="24" t="s">
        <v>20</v>
      </c>
      <c r="D1599" s="24" t="s">
        <v>325</v>
      </c>
      <c r="E1599" s="24">
        <v>19</v>
      </c>
      <c r="F1599" t="s">
        <v>375</v>
      </c>
      <c r="G1599" s="24" t="s">
        <v>17</v>
      </c>
      <c r="H1599" s="24" t="s">
        <v>18</v>
      </c>
      <c r="I1599" s="24">
        <v>12300</v>
      </c>
      <c r="J1599" s="24">
        <v>4</v>
      </c>
      <c r="K1599" s="25">
        <f t="shared" si="72"/>
        <v>49200</v>
      </c>
      <c r="L1599" s="26">
        <v>45649</v>
      </c>
      <c r="M1599" s="24" t="str">
        <f t="shared" si="73"/>
        <v>Monday</v>
      </c>
      <c r="N1599" s="24" t="str">
        <f t="shared" si="74"/>
        <v>Weekday</v>
      </c>
      <c r="Q1599" s="24"/>
      <c r="R1599" s="24"/>
      <c r="S1599" s="27"/>
      <c r="T1599"/>
      <c r="U1599" s="6"/>
      <c r="W1599" s="7"/>
      <c r="Z1599" s="4"/>
    </row>
    <row r="1600" spans="1:26" x14ac:dyDescent="0.3">
      <c r="A1600" t="s">
        <v>1971</v>
      </c>
      <c r="B1600" s="16" t="s">
        <v>199</v>
      </c>
      <c r="C1600" s="18" t="s">
        <v>20</v>
      </c>
      <c r="D1600" s="18" t="s">
        <v>323</v>
      </c>
      <c r="E1600" s="18">
        <v>45</v>
      </c>
      <c r="F1600" t="s">
        <v>375</v>
      </c>
      <c r="G1600" s="18" t="s">
        <v>13</v>
      </c>
      <c r="H1600" s="18" t="s">
        <v>14</v>
      </c>
      <c r="I1600" s="18">
        <v>36900</v>
      </c>
      <c r="J1600" s="18">
        <v>4</v>
      </c>
      <c r="K1600" s="19">
        <f t="shared" si="72"/>
        <v>147600</v>
      </c>
      <c r="L1600" s="20">
        <v>45562</v>
      </c>
      <c r="M1600" s="18" t="str">
        <f t="shared" si="73"/>
        <v>Friday</v>
      </c>
      <c r="N1600" s="18" t="str">
        <f t="shared" si="74"/>
        <v>Weekend</v>
      </c>
      <c r="Q1600" s="18"/>
      <c r="R1600" s="18"/>
      <c r="S1600" s="21"/>
      <c r="T1600"/>
      <c r="U1600" s="6"/>
      <c r="W1600" s="7"/>
      <c r="Z1600" s="4"/>
    </row>
    <row r="1601" spans="1:26" x14ac:dyDescent="0.3">
      <c r="A1601" t="s">
        <v>1972</v>
      </c>
      <c r="B1601" s="22" t="s">
        <v>89</v>
      </c>
      <c r="C1601" s="24" t="s">
        <v>366</v>
      </c>
      <c r="D1601" s="24" t="s">
        <v>326</v>
      </c>
      <c r="E1601" s="24">
        <v>21</v>
      </c>
      <c r="F1601" t="s">
        <v>381</v>
      </c>
      <c r="G1601" s="24" t="s">
        <v>42</v>
      </c>
      <c r="H1601" s="24" t="s">
        <v>14</v>
      </c>
      <c r="I1601" s="24">
        <v>98400</v>
      </c>
      <c r="J1601" s="24">
        <v>4</v>
      </c>
      <c r="K1601" s="25">
        <f t="shared" si="72"/>
        <v>393600</v>
      </c>
      <c r="L1601" s="26">
        <v>45443</v>
      </c>
      <c r="M1601" s="24" t="str">
        <f t="shared" si="73"/>
        <v>Friday</v>
      </c>
      <c r="N1601" s="24" t="str">
        <f t="shared" si="74"/>
        <v>Weekend</v>
      </c>
      <c r="Q1601" s="24"/>
      <c r="R1601" s="24"/>
      <c r="S1601" s="27"/>
      <c r="T1601"/>
      <c r="U1601" s="6"/>
      <c r="W1601" s="7"/>
      <c r="Z1601" s="4"/>
    </row>
    <row r="1602" spans="1:26" x14ac:dyDescent="0.3">
      <c r="A1602" t="s">
        <v>1973</v>
      </c>
      <c r="B1602" s="16" t="s">
        <v>284</v>
      </c>
      <c r="C1602" s="18" t="s">
        <v>11</v>
      </c>
      <c r="D1602" s="18" t="s">
        <v>322</v>
      </c>
      <c r="E1602" s="18">
        <v>46</v>
      </c>
      <c r="F1602" t="s">
        <v>373</v>
      </c>
      <c r="G1602" s="18" t="s">
        <v>17</v>
      </c>
      <c r="H1602" s="18" t="s">
        <v>18</v>
      </c>
      <c r="I1602" s="18">
        <v>12300</v>
      </c>
      <c r="J1602" s="18">
        <v>4</v>
      </c>
      <c r="K1602" s="19">
        <f t="shared" ref="K1602:K1665" si="75">I1602*J1602</f>
        <v>49200</v>
      </c>
      <c r="L1602" s="20">
        <v>45628</v>
      </c>
      <c r="M1602" s="18" t="str">
        <f t="shared" ref="M1602:M1665" si="76">TEXT(L1602, "dddd")</f>
        <v>Monday</v>
      </c>
      <c r="N1602" s="18" t="str">
        <f t="shared" ref="N1602:N1665" si="77">IF(OR(WEEKDAY(L1602, 2)=5, WEEKDAY(L1602, 2)=6), "Weekend", "Weekday")</f>
        <v>Weekday</v>
      </c>
      <c r="Q1602" s="18"/>
      <c r="R1602" s="18"/>
      <c r="S1602" s="21"/>
      <c r="T1602"/>
      <c r="U1602" s="6"/>
      <c r="W1602" s="7"/>
      <c r="Z1602" s="4"/>
    </row>
    <row r="1603" spans="1:26" x14ac:dyDescent="0.3">
      <c r="A1603" t="s">
        <v>1974</v>
      </c>
      <c r="B1603" s="22" t="s">
        <v>309</v>
      </c>
      <c r="C1603" s="24" t="s">
        <v>366</v>
      </c>
      <c r="D1603" s="24" t="s">
        <v>322</v>
      </c>
      <c r="E1603" s="24">
        <v>38</v>
      </c>
      <c r="F1603" t="s">
        <v>370</v>
      </c>
      <c r="G1603" s="24" t="s">
        <v>26</v>
      </c>
      <c r="H1603" s="24" t="s">
        <v>27</v>
      </c>
      <c r="I1603" s="24">
        <v>24600</v>
      </c>
      <c r="J1603" s="24">
        <v>5</v>
      </c>
      <c r="K1603" s="25">
        <f t="shared" si="75"/>
        <v>123000</v>
      </c>
      <c r="L1603" s="26">
        <v>45621</v>
      </c>
      <c r="M1603" s="24" t="str">
        <f t="shared" si="76"/>
        <v>Monday</v>
      </c>
      <c r="N1603" s="24" t="str">
        <f t="shared" si="77"/>
        <v>Weekday</v>
      </c>
      <c r="Q1603" s="24"/>
      <c r="R1603" s="24"/>
      <c r="S1603" s="27"/>
      <c r="T1603"/>
      <c r="U1603" s="6"/>
      <c r="W1603" s="7"/>
      <c r="Z1603" s="4"/>
    </row>
    <row r="1604" spans="1:26" x14ac:dyDescent="0.3">
      <c r="A1604" t="s">
        <v>1975</v>
      </c>
      <c r="B1604" s="16" t="s">
        <v>116</v>
      </c>
      <c r="C1604" s="18" t="s">
        <v>20</v>
      </c>
      <c r="D1604" s="18" t="s">
        <v>322</v>
      </c>
      <c r="E1604" s="18">
        <v>33</v>
      </c>
      <c r="F1604" t="s">
        <v>375</v>
      </c>
      <c r="G1604" s="18" t="s">
        <v>32</v>
      </c>
      <c r="H1604" s="18" t="s">
        <v>18</v>
      </c>
      <c r="I1604" s="18">
        <v>3690</v>
      </c>
      <c r="J1604" s="18">
        <v>5</v>
      </c>
      <c r="K1604" s="19">
        <f t="shared" si="75"/>
        <v>18450</v>
      </c>
      <c r="L1604" s="20">
        <v>45477</v>
      </c>
      <c r="M1604" s="18" t="str">
        <f t="shared" si="76"/>
        <v>Thursday</v>
      </c>
      <c r="N1604" s="18" t="str">
        <f t="shared" si="77"/>
        <v>Weekday</v>
      </c>
      <c r="Q1604" s="18"/>
      <c r="R1604" s="18"/>
      <c r="S1604" s="21"/>
      <c r="T1604"/>
      <c r="U1604" s="6"/>
      <c r="W1604" s="7"/>
      <c r="Z1604" s="4"/>
    </row>
    <row r="1605" spans="1:26" x14ac:dyDescent="0.3">
      <c r="A1605" t="s">
        <v>1976</v>
      </c>
      <c r="B1605" s="22" t="s">
        <v>224</v>
      </c>
      <c r="C1605" s="24" t="s">
        <v>11</v>
      </c>
      <c r="D1605" s="24" t="s">
        <v>323</v>
      </c>
      <c r="E1605" s="24">
        <v>67</v>
      </c>
      <c r="F1605" t="s">
        <v>381</v>
      </c>
      <c r="G1605" s="24" t="s">
        <v>32</v>
      </c>
      <c r="H1605" s="24" t="s">
        <v>18</v>
      </c>
      <c r="I1605" s="24">
        <v>3690</v>
      </c>
      <c r="J1605" s="24">
        <v>5</v>
      </c>
      <c r="K1605" s="25">
        <f t="shared" si="75"/>
        <v>18450</v>
      </c>
      <c r="L1605" s="26">
        <v>45552</v>
      </c>
      <c r="M1605" s="24" t="str">
        <f t="shared" si="76"/>
        <v>Tuesday</v>
      </c>
      <c r="N1605" s="24" t="str">
        <f t="shared" si="77"/>
        <v>Weekday</v>
      </c>
      <c r="Q1605" s="24"/>
      <c r="R1605" s="24"/>
      <c r="S1605" s="27"/>
      <c r="T1605"/>
      <c r="U1605" s="6"/>
      <c r="W1605" s="7"/>
      <c r="Z1605" s="4"/>
    </row>
    <row r="1606" spans="1:26" x14ac:dyDescent="0.3">
      <c r="A1606" t="s">
        <v>1977</v>
      </c>
      <c r="B1606" s="16" t="s">
        <v>222</v>
      </c>
      <c r="C1606" s="18" t="s">
        <v>11</v>
      </c>
      <c r="D1606" s="18" t="s">
        <v>323</v>
      </c>
      <c r="E1606" s="18">
        <v>18</v>
      </c>
      <c r="F1606" t="s">
        <v>381</v>
      </c>
      <c r="G1606" s="18" t="s">
        <v>26</v>
      </c>
      <c r="H1606" s="18" t="s">
        <v>27</v>
      </c>
      <c r="I1606" s="18">
        <v>24600</v>
      </c>
      <c r="J1606" s="18">
        <v>5</v>
      </c>
      <c r="K1606" s="19">
        <f t="shared" si="75"/>
        <v>123000</v>
      </c>
      <c r="L1606" s="20">
        <v>45481</v>
      </c>
      <c r="M1606" s="18" t="str">
        <f t="shared" si="76"/>
        <v>Monday</v>
      </c>
      <c r="N1606" s="18" t="str">
        <f t="shared" si="77"/>
        <v>Weekday</v>
      </c>
      <c r="Q1606" s="18"/>
      <c r="R1606" s="18"/>
      <c r="S1606" s="21"/>
      <c r="T1606"/>
      <c r="U1606" s="6"/>
      <c r="W1606" s="7"/>
      <c r="Z1606" s="4"/>
    </row>
    <row r="1607" spans="1:26" x14ac:dyDescent="0.3">
      <c r="A1607" t="s">
        <v>1978</v>
      </c>
      <c r="B1607" s="22" t="s">
        <v>166</v>
      </c>
      <c r="C1607" s="24" t="s">
        <v>366</v>
      </c>
      <c r="D1607" s="24" t="s">
        <v>326</v>
      </c>
      <c r="E1607" s="24">
        <v>57</v>
      </c>
      <c r="F1607" t="s">
        <v>370</v>
      </c>
      <c r="G1607" s="24" t="s">
        <v>26</v>
      </c>
      <c r="H1607" s="24" t="s">
        <v>27</v>
      </c>
      <c r="I1607" s="24">
        <v>24600</v>
      </c>
      <c r="J1607" s="24">
        <v>3</v>
      </c>
      <c r="K1607" s="25">
        <f t="shared" si="75"/>
        <v>73800</v>
      </c>
      <c r="L1607" s="26">
        <v>45317</v>
      </c>
      <c r="M1607" s="24" t="str">
        <f t="shared" si="76"/>
        <v>Friday</v>
      </c>
      <c r="N1607" s="24" t="str">
        <f t="shared" si="77"/>
        <v>Weekend</v>
      </c>
      <c r="Q1607" s="24"/>
      <c r="R1607" s="24"/>
      <c r="S1607" s="27"/>
      <c r="T1607"/>
      <c r="U1607" s="6"/>
      <c r="W1607" s="7"/>
      <c r="Z1607" s="4"/>
    </row>
    <row r="1608" spans="1:26" x14ac:dyDescent="0.3">
      <c r="A1608" t="s">
        <v>1979</v>
      </c>
      <c r="B1608" s="16" t="s">
        <v>94</v>
      </c>
      <c r="C1608" s="18" t="s">
        <v>11</v>
      </c>
      <c r="D1608" s="18" t="s">
        <v>326</v>
      </c>
      <c r="E1608" s="18">
        <v>63</v>
      </c>
      <c r="F1608" t="s">
        <v>375</v>
      </c>
      <c r="G1608" s="18" t="s">
        <v>17</v>
      </c>
      <c r="H1608" s="18" t="s">
        <v>18</v>
      </c>
      <c r="I1608" s="18">
        <v>12300</v>
      </c>
      <c r="J1608" s="18">
        <v>4</v>
      </c>
      <c r="K1608" s="19">
        <f t="shared" si="75"/>
        <v>49200</v>
      </c>
      <c r="L1608" s="20">
        <v>45339</v>
      </c>
      <c r="M1608" s="18" t="str">
        <f t="shared" si="76"/>
        <v>Saturday</v>
      </c>
      <c r="N1608" s="18" t="str">
        <f t="shared" si="77"/>
        <v>Weekend</v>
      </c>
      <c r="Q1608" s="18"/>
      <c r="R1608" s="18"/>
      <c r="S1608" s="21"/>
      <c r="T1608"/>
      <c r="U1608" s="6"/>
      <c r="W1608" s="7"/>
      <c r="Z1608" s="4"/>
    </row>
    <row r="1609" spans="1:26" x14ac:dyDescent="0.3">
      <c r="A1609" t="s">
        <v>1980</v>
      </c>
      <c r="B1609" s="22" t="s">
        <v>179</v>
      </c>
      <c r="C1609" s="24" t="s">
        <v>11</v>
      </c>
      <c r="D1609" s="24" t="s">
        <v>322</v>
      </c>
      <c r="E1609" s="24">
        <v>29</v>
      </c>
      <c r="F1609" t="s">
        <v>381</v>
      </c>
      <c r="G1609" s="24" t="s">
        <v>42</v>
      </c>
      <c r="H1609" s="24" t="s">
        <v>14</v>
      </c>
      <c r="I1609" s="24">
        <v>98400</v>
      </c>
      <c r="J1609" s="24">
        <v>5</v>
      </c>
      <c r="K1609" s="25">
        <f t="shared" si="75"/>
        <v>492000</v>
      </c>
      <c r="L1609" s="26">
        <v>45528</v>
      </c>
      <c r="M1609" s="24" t="str">
        <f t="shared" si="76"/>
        <v>Saturday</v>
      </c>
      <c r="N1609" s="24" t="str">
        <f t="shared" si="77"/>
        <v>Weekend</v>
      </c>
      <c r="Q1609" s="24"/>
      <c r="R1609" s="24"/>
      <c r="S1609" s="27"/>
      <c r="T1609"/>
      <c r="U1609" s="6"/>
      <c r="W1609" s="7"/>
      <c r="Z1609" s="4"/>
    </row>
    <row r="1610" spans="1:26" x14ac:dyDescent="0.3">
      <c r="A1610" t="s">
        <v>1981</v>
      </c>
      <c r="B1610" s="16" t="s">
        <v>309</v>
      </c>
      <c r="C1610" s="18" t="s">
        <v>366</v>
      </c>
      <c r="D1610" s="18" t="s">
        <v>322</v>
      </c>
      <c r="E1610" s="18">
        <v>38</v>
      </c>
      <c r="F1610" t="s">
        <v>370</v>
      </c>
      <c r="G1610" s="18" t="s">
        <v>32</v>
      </c>
      <c r="H1610" s="18" t="s">
        <v>18</v>
      </c>
      <c r="I1610" s="18">
        <v>3690</v>
      </c>
      <c r="J1610" s="18">
        <v>2</v>
      </c>
      <c r="K1610" s="19">
        <f t="shared" si="75"/>
        <v>7380</v>
      </c>
      <c r="L1610" s="20">
        <v>45527</v>
      </c>
      <c r="M1610" s="18" t="str">
        <f t="shared" si="76"/>
        <v>Friday</v>
      </c>
      <c r="N1610" s="18" t="str">
        <f t="shared" si="77"/>
        <v>Weekend</v>
      </c>
      <c r="Q1610" s="18"/>
      <c r="R1610" s="18"/>
      <c r="S1610" s="21"/>
      <c r="T1610"/>
      <c r="U1610" s="6"/>
      <c r="W1610" s="7"/>
      <c r="Z1610" s="4"/>
    </row>
    <row r="1611" spans="1:26" x14ac:dyDescent="0.3">
      <c r="A1611" t="s">
        <v>1982</v>
      </c>
      <c r="B1611" s="22" t="s">
        <v>174</v>
      </c>
      <c r="C1611" s="24" t="s">
        <v>11</v>
      </c>
      <c r="D1611" s="24" t="s">
        <v>322</v>
      </c>
      <c r="E1611" s="24">
        <v>57</v>
      </c>
      <c r="F1611" t="s">
        <v>370</v>
      </c>
      <c r="G1611" s="24" t="s">
        <v>32</v>
      </c>
      <c r="H1611" s="24" t="s">
        <v>18</v>
      </c>
      <c r="I1611" s="24">
        <v>3690</v>
      </c>
      <c r="J1611" s="24">
        <v>3</v>
      </c>
      <c r="K1611" s="25">
        <f t="shared" si="75"/>
        <v>11070</v>
      </c>
      <c r="L1611" s="26">
        <v>45649</v>
      </c>
      <c r="M1611" s="24" t="str">
        <f t="shared" si="76"/>
        <v>Monday</v>
      </c>
      <c r="N1611" s="24" t="str">
        <f t="shared" si="77"/>
        <v>Weekday</v>
      </c>
      <c r="Q1611" s="24"/>
      <c r="R1611" s="24"/>
      <c r="S1611" s="27"/>
      <c r="T1611"/>
      <c r="U1611" s="6"/>
      <c r="W1611" s="7"/>
      <c r="Z1611" s="4"/>
    </row>
    <row r="1612" spans="1:26" x14ac:dyDescent="0.3">
      <c r="A1612" t="s">
        <v>1983</v>
      </c>
      <c r="B1612" s="16" t="s">
        <v>117</v>
      </c>
      <c r="C1612" s="18" t="s">
        <v>20</v>
      </c>
      <c r="D1612" s="18" t="s">
        <v>322</v>
      </c>
      <c r="E1612" s="18">
        <v>22</v>
      </c>
      <c r="F1612" t="s">
        <v>373</v>
      </c>
      <c r="G1612" s="18" t="s">
        <v>31</v>
      </c>
      <c r="H1612" s="18" t="s">
        <v>18</v>
      </c>
      <c r="I1612" s="18">
        <v>6150</v>
      </c>
      <c r="J1612" s="18">
        <v>5</v>
      </c>
      <c r="K1612" s="19">
        <f t="shared" si="75"/>
        <v>30750</v>
      </c>
      <c r="L1612" s="20">
        <v>45314</v>
      </c>
      <c r="M1612" s="18" t="str">
        <f t="shared" si="76"/>
        <v>Tuesday</v>
      </c>
      <c r="N1612" s="18" t="str">
        <f t="shared" si="77"/>
        <v>Weekday</v>
      </c>
      <c r="Q1612" s="18"/>
      <c r="R1612" s="18"/>
      <c r="S1612" s="21"/>
      <c r="T1612"/>
      <c r="U1612" s="6"/>
      <c r="W1612" s="7"/>
      <c r="Z1612" s="4"/>
    </row>
    <row r="1613" spans="1:26" x14ac:dyDescent="0.3">
      <c r="A1613" t="s">
        <v>1984</v>
      </c>
      <c r="B1613" s="22" t="s">
        <v>85</v>
      </c>
      <c r="C1613" s="24" t="s">
        <v>11</v>
      </c>
      <c r="D1613" s="24" t="s">
        <v>326</v>
      </c>
      <c r="E1613" s="24">
        <v>36</v>
      </c>
      <c r="F1613" t="s">
        <v>373</v>
      </c>
      <c r="G1613" s="24" t="s">
        <v>42</v>
      </c>
      <c r="H1613" s="24" t="s">
        <v>14</v>
      </c>
      <c r="I1613" s="24">
        <v>98400</v>
      </c>
      <c r="J1613" s="24">
        <v>3</v>
      </c>
      <c r="K1613" s="25">
        <f t="shared" si="75"/>
        <v>295200</v>
      </c>
      <c r="L1613" s="26">
        <v>45310</v>
      </c>
      <c r="M1613" s="24" t="str">
        <f t="shared" si="76"/>
        <v>Friday</v>
      </c>
      <c r="N1613" s="24" t="str">
        <f t="shared" si="77"/>
        <v>Weekend</v>
      </c>
      <c r="Q1613" s="24"/>
      <c r="R1613" s="24"/>
      <c r="S1613" s="27"/>
      <c r="T1613"/>
      <c r="U1613" s="6"/>
      <c r="W1613" s="7"/>
      <c r="Z1613" s="4"/>
    </row>
    <row r="1614" spans="1:26" x14ac:dyDescent="0.3">
      <c r="A1614" t="s">
        <v>1985</v>
      </c>
      <c r="B1614" s="16" t="s">
        <v>28</v>
      </c>
      <c r="C1614" s="18" t="s">
        <v>11</v>
      </c>
      <c r="D1614" s="18" t="s">
        <v>328</v>
      </c>
      <c r="E1614" s="18">
        <v>27</v>
      </c>
      <c r="F1614" t="s">
        <v>375</v>
      </c>
      <c r="G1614" s="18" t="s">
        <v>31</v>
      </c>
      <c r="H1614" s="18" t="s">
        <v>18</v>
      </c>
      <c r="I1614" s="18">
        <v>6150</v>
      </c>
      <c r="J1614" s="18">
        <v>1</v>
      </c>
      <c r="K1614" s="19">
        <f t="shared" si="75"/>
        <v>6150</v>
      </c>
      <c r="L1614" s="20">
        <v>45445</v>
      </c>
      <c r="M1614" s="18" t="str">
        <f t="shared" si="76"/>
        <v>Sunday</v>
      </c>
      <c r="N1614" s="18" t="str">
        <f t="shared" si="77"/>
        <v>Weekday</v>
      </c>
      <c r="Q1614" s="18"/>
      <c r="R1614" s="18"/>
      <c r="S1614" s="21"/>
      <c r="T1614"/>
      <c r="U1614" s="6"/>
      <c r="W1614" s="7"/>
      <c r="Z1614" s="4"/>
    </row>
    <row r="1615" spans="1:26" x14ac:dyDescent="0.3">
      <c r="A1615" t="s">
        <v>1986</v>
      </c>
      <c r="B1615" s="22" t="s">
        <v>54</v>
      </c>
      <c r="C1615" s="24" t="s">
        <v>11</v>
      </c>
      <c r="D1615" s="24" t="s">
        <v>322</v>
      </c>
      <c r="E1615" s="24">
        <v>57</v>
      </c>
      <c r="F1615" t="s">
        <v>381</v>
      </c>
      <c r="G1615" s="24" t="s">
        <v>17</v>
      </c>
      <c r="H1615" s="24" t="s">
        <v>18</v>
      </c>
      <c r="I1615" s="24">
        <v>12300</v>
      </c>
      <c r="J1615" s="24">
        <v>3</v>
      </c>
      <c r="K1615" s="25">
        <f t="shared" si="75"/>
        <v>36900</v>
      </c>
      <c r="L1615" s="26">
        <v>45392</v>
      </c>
      <c r="M1615" s="24" t="str">
        <f t="shared" si="76"/>
        <v>Wednesday</v>
      </c>
      <c r="N1615" s="24" t="str">
        <f t="shared" si="77"/>
        <v>Weekday</v>
      </c>
      <c r="Q1615" s="24"/>
      <c r="R1615" s="24"/>
      <c r="S1615" s="27"/>
      <c r="T1615"/>
      <c r="U1615" s="6"/>
      <c r="W1615" s="7"/>
      <c r="Z1615" s="4"/>
    </row>
    <row r="1616" spans="1:26" x14ac:dyDescent="0.3">
      <c r="A1616" t="s">
        <v>1987</v>
      </c>
      <c r="B1616" s="16" t="s">
        <v>154</v>
      </c>
      <c r="C1616" s="18" t="s">
        <v>11</v>
      </c>
      <c r="D1616" s="18" t="s">
        <v>328</v>
      </c>
      <c r="E1616" s="18">
        <v>53</v>
      </c>
      <c r="F1616" t="s">
        <v>381</v>
      </c>
      <c r="G1616" s="18" t="s">
        <v>17</v>
      </c>
      <c r="H1616" s="18" t="s">
        <v>18</v>
      </c>
      <c r="I1616" s="18">
        <v>12300</v>
      </c>
      <c r="J1616" s="18">
        <v>1</v>
      </c>
      <c r="K1616" s="19">
        <f t="shared" si="75"/>
        <v>12300</v>
      </c>
      <c r="L1616" s="20">
        <v>45329</v>
      </c>
      <c r="M1616" s="18" t="str">
        <f t="shared" si="76"/>
        <v>Wednesday</v>
      </c>
      <c r="N1616" s="18" t="str">
        <f t="shared" si="77"/>
        <v>Weekday</v>
      </c>
      <c r="Q1616" s="18"/>
      <c r="R1616" s="18"/>
      <c r="S1616" s="21"/>
      <c r="T1616"/>
      <c r="U1616" s="6"/>
      <c r="W1616" s="7"/>
      <c r="Z1616" s="4"/>
    </row>
    <row r="1617" spans="1:26" x14ac:dyDescent="0.3">
      <c r="A1617" t="s">
        <v>1988</v>
      </c>
      <c r="B1617" s="22" t="s">
        <v>303</v>
      </c>
      <c r="C1617" s="24" t="s">
        <v>20</v>
      </c>
      <c r="D1617" s="24" t="s">
        <v>322</v>
      </c>
      <c r="E1617" s="24">
        <v>60</v>
      </c>
      <c r="F1617" t="s">
        <v>373</v>
      </c>
      <c r="G1617" s="24" t="s">
        <v>13</v>
      </c>
      <c r="H1617" s="24" t="s">
        <v>14</v>
      </c>
      <c r="I1617" s="24">
        <v>36900</v>
      </c>
      <c r="J1617" s="24">
        <v>3</v>
      </c>
      <c r="K1617" s="25">
        <f t="shared" si="75"/>
        <v>110700</v>
      </c>
      <c r="L1617" s="26">
        <v>45646</v>
      </c>
      <c r="M1617" s="24" t="str">
        <f t="shared" si="76"/>
        <v>Friday</v>
      </c>
      <c r="N1617" s="24" t="str">
        <f t="shared" si="77"/>
        <v>Weekend</v>
      </c>
      <c r="Q1617" s="24"/>
      <c r="R1617" s="24"/>
      <c r="S1617" s="27"/>
      <c r="T1617"/>
      <c r="U1617" s="6"/>
      <c r="W1617" s="7"/>
      <c r="Z1617" s="4"/>
    </row>
    <row r="1618" spans="1:26" x14ac:dyDescent="0.3">
      <c r="A1618" t="s">
        <v>1989</v>
      </c>
      <c r="B1618" s="16" t="s">
        <v>313</v>
      </c>
      <c r="C1618" s="18" t="s">
        <v>366</v>
      </c>
      <c r="D1618" s="18" t="s">
        <v>325</v>
      </c>
      <c r="E1618" s="18">
        <v>29</v>
      </c>
      <c r="F1618" t="s">
        <v>375</v>
      </c>
      <c r="G1618" s="18" t="s">
        <v>42</v>
      </c>
      <c r="H1618" s="18" t="s">
        <v>14</v>
      </c>
      <c r="I1618" s="18">
        <v>98400</v>
      </c>
      <c r="J1618" s="18">
        <v>2</v>
      </c>
      <c r="K1618" s="19">
        <f t="shared" si="75"/>
        <v>196800</v>
      </c>
      <c r="L1618" s="20">
        <v>45548</v>
      </c>
      <c r="M1618" s="18" t="str">
        <f t="shared" si="76"/>
        <v>Friday</v>
      </c>
      <c r="N1618" s="18" t="str">
        <f t="shared" si="77"/>
        <v>Weekend</v>
      </c>
      <c r="Q1618" s="18"/>
      <c r="R1618" s="18"/>
      <c r="S1618" s="21"/>
      <c r="T1618"/>
      <c r="U1618" s="6"/>
      <c r="W1618" s="7"/>
      <c r="Z1618" s="4"/>
    </row>
    <row r="1619" spans="1:26" x14ac:dyDescent="0.3">
      <c r="A1619" t="s">
        <v>1990</v>
      </c>
      <c r="B1619" s="22" t="s">
        <v>147</v>
      </c>
      <c r="C1619" s="24" t="s">
        <v>11</v>
      </c>
      <c r="D1619" s="24" t="s">
        <v>322</v>
      </c>
      <c r="E1619" s="24">
        <v>30</v>
      </c>
      <c r="F1619" t="s">
        <v>381</v>
      </c>
      <c r="G1619" s="24" t="s">
        <v>31</v>
      </c>
      <c r="H1619" s="24" t="s">
        <v>18</v>
      </c>
      <c r="I1619" s="24">
        <v>6150</v>
      </c>
      <c r="J1619" s="24">
        <v>3</v>
      </c>
      <c r="K1619" s="25">
        <f t="shared" si="75"/>
        <v>18450</v>
      </c>
      <c r="L1619" s="26">
        <v>45412</v>
      </c>
      <c r="M1619" s="24" t="str">
        <f t="shared" si="76"/>
        <v>Tuesday</v>
      </c>
      <c r="N1619" s="24" t="str">
        <f t="shared" si="77"/>
        <v>Weekday</v>
      </c>
      <c r="Q1619" s="24"/>
      <c r="R1619" s="24"/>
      <c r="S1619" s="27"/>
      <c r="T1619"/>
      <c r="U1619" s="6"/>
      <c r="W1619" s="7"/>
      <c r="Z1619" s="4"/>
    </row>
    <row r="1620" spans="1:26" x14ac:dyDescent="0.3">
      <c r="A1620" t="s">
        <v>1991</v>
      </c>
      <c r="B1620" s="16" t="s">
        <v>221</v>
      </c>
      <c r="C1620" s="18" t="s">
        <v>20</v>
      </c>
      <c r="D1620" s="18" t="s">
        <v>323</v>
      </c>
      <c r="E1620" s="18">
        <v>41</v>
      </c>
      <c r="F1620" t="s">
        <v>370</v>
      </c>
      <c r="G1620" s="18" t="s">
        <v>26</v>
      </c>
      <c r="H1620" s="18" t="s">
        <v>27</v>
      </c>
      <c r="I1620" s="18">
        <v>24600</v>
      </c>
      <c r="J1620" s="18">
        <v>4</v>
      </c>
      <c r="K1620" s="19">
        <f t="shared" si="75"/>
        <v>98400</v>
      </c>
      <c r="L1620" s="20">
        <v>45546</v>
      </c>
      <c r="M1620" s="18" t="str">
        <f t="shared" si="76"/>
        <v>Wednesday</v>
      </c>
      <c r="N1620" s="18" t="str">
        <f t="shared" si="77"/>
        <v>Weekday</v>
      </c>
      <c r="Q1620" s="18"/>
      <c r="R1620" s="18"/>
      <c r="S1620" s="21"/>
      <c r="T1620"/>
      <c r="U1620" s="6"/>
      <c r="W1620" s="7"/>
      <c r="Z1620" s="4"/>
    </row>
    <row r="1621" spans="1:26" x14ac:dyDescent="0.3">
      <c r="A1621" t="s">
        <v>1992</v>
      </c>
      <c r="B1621" s="22" t="s">
        <v>308</v>
      </c>
      <c r="C1621" s="24" t="s">
        <v>366</v>
      </c>
      <c r="D1621" s="24" t="s">
        <v>324</v>
      </c>
      <c r="E1621" s="24">
        <v>44</v>
      </c>
      <c r="F1621" t="s">
        <v>370</v>
      </c>
      <c r="G1621" s="24" t="s">
        <v>13</v>
      </c>
      <c r="H1621" s="24" t="s">
        <v>14</v>
      </c>
      <c r="I1621" s="24">
        <v>36900</v>
      </c>
      <c r="J1621" s="24">
        <v>1</v>
      </c>
      <c r="K1621" s="25">
        <f t="shared" si="75"/>
        <v>36900</v>
      </c>
      <c r="L1621" s="26">
        <v>45371</v>
      </c>
      <c r="M1621" s="24" t="str">
        <f t="shared" si="76"/>
        <v>Wednesday</v>
      </c>
      <c r="N1621" s="24" t="str">
        <f t="shared" si="77"/>
        <v>Weekday</v>
      </c>
      <c r="Q1621" s="24"/>
      <c r="R1621" s="24"/>
      <c r="S1621" s="27"/>
      <c r="T1621"/>
      <c r="U1621" s="6"/>
      <c r="W1621" s="7"/>
      <c r="Z1621" s="4"/>
    </row>
    <row r="1622" spans="1:26" x14ac:dyDescent="0.3">
      <c r="A1622" t="s">
        <v>1993</v>
      </c>
      <c r="B1622" s="16" t="s">
        <v>252</v>
      </c>
      <c r="C1622" s="18" t="s">
        <v>20</v>
      </c>
      <c r="D1622" s="18" t="s">
        <v>329</v>
      </c>
      <c r="E1622" s="18">
        <v>56</v>
      </c>
      <c r="F1622" t="s">
        <v>370</v>
      </c>
      <c r="G1622" s="18" t="s">
        <v>42</v>
      </c>
      <c r="H1622" s="18" t="s">
        <v>14</v>
      </c>
      <c r="I1622" s="18">
        <v>98400</v>
      </c>
      <c r="J1622" s="18">
        <v>2</v>
      </c>
      <c r="K1622" s="19">
        <f t="shared" si="75"/>
        <v>196800</v>
      </c>
      <c r="L1622" s="20">
        <v>45405</v>
      </c>
      <c r="M1622" s="18" t="str">
        <f t="shared" si="76"/>
        <v>Tuesday</v>
      </c>
      <c r="N1622" s="18" t="str">
        <f t="shared" si="77"/>
        <v>Weekday</v>
      </c>
      <c r="Q1622" s="18"/>
      <c r="R1622" s="18"/>
      <c r="S1622" s="21"/>
      <c r="T1622"/>
      <c r="U1622" s="6"/>
      <c r="W1622" s="7"/>
      <c r="Z1622" s="4"/>
    </row>
    <row r="1623" spans="1:26" x14ac:dyDescent="0.3">
      <c r="A1623" t="s">
        <v>1994</v>
      </c>
      <c r="B1623" s="22" t="s">
        <v>214</v>
      </c>
      <c r="C1623" s="24" t="s">
        <v>11</v>
      </c>
      <c r="D1623" s="24" t="s">
        <v>325</v>
      </c>
      <c r="E1623" s="24">
        <v>67</v>
      </c>
      <c r="F1623" t="s">
        <v>370</v>
      </c>
      <c r="G1623" s="24" t="s">
        <v>42</v>
      </c>
      <c r="H1623" s="24" t="s">
        <v>14</v>
      </c>
      <c r="I1623" s="24">
        <v>98400</v>
      </c>
      <c r="J1623" s="24">
        <v>5</v>
      </c>
      <c r="K1623" s="25">
        <f t="shared" si="75"/>
        <v>492000</v>
      </c>
      <c r="L1623" s="26">
        <v>45633</v>
      </c>
      <c r="M1623" s="24" t="str">
        <f t="shared" si="76"/>
        <v>Saturday</v>
      </c>
      <c r="N1623" s="24" t="str">
        <f t="shared" si="77"/>
        <v>Weekend</v>
      </c>
      <c r="Q1623" s="24"/>
      <c r="R1623" s="24"/>
      <c r="S1623" s="27"/>
      <c r="T1623"/>
      <c r="U1623" s="6"/>
      <c r="W1623" s="7"/>
      <c r="Z1623" s="4"/>
    </row>
    <row r="1624" spans="1:26" x14ac:dyDescent="0.3">
      <c r="A1624" t="s">
        <v>1995</v>
      </c>
      <c r="B1624" s="16" t="s">
        <v>121</v>
      </c>
      <c r="C1624" s="18" t="s">
        <v>20</v>
      </c>
      <c r="D1624" s="18" t="s">
        <v>327</v>
      </c>
      <c r="E1624" s="18">
        <v>18</v>
      </c>
      <c r="F1624" t="s">
        <v>373</v>
      </c>
      <c r="G1624" s="18" t="s">
        <v>17</v>
      </c>
      <c r="H1624" s="18" t="s">
        <v>18</v>
      </c>
      <c r="I1624" s="18">
        <v>12300</v>
      </c>
      <c r="J1624" s="18">
        <v>5</v>
      </c>
      <c r="K1624" s="19">
        <f t="shared" si="75"/>
        <v>61500</v>
      </c>
      <c r="L1624" s="20">
        <v>45518</v>
      </c>
      <c r="M1624" s="18" t="str">
        <f t="shared" si="76"/>
        <v>Wednesday</v>
      </c>
      <c r="N1624" s="18" t="str">
        <f t="shared" si="77"/>
        <v>Weekday</v>
      </c>
      <c r="Q1624" s="18"/>
      <c r="R1624" s="18"/>
      <c r="S1624" s="21"/>
      <c r="T1624"/>
      <c r="U1624" s="6"/>
      <c r="W1624" s="7"/>
      <c r="Z1624" s="4"/>
    </row>
    <row r="1625" spans="1:26" x14ac:dyDescent="0.3">
      <c r="A1625" t="s">
        <v>1996</v>
      </c>
      <c r="B1625" s="22" t="s">
        <v>168</v>
      </c>
      <c r="C1625" s="24" t="s">
        <v>11</v>
      </c>
      <c r="D1625" s="24" t="s">
        <v>324</v>
      </c>
      <c r="E1625" s="24">
        <v>43</v>
      </c>
      <c r="F1625" t="s">
        <v>375</v>
      </c>
      <c r="G1625" s="24" t="s">
        <v>31</v>
      </c>
      <c r="H1625" s="24" t="s">
        <v>18</v>
      </c>
      <c r="I1625" s="24">
        <v>6150</v>
      </c>
      <c r="J1625" s="24">
        <v>3</v>
      </c>
      <c r="K1625" s="25">
        <f t="shared" si="75"/>
        <v>18450</v>
      </c>
      <c r="L1625" s="26">
        <v>45624</v>
      </c>
      <c r="M1625" s="24" t="str">
        <f t="shared" si="76"/>
        <v>Thursday</v>
      </c>
      <c r="N1625" s="24" t="str">
        <f t="shared" si="77"/>
        <v>Weekday</v>
      </c>
      <c r="Q1625" s="24"/>
      <c r="R1625" s="24"/>
      <c r="S1625" s="27"/>
      <c r="T1625"/>
      <c r="U1625" s="6"/>
      <c r="W1625" s="7"/>
      <c r="Z1625" s="4"/>
    </row>
    <row r="1626" spans="1:26" x14ac:dyDescent="0.3">
      <c r="A1626" t="s">
        <v>1997</v>
      </c>
      <c r="B1626" s="16" t="s">
        <v>156</v>
      </c>
      <c r="C1626" s="18" t="s">
        <v>20</v>
      </c>
      <c r="D1626" s="18" t="s">
        <v>326</v>
      </c>
      <c r="E1626" s="18">
        <v>23</v>
      </c>
      <c r="F1626" t="s">
        <v>370</v>
      </c>
      <c r="G1626" s="18" t="s">
        <v>13</v>
      </c>
      <c r="H1626" s="18" t="s">
        <v>14</v>
      </c>
      <c r="I1626" s="18">
        <v>36900</v>
      </c>
      <c r="J1626" s="18">
        <v>3</v>
      </c>
      <c r="K1626" s="19">
        <f t="shared" si="75"/>
        <v>110700</v>
      </c>
      <c r="L1626" s="20">
        <v>45445</v>
      </c>
      <c r="M1626" s="18" t="str">
        <f t="shared" si="76"/>
        <v>Sunday</v>
      </c>
      <c r="N1626" s="18" t="str">
        <f t="shared" si="77"/>
        <v>Weekday</v>
      </c>
      <c r="Q1626" s="18"/>
      <c r="R1626" s="18"/>
      <c r="S1626" s="21"/>
      <c r="T1626"/>
      <c r="U1626" s="6"/>
      <c r="W1626" s="7"/>
      <c r="Z1626" s="4"/>
    </row>
    <row r="1627" spans="1:26" x14ac:dyDescent="0.3">
      <c r="A1627" t="s">
        <v>1998</v>
      </c>
      <c r="B1627" s="22" t="s">
        <v>104</v>
      </c>
      <c r="C1627" s="24" t="s">
        <v>366</v>
      </c>
      <c r="D1627" s="24" t="s">
        <v>326</v>
      </c>
      <c r="E1627" s="24">
        <v>30</v>
      </c>
      <c r="F1627" t="s">
        <v>370</v>
      </c>
      <c r="G1627" s="24" t="s">
        <v>24</v>
      </c>
      <c r="H1627" s="24" t="s">
        <v>14</v>
      </c>
      <c r="I1627" s="24">
        <v>184500</v>
      </c>
      <c r="J1627" s="24">
        <v>5</v>
      </c>
      <c r="K1627" s="25">
        <f t="shared" si="75"/>
        <v>922500</v>
      </c>
      <c r="L1627" s="26">
        <v>45311</v>
      </c>
      <c r="M1627" s="24" t="str">
        <f t="shared" si="76"/>
        <v>Saturday</v>
      </c>
      <c r="N1627" s="24" t="str">
        <f t="shared" si="77"/>
        <v>Weekend</v>
      </c>
      <c r="Q1627" s="24"/>
      <c r="R1627" s="24"/>
      <c r="S1627" s="27"/>
      <c r="T1627"/>
      <c r="U1627" s="6"/>
      <c r="W1627" s="7"/>
      <c r="Z1627" s="4"/>
    </row>
    <row r="1628" spans="1:26" x14ac:dyDescent="0.3">
      <c r="A1628" t="s">
        <v>1999</v>
      </c>
      <c r="B1628" s="16" t="s">
        <v>180</v>
      </c>
      <c r="C1628" s="18" t="s">
        <v>11</v>
      </c>
      <c r="D1628" s="18" t="s">
        <v>325</v>
      </c>
      <c r="E1628" s="18">
        <v>30</v>
      </c>
      <c r="F1628" t="s">
        <v>381</v>
      </c>
      <c r="G1628" s="18" t="s">
        <v>26</v>
      </c>
      <c r="H1628" s="18" t="s">
        <v>27</v>
      </c>
      <c r="I1628" s="18">
        <v>24600</v>
      </c>
      <c r="J1628" s="18">
        <v>5</v>
      </c>
      <c r="K1628" s="19">
        <f t="shared" si="75"/>
        <v>123000</v>
      </c>
      <c r="L1628" s="20">
        <v>45530</v>
      </c>
      <c r="M1628" s="18" t="str">
        <f t="shared" si="76"/>
        <v>Monday</v>
      </c>
      <c r="N1628" s="18" t="str">
        <f t="shared" si="77"/>
        <v>Weekday</v>
      </c>
      <c r="Q1628" s="18"/>
      <c r="R1628" s="18"/>
      <c r="S1628" s="21"/>
      <c r="T1628"/>
      <c r="U1628" s="6"/>
      <c r="W1628" s="7"/>
      <c r="Z1628" s="4"/>
    </row>
    <row r="1629" spans="1:26" x14ac:dyDescent="0.3">
      <c r="A1629" t="s">
        <v>2000</v>
      </c>
      <c r="B1629" s="22" t="s">
        <v>188</v>
      </c>
      <c r="C1629" s="24" t="s">
        <v>20</v>
      </c>
      <c r="D1629" s="24" t="s">
        <v>322</v>
      </c>
      <c r="E1629" s="24">
        <v>40</v>
      </c>
      <c r="F1629" t="s">
        <v>373</v>
      </c>
      <c r="G1629" s="24" t="s">
        <v>31</v>
      </c>
      <c r="H1629" s="24" t="s">
        <v>18</v>
      </c>
      <c r="I1629" s="24">
        <v>6150</v>
      </c>
      <c r="J1629" s="24">
        <v>2</v>
      </c>
      <c r="K1629" s="25">
        <f t="shared" si="75"/>
        <v>12300</v>
      </c>
      <c r="L1629" s="26">
        <v>45294</v>
      </c>
      <c r="M1629" s="24" t="str">
        <f t="shared" si="76"/>
        <v>Wednesday</v>
      </c>
      <c r="N1629" s="24" t="str">
        <f t="shared" si="77"/>
        <v>Weekday</v>
      </c>
      <c r="Q1629" s="24"/>
      <c r="R1629" s="24"/>
      <c r="S1629" s="27"/>
      <c r="T1629"/>
      <c r="U1629" s="6"/>
      <c r="W1629" s="7"/>
      <c r="Z1629" s="4"/>
    </row>
    <row r="1630" spans="1:26" x14ac:dyDescent="0.3">
      <c r="A1630" t="s">
        <v>2001</v>
      </c>
      <c r="B1630" s="16" t="s">
        <v>284</v>
      </c>
      <c r="C1630" s="18" t="s">
        <v>11</v>
      </c>
      <c r="D1630" s="18" t="s">
        <v>322</v>
      </c>
      <c r="E1630" s="18">
        <v>46</v>
      </c>
      <c r="F1630" t="s">
        <v>381</v>
      </c>
      <c r="G1630" s="18" t="s">
        <v>17</v>
      </c>
      <c r="H1630" s="18" t="s">
        <v>18</v>
      </c>
      <c r="I1630" s="18">
        <v>12300</v>
      </c>
      <c r="J1630" s="18">
        <v>4</v>
      </c>
      <c r="K1630" s="19">
        <f t="shared" si="75"/>
        <v>49200</v>
      </c>
      <c r="L1630" s="20">
        <v>45507</v>
      </c>
      <c r="M1630" s="18" t="str">
        <f t="shared" si="76"/>
        <v>Saturday</v>
      </c>
      <c r="N1630" s="18" t="str">
        <f t="shared" si="77"/>
        <v>Weekend</v>
      </c>
      <c r="Q1630" s="18"/>
      <c r="R1630" s="18"/>
      <c r="S1630" s="21"/>
      <c r="T1630"/>
      <c r="U1630" s="6"/>
      <c r="W1630" s="7"/>
      <c r="Z1630" s="4"/>
    </row>
    <row r="1631" spans="1:26" x14ac:dyDescent="0.3">
      <c r="A1631" t="s">
        <v>2002</v>
      </c>
      <c r="B1631" s="22" t="s">
        <v>204</v>
      </c>
      <c r="C1631" s="24" t="s">
        <v>366</v>
      </c>
      <c r="D1631" s="24" t="s">
        <v>322</v>
      </c>
      <c r="E1631" s="24">
        <v>66</v>
      </c>
      <c r="F1631" t="s">
        <v>381</v>
      </c>
      <c r="G1631" s="24" t="s">
        <v>17</v>
      </c>
      <c r="H1631" s="24" t="s">
        <v>18</v>
      </c>
      <c r="I1631" s="24">
        <v>12300</v>
      </c>
      <c r="J1631" s="24">
        <v>2</v>
      </c>
      <c r="K1631" s="25">
        <f t="shared" si="75"/>
        <v>24600</v>
      </c>
      <c r="L1631" s="26">
        <v>45516</v>
      </c>
      <c r="M1631" s="24" t="str">
        <f t="shared" si="76"/>
        <v>Monday</v>
      </c>
      <c r="N1631" s="24" t="str">
        <f t="shared" si="77"/>
        <v>Weekday</v>
      </c>
      <c r="Q1631" s="24"/>
      <c r="R1631" s="24"/>
      <c r="S1631" s="27"/>
      <c r="T1631"/>
      <c r="U1631" s="6"/>
      <c r="W1631" s="7"/>
      <c r="Z1631" s="4"/>
    </row>
    <row r="1632" spans="1:26" x14ac:dyDescent="0.3">
      <c r="A1632" t="s">
        <v>2003</v>
      </c>
      <c r="B1632" s="16" t="s">
        <v>176</v>
      </c>
      <c r="C1632" s="18" t="s">
        <v>11</v>
      </c>
      <c r="D1632" s="18" t="s">
        <v>323</v>
      </c>
      <c r="E1632" s="18">
        <v>54</v>
      </c>
      <c r="F1632" t="s">
        <v>381</v>
      </c>
      <c r="G1632" s="18" t="s">
        <v>17</v>
      </c>
      <c r="H1632" s="18" t="s">
        <v>18</v>
      </c>
      <c r="I1632" s="18">
        <v>12300</v>
      </c>
      <c r="J1632" s="18">
        <v>5</v>
      </c>
      <c r="K1632" s="19">
        <f t="shared" si="75"/>
        <v>61500</v>
      </c>
      <c r="L1632" s="20">
        <v>45653</v>
      </c>
      <c r="M1632" s="18" t="str">
        <f t="shared" si="76"/>
        <v>Friday</v>
      </c>
      <c r="N1632" s="18" t="str">
        <f t="shared" si="77"/>
        <v>Weekend</v>
      </c>
      <c r="Q1632" s="18"/>
      <c r="R1632" s="18"/>
      <c r="S1632" s="21"/>
      <c r="T1632"/>
      <c r="U1632" s="6"/>
      <c r="W1632" s="7"/>
      <c r="Z1632" s="4"/>
    </row>
    <row r="1633" spans="1:26" x14ac:dyDescent="0.3">
      <c r="A1633" t="s">
        <v>2004</v>
      </c>
      <c r="B1633" s="22" t="s">
        <v>23</v>
      </c>
      <c r="C1633" s="24" t="s">
        <v>11</v>
      </c>
      <c r="D1633" s="24" t="s">
        <v>322</v>
      </c>
      <c r="E1633" s="24">
        <v>65</v>
      </c>
      <c r="F1633" t="s">
        <v>370</v>
      </c>
      <c r="G1633" s="24" t="s">
        <v>13</v>
      </c>
      <c r="H1633" s="24" t="s">
        <v>14</v>
      </c>
      <c r="I1633" s="24">
        <v>36900</v>
      </c>
      <c r="J1633" s="24">
        <v>3</v>
      </c>
      <c r="K1633" s="25">
        <f t="shared" si="75"/>
        <v>110700</v>
      </c>
      <c r="L1633" s="26">
        <v>45524</v>
      </c>
      <c r="M1633" s="24" t="str">
        <f t="shared" si="76"/>
        <v>Tuesday</v>
      </c>
      <c r="N1633" s="24" t="str">
        <f t="shared" si="77"/>
        <v>Weekday</v>
      </c>
      <c r="Q1633" s="24"/>
      <c r="R1633" s="24"/>
      <c r="S1633" s="27"/>
      <c r="T1633"/>
      <c r="U1633" s="6"/>
      <c r="W1633" s="7"/>
      <c r="Z1633" s="4"/>
    </row>
    <row r="1634" spans="1:26" x14ac:dyDescent="0.3">
      <c r="A1634" t="s">
        <v>2005</v>
      </c>
      <c r="B1634" s="16" t="s">
        <v>150</v>
      </c>
      <c r="C1634" s="18" t="s">
        <v>11</v>
      </c>
      <c r="D1634" s="18" t="s">
        <v>326</v>
      </c>
      <c r="E1634" s="18">
        <v>56</v>
      </c>
      <c r="F1634" t="s">
        <v>375</v>
      </c>
      <c r="G1634" s="18" t="s">
        <v>13</v>
      </c>
      <c r="H1634" s="18" t="s">
        <v>14</v>
      </c>
      <c r="I1634" s="18">
        <v>36900</v>
      </c>
      <c r="J1634" s="18">
        <v>3</v>
      </c>
      <c r="K1634" s="19">
        <f t="shared" si="75"/>
        <v>110700</v>
      </c>
      <c r="L1634" s="20">
        <v>45335</v>
      </c>
      <c r="M1634" s="18" t="str">
        <f t="shared" si="76"/>
        <v>Tuesday</v>
      </c>
      <c r="N1634" s="18" t="str">
        <f t="shared" si="77"/>
        <v>Weekday</v>
      </c>
      <c r="Q1634" s="18"/>
      <c r="R1634" s="18"/>
      <c r="S1634" s="21"/>
      <c r="T1634"/>
      <c r="U1634" s="6"/>
      <c r="W1634" s="7"/>
      <c r="Z1634" s="4"/>
    </row>
    <row r="1635" spans="1:26" x14ac:dyDescent="0.3">
      <c r="A1635" t="s">
        <v>2006</v>
      </c>
      <c r="B1635" s="22" t="s">
        <v>157</v>
      </c>
      <c r="C1635" s="24" t="s">
        <v>11</v>
      </c>
      <c r="D1635" s="24" t="s">
        <v>322</v>
      </c>
      <c r="E1635" s="24">
        <v>60</v>
      </c>
      <c r="F1635" t="s">
        <v>373</v>
      </c>
      <c r="G1635" s="24" t="s">
        <v>31</v>
      </c>
      <c r="H1635" s="24" t="s">
        <v>18</v>
      </c>
      <c r="I1635" s="24">
        <v>6150</v>
      </c>
      <c r="J1635" s="24">
        <v>3</v>
      </c>
      <c r="K1635" s="25">
        <f t="shared" si="75"/>
        <v>18450</v>
      </c>
      <c r="L1635" s="26">
        <v>45439</v>
      </c>
      <c r="M1635" s="24" t="str">
        <f t="shared" si="76"/>
        <v>Monday</v>
      </c>
      <c r="N1635" s="24" t="str">
        <f t="shared" si="77"/>
        <v>Weekday</v>
      </c>
      <c r="Q1635" s="24"/>
      <c r="R1635" s="24"/>
      <c r="S1635" s="27"/>
      <c r="T1635"/>
      <c r="U1635" s="6"/>
      <c r="W1635" s="7"/>
      <c r="Z1635" s="4"/>
    </row>
    <row r="1636" spans="1:26" x14ac:dyDescent="0.3">
      <c r="A1636" t="s">
        <v>2007</v>
      </c>
      <c r="B1636" s="16" t="s">
        <v>217</v>
      </c>
      <c r="C1636" s="18" t="s">
        <v>11</v>
      </c>
      <c r="D1636" s="18" t="s">
        <v>324</v>
      </c>
      <c r="E1636" s="18">
        <v>62</v>
      </c>
      <c r="F1636" t="s">
        <v>370</v>
      </c>
      <c r="G1636" s="18" t="s">
        <v>31</v>
      </c>
      <c r="H1636" s="18" t="s">
        <v>18</v>
      </c>
      <c r="I1636" s="18">
        <v>6150</v>
      </c>
      <c r="J1636" s="18">
        <v>5</v>
      </c>
      <c r="K1636" s="19">
        <f t="shared" si="75"/>
        <v>30750</v>
      </c>
      <c r="L1636" s="20">
        <v>45392</v>
      </c>
      <c r="M1636" s="18" t="str">
        <f t="shared" si="76"/>
        <v>Wednesday</v>
      </c>
      <c r="N1636" s="18" t="str">
        <f t="shared" si="77"/>
        <v>Weekday</v>
      </c>
      <c r="Q1636" s="18"/>
      <c r="R1636" s="18"/>
      <c r="S1636" s="21"/>
      <c r="T1636"/>
      <c r="U1636" s="6"/>
      <c r="W1636" s="7"/>
      <c r="Z1636" s="4"/>
    </row>
    <row r="1637" spans="1:26" x14ac:dyDescent="0.3">
      <c r="A1637" t="s">
        <v>2008</v>
      </c>
      <c r="B1637" s="22" t="s">
        <v>124</v>
      </c>
      <c r="C1637" s="24" t="s">
        <v>20</v>
      </c>
      <c r="D1637" s="24" t="s">
        <v>326</v>
      </c>
      <c r="E1637" s="24">
        <v>19</v>
      </c>
      <c r="F1637" t="s">
        <v>373</v>
      </c>
      <c r="G1637" s="24" t="s">
        <v>24</v>
      </c>
      <c r="H1637" s="24" t="s">
        <v>14</v>
      </c>
      <c r="I1637" s="24">
        <v>184500</v>
      </c>
      <c r="J1637" s="24">
        <v>5</v>
      </c>
      <c r="K1637" s="25">
        <f t="shared" si="75"/>
        <v>922500</v>
      </c>
      <c r="L1637" s="26">
        <v>45571</v>
      </c>
      <c r="M1637" s="24" t="str">
        <f t="shared" si="76"/>
        <v>Sunday</v>
      </c>
      <c r="N1637" s="24" t="str">
        <f t="shared" si="77"/>
        <v>Weekday</v>
      </c>
      <c r="Q1637" s="24"/>
      <c r="R1637" s="24"/>
      <c r="S1637" s="27"/>
      <c r="T1637"/>
      <c r="U1637" s="6"/>
      <c r="W1637" s="7"/>
      <c r="Z1637" s="4"/>
    </row>
    <row r="1638" spans="1:26" x14ac:dyDescent="0.3">
      <c r="A1638" t="s">
        <v>2009</v>
      </c>
      <c r="B1638" s="16" t="s">
        <v>301</v>
      </c>
      <c r="C1638" s="18" t="s">
        <v>11</v>
      </c>
      <c r="D1638" s="18" t="s">
        <v>323</v>
      </c>
      <c r="E1638" s="18">
        <v>40</v>
      </c>
      <c r="F1638" t="s">
        <v>370</v>
      </c>
      <c r="G1638" s="18" t="s">
        <v>31</v>
      </c>
      <c r="H1638" s="18" t="s">
        <v>18</v>
      </c>
      <c r="I1638" s="18">
        <v>6150</v>
      </c>
      <c r="J1638" s="18">
        <v>1</v>
      </c>
      <c r="K1638" s="19">
        <f t="shared" si="75"/>
        <v>6150</v>
      </c>
      <c r="L1638" s="20">
        <v>45526</v>
      </c>
      <c r="M1638" s="18" t="str">
        <f t="shared" si="76"/>
        <v>Thursday</v>
      </c>
      <c r="N1638" s="18" t="str">
        <f t="shared" si="77"/>
        <v>Weekday</v>
      </c>
      <c r="Q1638" s="18"/>
      <c r="R1638" s="18"/>
      <c r="S1638" s="21"/>
      <c r="T1638"/>
      <c r="U1638" s="6"/>
      <c r="W1638" s="7"/>
      <c r="Z1638" s="4"/>
    </row>
    <row r="1639" spans="1:26" x14ac:dyDescent="0.3">
      <c r="A1639" t="s">
        <v>2010</v>
      </c>
      <c r="B1639" s="22" t="s">
        <v>135</v>
      </c>
      <c r="C1639" s="24" t="s">
        <v>366</v>
      </c>
      <c r="D1639" s="24" t="s">
        <v>323</v>
      </c>
      <c r="E1639" s="24">
        <v>41</v>
      </c>
      <c r="F1639" t="s">
        <v>375</v>
      </c>
      <c r="G1639" s="24" t="s">
        <v>42</v>
      </c>
      <c r="H1639" s="24" t="s">
        <v>14</v>
      </c>
      <c r="I1639" s="24">
        <v>98400</v>
      </c>
      <c r="J1639" s="24">
        <v>4</v>
      </c>
      <c r="K1639" s="25">
        <f t="shared" si="75"/>
        <v>393600</v>
      </c>
      <c r="L1639" s="26">
        <v>45614</v>
      </c>
      <c r="M1639" s="24" t="str">
        <f t="shared" si="76"/>
        <v>Monday</v>
      </c>
      <c r="N1639" s="24" t="str">
        <f t="shared" si="77"/>
        <v>Weekday</v>
      </c>
      <c r="Q1639" s="24"/>
      <c r="R1639" s="24"/>
      <c r="S1639" s="27"/>
      <c r="T1639"/>
      <c r="U1639" s="6"/>
      <c r="W1639" s="7"/>
      <c r="Z1639" s="4"/>
    </row>
    <row r="1640" spans="1:26" x14ac:dyDescent="0.3">
      <c r="A1640" t="s">
        <v>2011</v>
      </c>
      <c r="B1640" s="16" t="s">
        <v>248</v>
      </c>
      <c r="C1640" s="18" t="s">
        <v>366</v>
      </c>
      <c r="D1640" s="18" t="s">
        <v>322</v>
      </c>
      <c r="E1640" s="18">
        <v>54</v>
      </c>
      <c r="F1640" t="s">
        <v>375</v>
      </c>
      <c r="G1640" s="18" t="s">
        <v>32</v>
      </c>
      <c r="H1640" s="18" t="s">
        <v>18</v>
      </c>
      <c r="I1640" s="18">
        <v>3690</v>
      </c>
      <c r="J1640" s="18">
        <v>1</v>
      </c>
      <c r="K1640" s="19">
        <f t="shared" si="75"/>
        <v>3690</v>
      </c>
      <c r="L1640" s="20">
        <v>45352</v>
      </c>
      <c r="M1640" s="18" t="str">
        <f t="shared" si="76"/>
        <v>Friday</v>
      </c>
      <c r="N1640" s="18" t="str">
        <f t="shared" si="77"/>
        <v>Weekend</v>
      </c>
      <c r="Q1640" s="18"/>
      <c r="R1640" s="18"/>
      <c r="S1640" s="21"/>
      <c r="T1640"/>
      <c r="U1640" s="6"/>
      <c r="W1640" s="7"/>
      <c r="Z1640" s="4"/>
    </row>
    <row r="1641" spans="1:26" x14ac:dyDescent="0.3">
      <c r="A1641" t="s">
        <v>2012</v>
      </c>
      <c r="B1641" s="22" t="s">
        <v>261</v>
      </c>
      <c r="C1641" s="24" t="s">
        <v>20</v>
      </c>
      <c r="D1641" s="24" t="s">
        <v>325</v>
      </c>
      <c r="E1641" s="24">
        <v>49</v>
      </c>
      <c r="F1641" t="s">
        <v>373</v>
      </c>
      <c r="G1641" s="24" t="s">
        <v>32</v>
      </c>
      <c r="H1641" s="24" t="s">
        <v>18</v>
      </c>
      <c r="I1641" s="24">
        <v>3690</v>
      </c>
      <c r="J1641" s="24">
        <v>3</v>
      </c>
      <c r="K1641" s="25">
        <f t="shared" si="75"/>
        <v>11070</v>
      </c>
      <c r="L1641" s="26">
        <v>45293</v>
      </c>
      <c r="M1641" s="24" t="str">
        <f t="shared" si="76"/>
        <v>Tuesday</v>
      </c>
      <c r="N1641" s="24" t="str">
        <f t="shared" si="77"/>
        <v>Weekday</v>
      </c>
      <c r="Q1641" s="24"/>
      <c r="R1641" s="24"/>
      <c r="S1641" s="27"/>
      <c r="T1641"/>
      <c r="U1641" s="6"/>
      <c r="W1641" s="7"/>
      <c r="Z1641" s="4"/>
    </row>
    <row r="1642" spans="1:26" x14ac:dyDescent="0.3">
      <c r="A1642" t="s">
        <v>2013</v>
      </c>
      <c r="B1642" s="16" t="s">
        <v>117</v>
      </c>
      <c r="C1642" s="18" t="s">
        <v>20</v>
      </c>
      <c r="D1642" s="18" t="s">
        <v>322</v>
      </c>
      <c r="E1642" s="18">
        <v>22</v>
      </c>
      <c r="F1642" t="s">
        <v>381</v>
      </c>
      <c r="G1642" s="18" t="s">
        <v>42</v>
      </c>
      <c r="H1642" s="18" t="s">
        <v>14</v>
      </c>
      <c r="I1642" s="18">
        <v>98400</v>
      </c>
      <c r="J1642" s="18">
        <v>3</v>
      </c>
      <c r="K1642" s="19">
        <f t="shared" si="75"/>
        <v>295200</v>
      </c>
      <c r="L1642" s="20">
        <v>45500</v>
      </c>
      <c r="M1642" s="18" t="str">
        <f t="shared" si="76"/>
        <v>Saturday</v>
      </c>
      <c r="N1642" s="18" t="str">
        <f t="shared" si="77"/>
        <v>Weekend</v>
      </c>
      <c r="Q1642" s="18"/>
      <c r="R1642" s="18"/>
      <c r="S1642" s="21"/>
      <c r="T1642"/>
      <c r="U1642" s="6"/>
      <c r="W1642" s="7"/>
      <c r="Z1642" s="4"/>
    </row>
    <row r="1643" spans="1:26" x14ac:dyDescent="0.3">
      <c r="A1643" t="s">
        <v>2014</v>
      </c>
      <c r="B1643" s="22" t="s">
        <v>142</v>
      </c>
      <c r="C1643" s="24" t="s">
        <v>366</v>
      </c>
      <c r="D1643" s="24" t="s">
        <v>323</v>
      </c>
      <c r="E1643" s="24">
        <v>66</v>
      </c>
      <c r="F1643" t="s">
        <v>370</v>
      </c>
      <c r="G1643" s="24" t="s">
        <v>24</v>
      </c>
      <c r="H1643" s="24" t="s">
        <v>14</v>
      </c>
      <c r="I1643" s="24">
        <v>184500</v>
      </c>
      <c r="J1643" s="24">
        <v>4</v>
      </c>
      <c r="K1643" s="25">
        <f t="shared" si="75"/>
        <v>738000</v>
      </c>
      <c r="L1643" s="26">
        <v>45578</v>
      </c>
      <c r="M1643" s="24" t="str">
        <f t="shared" si="76"/>
        <v>Sunday</v>
      </c>
      <c r="N1643" s="24" t="str">
        <f t="shared" si="77"/>
        <v>Weekday</v>
      </c>
      <c r="Q1643" s="24"/>
      <c r="R1643" s="24"/>
      <c r="S1643" s="27"/>
      <c r="T1643"/>
      <c r="U1643" s="6"/>
      <c r="W1643" s="7"/>
      <c r="Z1643" s="4"/>
    </row>
    <row r="1644" spans="1:26" x14ac:dyDescent="0.3">
      <c r="A1644" t="s">
        <v>2015</v>
      </c>
      <c r="B1644" s="16" t="s">
        <v>247</v>
      </c>
      <c r="C1644" s="18" t="s">
        <v>20</v>
      </c>
      <c r="D1644" s="18" t="s">
        <v>322</v>
      </c>
      <c r="E1644" s="18">
        <v>57</v>
      </c>
      <c r="F1644" t="s">
        <v>373</v>
      </c>
      <c r="G1644" s="18" t="s">
        <v>24</v>
      </c>
      <c r="H1644" s="18" t="s">
        <v>14</v>
      </c>
      <c r="I1644" s="18">
        <v>184500</v>
      </c>
      <c r="J1644" s="18">
        <v>1</v>
      </c>
      <c r="K1644" s="19">
        <f t="shared" si="75"/>
        <v>184500</v>
      </c>
      <c r="L1644" s="20">
        <v>45614</v>
      </c>
      <c r="M1644" s="18" t="str">
        <f t="shared" si="76"/>
        <v>Monday</v>
      </c>
      <c r="N1644" s="18" t="str">
        <f t="shared" si="77"/>
        <v>Weekday</v>
      </c>
      <c r="Q1644" s="18"/>
      <c r="R1644" s="18"/>
      <c r="S1644" s="21"/>
      <c r="T1644"/>
      <c r="U1644" s="6"/>
      <c r="W1644" s="7"/>
      <c r="Z1644" s="4"/>
    </row>
    <row r="1645" spans="1:26" x14ac:dyDescent="0.3">
      <c r="A1645" t="s">
        <v>2016</v>
      </c>
      <c r="B1645" s="22" t="s">
        <v>22</v>
      </c>
      <c r="C1645" s="24" t="s">
        <v>11</v>
      </c>
      <c r="D1645" s="24" t="s">
        <v>326</v>
      </c>
      <c r="E1645" s="24">
        <v>23</v>
      </c>
      <c r="F1645" t="s">
        <v>381</v>
      </c>
      <c r="G1645" s="24" t="s">
        <v>32</v>
      </c>
      <c r="H1645" s="24" t="s">
        <v>18</v>
      </c>
      <c r="I1645" s="24">
        <v>3690</v>
      </c>
      <c r="J1645" s="24">
        <v>5</v>
      </c>
      <c r="K1645" s="25">
        <f t="shared" si="75"/>
        <v>18450</v>
      </c>
      <c r="L1645" s="26">
        <v>45615</v>
      </c>
      <c r="M1645" s="24" t="str">
        <f t="shared" si="76"/>
        <v>Tuesday</v>
      </c>
      <c r="N1645" s="24" t="str">
        <f t="shared" si="77"/>
        <v>Weekday</v>
      </c>
      <c r="Q1645" s="24"/>
      <c r="R1645" s="24"/>
      <c r="S1645" s="27"/>
      <c r="T1645"/>
      <c r="U1645" s="6"/>
      <c r="W1645" s="7"/>
      <c r="Z1645" s="4"/>
    </row>
    <row r="1646" spans="1:26" x14ac:dyDescent="0.3">
      <c r="A1646" t="s">
        <v>2017</v>
      </c>
      <c r="B1646" s="16" t="s">
        <v>49</v>
      </c>
      <c r="C1646" s="18" t="s">
        <v>20</v>
      </c>
      <c r="D1646" s="18" t="s">
        <v>323</v>
      </c>
      <c r="E1646" s="18">
        <v>57</v>
      </c>
      <c r="F1646" t="s">
        <v>375</v>
      </c>
      <c r="G1646" s="18" t="s">
        <v>32</v>
      </c>
      <c r="H1646" s="18" t="s">
        <v>18</v>
      </c>
      <c r="I1646" s="18">
        <v>3690</v>
      </c>
      <c r="J1646" s="18">
        <v>1</v>
      </c>
      <c r="K1646" s="19">
        <f t="shared" si="75"/>
        <v>3690</v>
      </c>
      <c r="L1646" s="20">
        <v>45477</v>
      </c>
      <c r="M1646" s="18" t="str">
        <f t="shared" si="76"/>
        <v>Thursday</v>
      </c>
      <c r="N1646" s="18" t="str">
        <f t="shared" si="77"/>
        <v>Weekday</v>
      </c>
      <c r="Q1646" s="18"/>
      <c r="R1646" s="18"/>
      <c r="S1646" s="21"/>
      <c r="T1646"/>
      <c r="U1646" s="6"/>
      <c r="W1646" s="7"/>
      <c r="Z1646" s="4"/>
    </row>
    <row r="1647" spans="1:26" x14ac:dyDescent="0.3">
      <c r="A1647" t="s">
        <v>2018</v>
      </c>
      <c r="B1647" s="22" t="s">
        <v>174</v>
      </c>
      <c r="C1647" s="24" t="s">
        <v>11</v>
      </c>
      <c r="D1647" s="24" t="s">
        <v>322</v>
      </c>
      <c r="E1647" s="24">
        <v>57</v>
      </c>
      <c r="F1647" t="s">
        <v>370</v>
      </c>
      <c r="G1647" s="24" t="s">
        <v>42</v>
      </c>
      <c r="H1647" s="24" t="s">
        <v>14</v>
      </c>
      <c r="I1647" s="24">
        <v>98400</v>
      </c>
      <c r="J1647" s="24">
        <v>3</v>
      </c>
      <c r="K1647" s="25">
        <f t="shared" si="75"/>
        <v>295200</v>
      </c>
      <c r="L1647" s="26">
        <v>45468</v>
      </c>
      <c r="M1647" s="24" t="str">
        <f t="shared" si="76"/>
        <v>Tuesday</v>
      </c>
      <c r="N1647" s="24" t="str">
        <f t="shared" si="77"/>
        <v>Weekday</v>
      </c>
      <c r="Q1647" s="24"/>
      <c r="R1647" s="24"/>
      <c r="S1647" s="27"/>
      <c r="T1647"/>
      <c r="U1647" s="6"/>
      <c r="W1647" s="7"/>
      <c r="Z1647" s="4"/>
    </row>
    <row r="1648" spans="1:26" x14ac:dyDescent="0.3">
      <c r="A1648" t="s">
        <v>2019</v>
      </c>
      <c r="B1648" s="16" t="s">
        <v>250</v>
      </c>
      <c r="C1648" s="18" t="s">
        <v>11</v>
      </c>
      <c r="D1648" s="18" t="s">
        <v>326</v>
      </c>
      <c r="E1648" s="18">
        <v>50</v>
      </c>
      <c r="F1648" t="s">
        <v>375</v>
      </c>
      <c r="G1648" s="18" t="s">
        <v>26</v>
      </c>
      <c r="H1648" s="18" t="s">
        <v>27</v>
      </c>
      <c r="I1648" s="18">
        <v>24600</v>
      </c>
      <c r="J1648" s="18">
        <v>4</v>
      </c>
      <c r="K1648" s="19">
        <f t="shared" si="75"/>
        <v>98400</v>
      </c>
      <c r="L1648" s="20">
        <v>45642</v>
      </c>
      <c r="M1648" s="18" t="str">
        <f t="shared" si="76"/>
        <v>Monday</v>
      </c>
      <c r="N1648" s="18" t="str">
        <f t="shared" si="77"/>
        <v>Weekday</v>
      </c>
      <c r="Q1648" s="18"/>
      <c r="R1648" s="18"/>
      <c r="S1648" s="21"/>
      <c r="T1648"/>
      <c r="U1648" s="6"/>
      <c r="W1648" s="7"/>
      <c r="Z1648" s="4"/>
    </row>
    <row r="1649" spans="1:26" x14ac:dyDescent="0.3">
      <c r="A1649" t="s">
        <v>2020</v>
      </c>
      <c r="B1649" s="22" t="s">
        <v>106</v>
      </c>
      <c r="C1649" s="24" t="s">
        <v>11</v>
      </c>
      <c r="D1649" s="24" t="s">
        <v>322</v>
      </c>
      <c r="E1649" s="24">
        <v>69</v>
      </c>
      <c r="F1649" t="s">
        <v>370</v>
      </c>
      <c r="G1649" s="24" t="s">
        <v>31</v>
      </c>
      <c r="H1649" s="24" t="s">
        <v>18</v>
      </c>
      <c r="I1649" s="24">
        <v>6150</v>
      </c>
      <c r="J1649" s="24">
        <v>2</v>
      </c>
      <c r="K1649" s="25">
        <f t="shared" si="75"/>
        <v>12300</v>
      </c>
      <c r="L1649" s="26">
        <v>45561</v>
      </c>
      <c r="M1649" s="24" t="str">
        <f t="shared" si="76"/>
        <v>Thursday</v>
      </c>
      <c r="N1649" s="24" t="str">
        <f t="shared" si="77"/>
        <v>Weekday</v>
      </c>
      <c r="Q1649" s="24"/>
      <c r="R1649" s="24"/>
      <c r="S1649" s="27"/>
      <c r="T1649"/>
      <c r="U1649" s="6"/>
      <c r="W1649" s="7"/>
      <c r="Z1649" s="4"/>
    </row>
    <row r="1650" spans="1:26" x14ac:dyDescent="0.3">
      <c r="A1650" t="s">
        <v>2021</v>
      </c>
      <c r="B1650" s="16" t="s">
        <v>305</v>
      </c>
      <c r="C1650" s="18" t="s">
        <v>11</v>
      </c>
      <c r="D1650" s="18" t="s">
        <v>322</v>
      </c>
      <c r="E1650" s="18">
        <v>61</v>
      </c>
      <c r="F1650" t="s">
        <v>381</v>
      </c>
      <c r="G1650" s="18" t="s">
        <v>24</v>
      </c>
      <c r="H1650" s="18" t="s">
        <v>14</v>
      </c>
      <c r="I1650" s="18">
        <v>184500</v>
      </c>
      <c r="J1650" s="18">
        <v>2</v>
      </c>
      <c r="K1650" s="19">
        <f t="shared" si="75"/>
        <v>369000</v>
      </c>
      <c r="L1650" s="20">
        <v>45312</v>
      </c>
      <c r="M1650" s="18" t="str">
        <f t="shared" si="76"/>
        <v>Sunday</v>
      </c>
      <c r="N1650" s="18" t="str">
        <f t="shared" si="77"/>
        <v>Weekday</v>
      </c>
      <c r="Q1650" s="18"/>
      <c r="R1650" s="18"/>
      <c r="S1650" s="21"/>
      <c r="T1650"/>
      <c r="U1650" s="6"/>
      <c r="W1650" s="7"/>
      <c r="Z1650" s="4"/>
    </row>
    <row r="1651" spans="1:26" x14ac:dyDescent="0.3">
      <c r="A1651" t="s">
        <v>2022</v>
      </c>
      <c r="B1651" s="22" t="s">
        <v>217</v>
      </c>
      <c r="C1651" s="24" t="s">
        <v>11</v>
      </c>
      <c r="D1651" s="24" t="s">
        <v>324</v>
      </c>
      <c r="E1651" s="24">
        <v>62</v>
      </c>
      <c r="F1651" t="s">
        <v>370</v>
      </c>
      <c r="G1651" s="24" t="s">
        <v>13</v>
      </c>
      <c r="H1651" s="24" t="s">
        <v>14</v>
      </c>
      <c r="I1651" s="24">
        <v>36900</v>
      </c>
      <c r="J1651" s="24">
        <v>5</v>
      </c>
      <c r="K1651" s="25">
        <f t="shared" si="75"/>
        <v>184500</v>
      </c>
      <c r="L1651" s="26">
        <v>45386</v>
      </c>
      <c r="M1651" s="24" t="str">
        <f t="shared" si="76"/>
        <v>Thursday</v>
      </c>
      <c r="N1651" s="24" t="str">
        <f t="shared" si="77"/>
        <v>Weekday</v>
      </c>
      <c r="Q1651" s="24"/>
      <c r="R1651" s="24"/>
      <c r="S1651" s="27"/>
      <c r="T1651"/>
      <c r="U1651" s="6"/>
      <c r="W1651" s="7"/>
      <c r="Z1651" s="4"/>
    </row>
    <row r="1652" spans="1:26" x14ac:dyDescent="0.3">
      <c r="A1652" t="s">
        <v>2023</v>
      </c>
      <c r="B1652" s="16" t="s">
        <v>47</v>
      </c>
      <c r="C1652" s="18" t="s">
        <v>20</v>
      </c>
      <c r="D1652" s="18" t="s">
        <v>324</v>
      </c>
      <c r="E1652" s="18">
        <v>52</v>
      </c>
      <c r="F1652" t="s">
        <v>381</v>
      </c>
      <c r="G1652" s="18" t="s">
        <v>13</v>
      </c>
      <c r="H1652" s="18" t="s">
        <v>14</v>
      </c>
      <c r="I1652" s="18">
        <v>36900</v>
      </c>
      <c r="J1652" s="18">
        <v>5</v>
      </c>
      <c r="K1652" s="19">
        <f t="shared" si="75"/>
        <v>184500</v>
      </c>
      <c r="L1652" s="20">
        <v>45583</v>
      </c>
      <c r="M1652" s="18" t="str">
        <f t="shared" si="76"/>
        <v>Friday</v>
      </c>
      <c r="N1652" s="18" t="str">
        <f t="shared" si="77"/>
        <v>Weekend</v>
      </c>
      <c r="Q1652" s="18"/>
      <c r="R1652" s="18"/>
      <c r="S1652" s="21"/>
      <c r="T1652"/>
      <c r="U1652" s="6"/>
      <c r="W1652" s="7"/>
      <c r="Z1652" s="4"/>
    </row>
    <row r="1653" spans="1:26" x14ac:dyDescent="0.3">
      <c r="A1653" t="s">
        <v>2024</v>
      </c>
      <c r="B1653" s="22" t="s">
        <v>69</v>
      </c>
      <c r="C1653" s="24" t="s">
        <v>11</v>
      </c>
      <c r="D1653" s="24" t="s">
        <v>322</v>
      </c>
      <c r="E1653" s="24">
        <v>68</v>
      </c>
      <c r="F1653" t="s">
        <v>370</v>
      </c>
      <c r="G1653" s="24" t="s">
        <v>24</v>
      </c>
      <c r="H1653" s="24" t="s">
        <v>14</v>
      </c>
      <c r="I1653" s="24">
        <v>184500</v>
      </c>
      <c r="J1653" s="24">
        <v>2</v>
      </c>
      <c r="K1653" s="25">
        <f t="shared" si="75"/>
        <v>369000</v>
      </c>
      <c r="L1653" s="26">
        <v>45485</v>
      </c>
      <c r="M1653" s="24" t="str">
        <f t="shared" si="76"/>
        <v>Friday</v>
      </c>
      <c r="N1653" s="24" t="str">
        <f t="shared" si="77"/>
        <v>Weekend</v>
      </c>
      <c r="Q1653" s="24"/>
      <c r="R1653" s="24"/>
      <c r="S1653" s="27"/>
      <c r="T1653"/>
      <c r="U1653" s="6"/>
      <c r="W1653" s="7"/>
      <c r="Z1653" s="4"/>
    </row>
    <row r="1654" spans="1:26" x14ac:dyDescent="0.3">
      <c r="A1654" t="s">
        <v>2025</v>
      </c>
      <c r="B1654" s="16" t="s">
        <v>134</v>
      </c>
      <c r="C1654" s="18" t="s">
        <v>366</v>
      </c>
      <c r="D1654" s="18" t="s">
        <v>322</v>
      </c>
      <c r="E1654" s="18">
        <v>33</v>
      </c>
      <c r="F1654" t="s">
        <v>373</v>
      </c>
      <c r="G1654" s="18" t="s">
        <v>26</v>
      </c>
      <c r="H1654" s="18" t="s">
        <v>27</v>
      </c>
      <c r="I1654" s="18">
        <v>24600</v>
      </c>
      <c r="J1654" s="18">
        <v>5</v>
      </c>
      <c r="K1654" s="19">
        <f t="shared" si="75"/>
        <v>123000</v>
      </c>
      <c r="L1654" s="20">
        <v>45512</v>
      </c>
      <c r="M1654" s="18" t="str">
        <f t="shared" si="76"/>
        <v>Thursday</v>
      </c>
      <c r="N1654" s="18" t="str">
        <f t="shared" si="77"/>
        <v>Weekday</v>
      </c>
      <c r="Q1654" s="18"/>
      <c r="R1654" s="18"/>
      <c r="S1654" s="21"/>
      <c r="T1654"/>
      <c r="U1654" s="6"/>
      <c r="W1654" s="7"/>
      <c r="Z1654" s="4"/>
    </row>
    <row r="1655" spans="1:26" x14ac:dyDescent="0.3">
      <c r="A1655" t="s">
        <v>2026</v>
      </c>
      <c r="B1655" s="22" t="s">
        <v>155</v>
      </c>
      <c r="C1655" s="24" t="s">
        <v>11</v>
      </c>
      <c r="D1655" s="24" t="s">
        <v>328</v>
      </c>
      <c r="E1655" s="24">
        <v>43</v>
      </c>
      <c r="F1655" t="s">
        <v>375</v>
      </c>
      <c r="G1655" s="24" t="s">
        <v>17</v>
      </c>
      <c r="H1655" s="24" t="s">
        <v>18</v>
      </c>
      <c r="I1655" s="24">
        <v>12300</v>
      </c>
      <c r="J1655" s="24">
        <v>1</v>
      </c>
      <c r="K1655" s="25">
        <f t="shared" si="75"/>
        <v>12300</v>
      </c>
      <c r="L1655" s="26">
        <v>45624</v>
      </c>
      <c r="M1655" s="24" t="str">
        <f t="shared" si="76"/>
        <v>Thursday</v>
      </c>
      <c r="N1655" s="24" t="str">
        <f t="shared" si="77"/>
        <v>Weekday</v>
      </c>
      <c r="Q1655" s="24"/>
      <c r="R1655" s="24"/>
      <c r="S1655" s="27"/>
      <c r="T1655"/>
      <c r="U1655" s="6"/>
      <c r="W1655" s="7"/>
      <c r="Z1655" s="4"/>
    </row>
    <row r="1656" spans="1:26" x14ac:dyDescent="0.3">
      <c r="A1656" t="s">
        <v>2027</v>
      </c>
      <c r="B1656" s="16" t="s">
        <v>53</v>
      </c>
      <c r="C1656" s="18" t="s">
        <v>11</v>
      </c>
      <c r="D1656" s="18" t="s">
        <v>322</v>
      </c>
      <c r="E1656" s="18">
        <v>28</v>
      </c>
      <c r="F1656" t="s">
        <v>370</v>
      </c>
      <c r="G1656" s="18" t="s">
        <v>42</v>
      </c>
      <c r="H1656" s="18" t="s">
        <v>14</v>
      </c>
      <c r="I1656" s="18">
        <v>98400</v>
      </c>
      <c r="J1656" s="18">
        <v>5</v>
      </c>
      <c r="K1656" s="19">
        <f t="shared" si="75"/>
        <v>492000</v>
      </c>
      <c r="L1656" s="20">
        <v>45354</v>
      </c>
      <c r="M1656" s="18" t="str">
        <f t="shared" si="76"/>
        <v>Sunday</v>
      </c>
      <c r="N1656" s="18" t="str">
        <f t="shared" si="77"/>
        <v>Weekday</v>
      </c>
      <c r="Q1656" s="18"/>
      <c r="R1656" s="18"/>
      <c r="S1656" s="21"/>
      <c r="T1656"/>
      <c r="U1656" s="6"/>
      <c r="W1656" s="7"/>
      <c r="Z1656" s="4"/>
    </row>
    <row r="1657" spans="1:26" x14ac:dyDescent="0.3">
      <c r="A1657" t="s">
        <v>2028</v>
      </c>
      <c r="B1657" s="22" t="s">
        <v>174</v>
      </c>
      <c r="C1657" s="24" t="s">
        <v>11</v>
      </c>
      <c r="D1657" s="24" t="s">
        <v>322</v>
      </c>
      <c r="E1657" s="24">
        <v>57</v>
      </c>
      <c r="F1657" t="s">
        <v>370</v>
      </c>
      <c r="G1657" s="24" t="s">
        <v>32</v>
      </c>
      <c r="H1657" s="24" t="s">
        <v>18</v>
      </c>
      <c r="I1657" s="24">
        <v>3690</v>
      </c>
      <c r="J1657" s="24">
        <v>1</v>
      </c>
      <c r="K1657" s="25">
        <f t="shared" si="75"/>
        <v>3690</v>
      </c>
      <c r="L1657" s="26">
        <v>45406</v>
      </c>
      <c r="M1657" s="24" t="str">
        <f t="shared" si="76"/>
        <v>Wednesday</v>
      </c>
      <c r="N1657" s="24" t="str">
        <f t="shared" si="77"/>
        <v>Weekday</v>
      </c>
      <c r="Q1657" s="24"/>
      <c r="R1657" s="24"/>
      <c r="S1657" s="27"/>
      <c r="T1657"/>
      <c r="U1657" s="6"/>
      <c r="W1657" s="7"/>
      <c r="Z1657" s="4"/>
    </row>
    <row r="1658" spans="1:26" x14ac:dyDescent="0.3">
      <c r="A1658" t="s">
        <v>2029</v>
      </c>
      <c r="B1658" s="16" t="s">
        <v>275</v>
      </c>
      <c r="C1658" s="18" t="s">
        <v>11</v>
      </c>
      <c r="D1658" s="18" t="s">
        <v>322</v>
      </c>
      <c r="E1658" s="18">
        <v>33</v>
      </c>
      <c r="F1658" t="s">
        <v>375</v>
      </c>
      <c r="G1658" s="18" t="s">
        <v>24</v>
      </c>
      <c r="H1658" s="18" t="s">
        <v>14</v>
      </c>
      <c r="I1658" s="18">
        <v>184500</v>
      </c>
      <c r="J1658" s="18">
        <v>3</v>
      </c>
      <c r="K1658" s="19">
        <f t="shared" si="75"/>
        <v>553500</v>
      </c>
      <c r="L1658" s="20">
        <v>45634</v>
      </c>
      <c r="M1658" s="18" t="str">
        <f t="shared" si="76"/>
        <v>Sunday</v>
      </c>
      <c r="N1658" s="18" t="str">
        <f t="shared" si="77"/>
        <v>Weekday</v>
      </c>
      <c r="Q1658" s="18"/>
      <c r="R1658" s="18"/>
      <c r="S1658" s="21"/>
      <c r="T1658"/>
      <c r="U1658" s="6"/>
      <c r="W1658" s="7"/>
      <c r="Z1658" s="4"/>
    </row>
    <row r="1659" spans="1:26" x14ac:dyDescent="0.3">
      <c r="A1659" t="s">
        <v>2030</v>
      </c>
      <c r="B1659" s="22" t="s">
        <v>77</v>
      </c>
      <c r="C1659" s="24" t="s">
        <v>366</v>
      </c>
      <c r="D1659" s="24" t="s">
        <v>322</v>
      </c>
      <c r="E1659" s="24">
        <v>49</v>
      </c>
      <c r="F1659" t="s">
        <v>370</v>
      </c>
      <c r="G1659" s="24" t="s">
        <v>24</v>
      </c>
      <c r="H1659" s="24" t="s">
        <v>14</v>
      </c>
      <c r="I1659" s="24">
        <v>184500</v>
      </c>
      <c r="J1659" s="24">
        <v>5</v>
      </c>
      <c r="K1659" s="25">
        <f t="shared" si="75"/>
        <v>922500</v>
      </c>
      <c r="L1659" s="26">
        <v>45333</v>
      </c>
      <c r="M1659" s="24" t="str">
        <f t="shared" si="76"/>
        <v>Sunday</v>
      </c>
      <c r="N1659" s="24" t="str">
        <f t="shared" si="77"/>
        <v>Weekday</v>
      </c>
      <c r="Q1659" s="24"/>
      <c r="R1659" s="24"/>
      <c r="S1659" s="27"/>
      <c r="T1659"/>
      <c r="U1659" s="6"/>
      <c r="W1659" s="7"/>
      <c r="Z1659" s="4"/>
    </row>
    <row r="1660" spans="1:26" x14ac:dyDescent="0.3">
      <c r="A1660" t="s">
        <v>2031</v>
      </c>
      <c r="B1660" s="16" t="s">
        <v>274</v>
      </c>
      <c r="C1660" s="18" t="s">
        <v>11</v>
      </c>
      <c r="D1660" s="18" t="s">
        <v>326</v>
      </c>
      <c r="E1660" s="18">
        <v>51</v>
      </c>
      <c r="F1660" t="s">
        <v>375</v>
      </c>
      <c r="G1660" s="18" t="s">
        <v>26</v>
      </c>
      <c r="H1660" s="18" t="s">
        <v>27</v>
      </c>
      <c r="I1660" s="18">
        <v>24600</v>
      </c>
      <c r="J1660" s="18">
        <v>3</v>
      </c>
      <c r="K1660" s="19">
        <f t="shared" si="75"/>
        <v>73800</v>
      </c>
      <c r="L1660" s="20">
        <v>45496</v>
      </c>
      <c r="M1660" s="18" t="str">
        <f t="shared" si="76"/>
        <v>Tuesday</v>
      </c>
      <c r="N1660" s="18" t="str">
        <f t="shared" si="77"/>
        <v>Weekday</v>
      </c>
      <c r="Q1660" s="18"/>
      <c r="R1660" s="18"/>
      <c r="S1660" s="21"/>
      <c r="T1660"/>
      <c r="U1660" s="6"/>
      <c r="W1660" s="7"/>
      <c r="Z1660" s="4"/>
    </row>
    <row r="1661" spans="1:26" x14ac:dyDescent="0.3">
      <c r="A1661" t="s">
        <v>2032</v>
      </c>
      <c r="B1661" s="22" t="s">
        <v>104</v>
      </c>
      <c r="C1661" s="24" t="s">
        <v>366</v>
      </c>
      <c r="D1661" s="24" t="s">
        <v>326</v>
      </c>
      <c r="E1661" s="24">
        <v>30</v>
      </c>
      <c r="F1661" t="s">
        <v>381</v>
      </c>
      <c r="G1661" s="24" t="s">
        <v>31</v>
      </c>
      <c r="H1661" s="24" t="s">
        <v>18</v>
      </c>
      <c r="I1661" s="24">
        <v>6150</v>
      </c>
      <c r="J1661" s="24">
        <v>5</v>
      </c>
      <c r="K1661" s="25">
        <f t="shared" si="75"/>
        <v>30750</v>
      </c>
      <c r="L1661" s="26">
        <v>45657</v>
      </c>
      <c r="M1661" s="24" t="str">
        <f t="shared" si="76"/>
        <v>Tuesday</v>
      </c>
      <c r="N1661" s="24" t="str">
        <f t="shared" si="77"/>
        <v>Weekday</v>
      </c>
      <c r="Q1661" s="24"/>
      <c r="R1661" s="24"/>
      <c r="S1661" s="27"/>
      <c r="T1661"/>
      <c r="U1661" s="6"/>
      <c r="W1661" s="7"/>
      <c r="Z1661" s="4"/>
    </row>
    <row r="1662" spans="1:26" x14ac:dyDescent="0.3">
      <c r="A1662" t="s">
        <v>2033</v>
      </c>
      <c r="B1662" s="16" t="s">
        <v>249</v>
      </c>
      <c r="C1662" s="18" t="s">
        <v>20</v>
      </c>
      <c r="D1662" s="18" t="s">
        <v>322</v>
      </c>
      <c r="E1662" s="18">
        <v>37</v>
      </c>
      <c r="F1662" t="s">
        <v>373</v>
      </c>
      <c r="G1662" s="18" t="s">
        <v>24</v>
      </c>
      <c r="H1662" s="18" t="s">
        <v>14</v>
      </c>
      <c r="I1662" s="18">
        <v>184500</v>
      </c>
      <c r="J1662" s="18">
        <v>3</v>
      </c>
      <c r="K1662" s="19">
        <f t="shared" si="75"/>
        <v>553500</v>
      </c>
      <c r="L1662" s="20">
        <v>45576</v>
      </c>
      <c r="M1662" s="18" t="str">
        <f t="shared" si="76"/>
        <v>Friday</v>
      </c>
      <c r="N1662" s="18" t="str">
        <f t="shared" si="77"/>
        <v>Weekend</v>
      </c>
      <c r="Q1662" s="18"/>
      <c r="R1662" s="18"/>
      <c r="S1662" s="21"/>
      <c r="T1662"/>
      <c r="U1662" s="6"/>
      <c r="W1662" s="7"/>
      <c r="Z1662" s="4"/>
    </row>
    <row r="1663" spans="1:26" x14ac:dyDescent="0.3">
      <c r="A1663" t="s">
        <v>2034</v>
      </c>
      <c r="B1663" s="22" t="s">
        <v>271</v>
      </c>
      <c r="C1663" s="24" t="s">
        <v>20</v>
      </c>
      <c r="D1663" s="24" t="s">
        <v>322</v>
      </c>
      <c r="E1663" s="24">
        <v>48</v>
      </c>
      <c r="F1663" t="s">
        <v>373</v>
      </c>
      <c r="G1663" s="24" t="s">
        <v>26</v>
      </c>
      <c r="H1663" s="24" t="s">
        <v>27</v>
      </c>
      <c r="I1663" s="24">
        <v>24600</v>
      </c>
      <c r="J1663" s="24">
        <v>4</v>
      </c>
      <c r="K1663" s="25">
        <f t="shared" si="75"/>
        <v>98400</v>
      </c>
      <c r="L1663" s="26">
        <v>45398</v>
      </c>
      <c r="M1663" s="24" t="str">
        <f t="shared" si="76"/>
        <v>Tuesday</v>
      </c>
      <c r="N1663" s="24" t="str">
        <f t="shared" si="77"/>
        <v>Weekday</v>
      </c>
      <c r="Q1663" s="24"/>
      <c r="R1663" s="24"/>
      <c r="S1663" s="27"/>
      <c r="T1663"/>
      <c r="U1663" s="6"/>
      <c r="W1663" s="7"/>
      <c r="Z1663" s="4"/>
    </row>
    <row r="1664" spans="1:26" x14ac:dyDescent="0.3">
      <c r="A1664" t="s">
        <v>2035</v>
      </c>
      <c r="B1664" s="16" t="s">
        <v>308</v>
      </c>
      <c r="C1664" s="18" t="s">
        <v>366</v>
      </c>
      <c r="D1664" s="18" t="s">
        <v>324</v>
      </c>
      <c r="E1664" s="18">
        <v>44</v>
      </c>
      <c r="F1664" t="s">
        <v>375</v>
      </c>
      <c r="G1664" s="18" t="s">
        <v>13</v>
      </c>
      <c r="H1664" s="18" t="s">
        <v>14</v>
      </c>
      <c r="I1664" s="18">
        <v>36900</v>
      </c>
      <c r="J1664" s="18">
        <v>2</v>
      </c>
      <c r="K1664" s="19">
        <f t="shared" si="75"/>
        <v>73800</v>
      </c>
      <c r="L1664" s="20">
        <v>45470</v>
      </c>
      <c r="M1664" s="18" t="str">
        <f t="shared" si="76"/>
        <v>Thursday</v>
      </c>
      <c r="N1664" s="18" t="str">
        <f t="shared" si="77"/>
        <v>Weekday</v>
      </c>
      <c r="Q1664" s="18"/>
      <c r="R1664" s="18"/>
      <c r="S1664" s="21"/>
      <c r="T1664"/>
      <c r="U1664" s="6"/>
      <c r="W1664" s="7"/>
      <c r="Z1664" s="4"/>
    </row>
    <row r="1665" spans="1:26" x14ac:dyDescent="0.3">
      <c r="A1665" t="s">
        <v>2036</v>
      </c>
      <c r="B1665" s="22" t="s">
        <v>169</v>
      </c>
      <c r="C1665" s="24" t="s">
        <v>366</v>
      </c>
      <c r="D1665" s="24" t="s">
        <v>328</v>
      </c>
      <c r="E1665" s="24">
        <v>64</v>
      </c>
      <c r="F1665" t="s">
        <v>373</v>
      </c>
      <c r="G1665" s="24" t="s">
        <v>42</v>
      </c>
      <c r="H1665" s="24" t="s">
        <v>14</v>
      </c>
      <c r="I1665" s="24">
        <v>98400</v>
      </c>
      <c r="J1665" s="24">
        <v>2</v>
      </c>
      <c r="K1665" s="25">
        <f t="shared" si="75"/>
        <v>196800</v>
      </c>
      <c r="L1665" s="26">
        <v>45605</v>
      </c>
      <c r="M1665" s="24" t="str">
        <f t="shared" si="76"/>
        <v>Saturday</v>
      </c>
      <c r="N1665" s="24" t="str">
        <f t="shared" si="77"/>
        <v>Weekend</v>
      </c>
      <c r="Q1665" s="24"/>
      <c r="R1665" s="24"/>
      <c r="S1665" s="27"/>
      <c r="T1665"/>
      <c r="U1665" s="6"/>
      <c r="W1665" s="7"/>
      <c r="Z1665" s="4"/>
    </row>
    <row r="1666" spans="1:26" x14ac:dyDescent="0.3">
      <c r="A1666" t="s">
        <v>2037</v>
      </c>
      <c r="B1666" s="16" t="s">
        <v>65</v>
      </c>
      <c r="C1666" s="18" t="s">
        <v>11</v>
      </c>
      <c r="D1666" s="18" t="s">
        <v>326</v>
      </c>
      <c r="E1666" s="18">
        <v>61</v>
      </c>
      <c r="F1666" t="s">
        <v>375</v>
      </c>
      <c r="G1666" s="18" t="s">
        <v>32</v>
      </c>
      <c r="H1666" s="18" t="s">
        <v>18</v>
      </c>
      <c r="I1666" s="18">
        <v>3690</v>
      </c>
      <c r="J1666" s="18">
        <v>1</v>
      </c>
      <c r="K1666" s="19">
        <f t="shared" ref="K1666:K1729" si="78">I1666*J1666</f>
        <v>3690</v>
      </c>
      <c r="L1666" s="20">
        <v>45433</v>
      </c>
      <c r="M1666" s="18" t="str">
        <f t="shared" ref="M1666:M1729" si="79">TEXT(L1666, "dddd")</f>
        <v>Tuesday</v>
      </c>
      <c r="N1666" s="18" t="str">
        <f t="shared" ref="N1666:N1729" si="80">IF(OR(WEEKDAY(L1666, 2)=5, WEEKDAY(L1666, 2)=6), "Weekend", "Weekday")</f>
        <v>Weekday</v>
      </c>
      <c r="Q1666" s="18"/>
      <c r="R1666" s="18"/>
      <c r="S1666" s="21"/>
      <c r="T1666"/>
      <c r="U1666" s="6"/>
      <c r="W1666" s="7"/>
      <c r="Z1666" s="4"/>
    </row>
    <row r="1667" spans="1:26" x14ac:dyDescent="0.3">
      <c r="A1667" t="s">
        <v>2038</v>
      </c>
      <c r="B1667" s="22" t="s">
        <v>40</v>
      </c>
      <c r="C1667" s="24" t="s">
        <v>11</v>
      </c>
      <c r="D1667" s="24" t="s">
        <v>323</v>
      </c>
      <c r="E1667" s="24">
        <v>57</v>
      </c>
      <c r="F1667" t="s">
        <v>373</v>
      </c>
      <c r="G1667" s="24" t="s">
        <v>42</v>
      </c>
      <c r="H1667" s="24" t="s">
        <v>14</v>
      </c>
      <c r="I1667" s="24">
        <v>98400</v>
      </c>
      <c r="J1667" s="24">
        <v>5</v>
      </c>
      <c r="K1667" s="25">
        <f t="shared" si="78"/>
        <v>492000</v>
      </c>
      <c r="L1667" s="26">
        <v>45310</v>
      </c>
      <c r="M1667" s="24" t="str">
        <f t="shared" si="79"/>
        <v>Friday</v>
      </c>
      <c r="N1667" s="24" t="str">
        <f t="shared" si="80"/>
        <v>Weekend</v>
      </c>
      <c r="Q1667" s="24"/>
      <c r="R1667" s="24"/>
      <c r="S1667" s="27"/>
      <c r="T1667"/>
      <c r="U1667" s="6"/>
      <c r="W1667" s="7"/>
      <c r="Z1667" s="4"/>
    </row>
    <row r="1668" spans="1:26" x14ac:dyDescent="0.3">
      <c r="A1668" t="s">
        <v>2039</v>
      </c>
      <c r="B1668" s="16" t="s">
        <v>134</v>
      </c>
      <c r="C1668" s="18" t="s">
        <v>366</v>
      </c>
      <c r="D1668" s="18" t="s">
        <v>322</v>
      </c>
      <c r="E1668" s="18">
        <v>33</v>
      </c>
      <c r="F1668" t="s">
        <v>370</v>
      </c>
      <c r="G1668" s="18" t="s">
        <v>13</v>
      </c>
      <c r="H1668" s="18" t="s">
        <v>14</v>
      </c>
      <c r="I1668" s="18">
        <v>36900</v>
      </c>
      <c r="J1668" s="18">
        <v>5</v>
      </c>
      <c r="K1668" s="19">
        <f t="shared" si="78"/>
        <v>184500</v>
      </c>
      <c r="L1668" s="20">
        <v>45642</v>
      </c>
      <c r="M1668" s="18" t="str">
        <f t="shared" si="79"/>
        <v>Monday</v>
      </c>
      <c r="N1668" s="18" t="str">
        <f t="shared" si="80"/>
        <v>Weekday</v>
      </c>
      <c r="Q1668" s="18"/>
      <c r="R1668" s="18"/>
      <c r="S1668" s="21"/>
      <c r="T1668"/>
      <c r="U1668" s="6"/>
      <c r="W1668" s="7"/>
      <c r="Z1668" s="4"/>
    </row>
    <row r="1669" spans="1:26" x14ac:dyDescent="0.3">
      <c r="A1669" t="s">
        <v>2040</v>
      </c>
      <c r="B1669" s="22" t="s">
        <v>102</v>
      </c>
      <c r="C1669" s="24" t="s">
        <v>20</v>
      </c>
      <c r="D1669" s="24" t="s">
        <v>322</v>
      </c>
      <c r="E1669" s="24">
        <v>48</v>
      </c>
      <c r="F1669" t="s">
        <v>370</v>
      </c>
      <c r="G1669" s="24" t="s">
        <v>24</v>
      </c>
      <c r="H1669" s="24" t="s">
        <v>14</v>
      </c>
      <c r="I1669" s="24">
        <v>184500</v>
      </c>
      <c r="J1669" s="24">
        <v>4</v>
      </c>
      <c r="K1669" s="25">
        <f t="shared" si="78"/>
        <v>738000</v>
      </c>
      <c r="L1669" s="26">
        <v>45341</v>
      </c>
      <c r="M1669" s="24" t="str">
        <f t="shared" si="79"/>
        <v>Monday</v>
      </c>
      <c r="N1669" s="24" t="str">
        <f t="shared" si="80"/>
        <v>Weekday</v>
      </c>
      <c r="Q1669" s="24"/>
      <c r="R1669" s="24"/>
      <c r="S1669" s="27"/>
      <c r="T1669"/>
      <c r="U1669" s="6"/>
      <c r="W1669" s="7"/>
      <c r="Z1669" s="4"/>
    </row>
    <row r="1670" spans="1:26" x14ac:dyDescent="0.3">
      <c r="A1670" t="s">
        <v>2041</v>
      </c>
      <c r="B1670" s="16" t="s">
        <v>174</v>
      </c>
      <c r="C1670" s="18" t="s">
        <v>11</v>
      </c>
      <c r="D1670" s="18" t="s">
        <v>322</v>
      </c>
      <c r="E1670" s="18">
        <v>57</v>
      </c>
      <c r="F1670" t="s">
        <v>373</v>
      </c>
      <c r="G1670" s="18" t="s">
        <v>17</v>
      </c>
      <c r="H1670" s="18" t="s">
        <v>18</v>
      </c>
      <c r="I1670" s="18">
        <v>12300</v>
      </c>
      <c r="J1670" s="18">
        <v>4</v>
      </c>
      <c r="K1670" s="19">
        <f t="shared" si="78"/>
        <v>49200</v>
      </c>
      <c r="L1670" s="20">
        <v>45578</v>
      </c>
      <c r="M1670" s="18" t="str">
        <f t="shared" si="79"/>
        <v>Sunday</v>
      </c>
      <c r="N1670" s="18" t="str">
        <f t="shared" si="80"/>
        <v>Weekday</v>
      </c>
      <c r="Q1670" s="18"/>
      <c r="R1670" s="18"/>
      <c r="S1670" s="21"/>
      <c r="T1670"/>
      <c r="U1670" s="6"/>
      <c r="W1670" s="7"/>
      <c r="Z1670" s="4"/>
    </row>
    <row r="1671" spans="1:26" x14ac:dyDescent="0.3">
      <c r="A1671" t="s">
        <v>2042</v>
      </c>
      <c r="B1671" s="22" t="s">
        <v>212</v>
      </c>
      <c r="C1671" s="24" t="s">
        <v>20</v>
      </c>
      <c r="D1671" s="24" t="s">
        <v>322</v>
      </c>
      <c r="E1671" s="24">
        <v>54</v>
      </c>
      <c r="F1671" t="s">
        <v>381</v>
      </c>
      <c r="G1671" s="24" t="s">
        <v>31</v>
      </c>
      <c r="H1671" s="24" t="s">
        <v>18</v>
      </c>
      <c r="I1671" s="24">
        <v>6150</v>
      </c>
      <c r="J1671" s="24">
        <v>1</v>
      </c>
      <c r="K1671" s="25">
        <f t="shared" si="78"/>
        <v>6150</v>
      </c>
      <c r="L1671" s="26">
        <v>45648</v>
      </c>
      <c r="M1671" s="24" t="str">
        <f t="shared" si="79"/>
        <v>Sunday</v>
      </c>
      <c r="N1671" s="24" t="str">
        <f t="shared" si="80"/>
        <v>Weekday</v>
      </c>
      <c r="Q1671" s="24"/>
      <c r="R1671" s="24"/>
      <c r="S1671" s="27"/>
      <c r="T1671"/>
      <c r="U1671" s="6"/>
      <c r="W1671" s="7"/>
      <c r="Z1671" s="4"/>
    </row>
    <row r="1672" spans="1:26" x14ac:dyDescent="0.3">
      <c r="A1672" t="s">
        <v>2043</v>
      </c>
      <c r="B1672" s="16" t="s">
        <v>110</v>
      </c>
      <c r="C1672" s="18" t="s">
        <v>11</v>
      </c>
      <c r="D1672" s="18" t="s">
        <v>323</v>
      </c>
      <c r="E1672" s="18">
        <v>25</v>
      </c>
      <c r="F1672" t="s">
        <v>373</v>
      </c>
      <c r="G1672" s="18" t="s">
        <v>42</v>
      </c>
      <c r="H1672" s="18" t="s">
        <v>14</v>
      </c>
      <c r="I1672" s="18">
        <v>98400</v>
      </c>
      <c r="J1672" s="18">
        <v>5</v>
      </c>
      <c r="K1672" s="19">
        <f t="shared" si="78"/>
        <v>492000</v>
      </c>
      <c r="L1672" s="20">
        <v>45357</v>
      </c>
      <c r="M1672" s="18" t="str">
        <f t="shared" si="79"/>
        <v>Wednesday</v>
      </c>
      <c r="N1672" s="18" t="str">
        <f t="shared" si="80"/>
        <v>Weekday</v>
      </c>
      <c r="Q1672" s="18"/>
      <c r="R1672" s="18"/>
      <c r="S1672" s="21"/>
      <c r="T1672"/>
      <c r="U1672" s="6"/>
      <c r="W1672" s="7"/>
      <c r="Z1672" s="4"/>
    </row>
    <row r="1673" spans="1:26" x14ac:dyDescent="0.3">
      <c r="A1673" t="s">
        <v>2044</v>
      </c>
      <c r="B1673" s="22" t="s">
        <v>315</v>
      </c>
      <c r="C1673" s="24" t="s">
        <v>11</v>
      </c>
      <c r="D1673" s="24" t="s">
        <v>322</v>
      </c>
      <c r="E1673" s="24">
        <v>20</v>
      </c>
      <c r="F1673" t="s">
        <v>370</v>
      </c>
      <c r="G1673" s="24" t="s">
        <v>31</v>
      </c>
      <c r="H1673" s="24" t="s">
        <v>18</v>
      </c>
      <c r="I1673" s="24">
        <v>6150</v>
      </c>
      <c r="J1673" s="24">
        <v>2</v>
      </c>
      <c r="K1673" s="25">
        <f t="shared" si="78"/>
        <v>12300</v>
      </c>
      <c r="L1673" s="26">
        <v>45455</v>
      </c>
      <c r="M1673" s="24" t="str">
        <f t="shared" si="79"/>
        <v>Wednesday</v>
      </c>
      <c r="N1673" s="24" t="str">
        <f t="shared" si="80"/>
        <v>Weekday</v>
      </c>
      <c r="Q1673" s="24"/>
      <c r="R1673" s="24"/>
      <c r="S1673" s="27"/>
      <c r="T1673"/>
      <c r="U1673" s="6"/>
      <c r="W1673" s="7"/>
      <c r="Z1673" s="4"/>
    </row>
    <row r="1674" spans="1:26" x14ac:dyDescent="0.3">
      <c r="A1674" t="s">
        <v>2045</v>
      </c>
      <c r="B1674" s="16" t="s">
        <v>46</v>
      </c>
      <c r="C1674" s="18" t="s">
        <v>366</v>
      </c>
      <c r="D1674" s="18" t="s">
        <v>323</v>
      </c>
      <c r="E1674" s="18">
        <v>40</v>
      </c>
      <c r="F1674" t="s">
        <v>373</v>
      </c>
      <c r="G1674" s="18" t="s">
        <v>17</v>
      </c>
      <c r="H1674" s="18" t="s">
        <v>18</v>
      </c>
      <c r="I1674" s="18">
        <v>12300</v>
      </c>
      <c r="J1674" s="18">
        <v>4</v>
      </c>
      <c r="K1674" s="19">
        <f t="shared" si="78"/>
        <v>49200</v>
      </c>
      <c r="L1674" s="20">
        <v>45577</v>
      </c>
      <c r="M1674" s="18" t="str">
        <f t="shared" si="79"/>
        <v>Saturday</v>
      </c>
      <c r="N1674" s="18" t="str">
        <f t="shared" si="80"/>
        <v>Weekend</v>
      </c>
      <c r="Q1674" s="18"/>
      <c r="R1674" s="18"/>
      <c r="S1674" s="21"/>
      <c r="T1674"/>
      <c r="U1674" s="6"/>
      <c r="W1674" s="7"/>
      <c r="Z1674" s="4"/>
    </row>
    <row r="1675" spans="1:26" x14ac:dyDescent="0.3">
      <c r="A1675" t="s">
        <v>2046</v>
      </c>
      <c r="B1675" s="22" t="s">
        <v>145</v>
      </c>
      <c r="C1675" s="24" t="s">
        <v>11</v>
      </c>
      <c r="D1675" s="24" t="s">
        <v>325</v>
      </c>
      <c r="E1675" s="24">
        <v>50</v>
      </c>
      <c r="F1675" t="s">
        <v>370</v>
      </c>
      <c r="G1675" s="24" t="s">
        <v>13</v>
      </c>
      <c r="H1675" s="24" t="s">
        <v>14</v>
      </c>
      <c r="I1675" s="24">
        <v>36900</v>
      </c>
      <c r="J1675" s="24">
        <v>2</v>
      </c>
      <c r="K1675" s="25">
        <f t="shared" si="78"/>
        <v>73800</v>
      </c>
      <c r="L1675" s="26">
        <v>45578</v>
      </c>
      <c r="M1675" s="24" t="str">
        <f t="shared" si="79"/>
        <v>Sunday</v>
      </c>
      <c r="N1675" s="24" t="str">
        <f t="shared" si="80"/>
        <v>Weekday</v>
      </c>
      <c r="Q1675" s="24"/>
      <c r="R1675" s="24"/>
      <c r="S1675" s="27"/>
      <c r="T1675"/>
      <c r="U1675" s="6"/>
      <c r="W1675" s="7"/>
      <c r="Z1675" s="4"/>
    </row>
    <row r="1676" spans="1:26" x14ac:dyDescent="0.3">
      <c r="A1676" t="s">
        <v>2047</v>
      </c>
      <c r="B1676" s="16" t="s">
        <v>266</v>
      </c>
      <c r="C1676" s="18" t="s">
        <v>20</v>
      </c>
      <c r="D1676" s="18" t="s">
        <v>322</v>
      </c>
      <c r="E1676" s="18">
        <v>64</v>
      </c>
      <c r="F1676" t="s">
        <v>381</v>
      </c>
      <c r="G1676" s="18" t="s">
        <v>26</v>
      </c>
      <c r="H1676" s="18" t="s">
        <v>27</v>
      </c>
      <c r="I1676" s="18">
        <v>24600</v>
      </c>
      <c r="J1676" s="18">
        <v>1</v>
      </c>
      <c r="K1676" s="19">
        <f t="shared" si="78"/>
        <v>24600</v>
      </c>
      <c r="L1676" s="20">
        <v>45362</v>
      </c>
      <c r="M1676" s="18" t="str">
        <f t="shared" si="79"/>
        <v>Monday</v>
      </c>
      <c r="N1676" s="18" t="str">
        <f t="shared" si="80"/>
        <v>Weekday</v>
      </c>
      <c r="Q1676" s="18"/>
      <c r="R1676" s="18"/>
      <c r="S1676" s="21"/>
      <c r="T1676"/>
      <c r="U1676" s="6"/>
      <c r="W1676" s="7"/>
      <c r="Z1676" s="4"/>
    </row>
    <row r="1677" spans="1:26" x14ac:dyDescent="0.3">
      <c r="A1677" t="s">
        <v>2048</v>
      </c>
      <c r="B1677" s="22" t="s">
        <v>78</v>
      </c>
      <c r="C1677" s="24" t="s">
        <v>366</v>
      </c>
      <c r="D1677" s="24" t="s">
        <v>322</v>
      </c>
      <c r="E1677" s="24">
        <v>62</v>
      </c>
      <c r="F1677" t="s">
        <v>381</v>
      </c>
      <c r="G1677" s="24" t="s">
        <v>32</v>
      </c>
      <c r="H1677" s="24" t="s">
        <v>18</v>
      </c>
      <c r="I1677" s="24">
        <v>3690</v>
      </c>
      <c r="J1677" s="24">
        <v>5</v>
      </c>
      <c r="K1677" s="25">
        <f t="shared" si="78"/>
        <v>18450</v>
      </c>
      <c r="L1677" s="26">
        <v>45409</v>
      </c>
      <c r="M1677" s="24" t="str">
        <f t="shared" si="79"/>
        <v>Saturday</v>
      </c>
      <c r="N1677" s="24" t="str">
        <f t="shared" si="80"/>
        <v>Weekend</v>
      </c>
      <c r="Q1677" s="24"/>
      <c r="R1677" s="24"/>
      <c r="S1677" s="27"/>
      <c r="T1677"/>
      <c r="U1677" s="6"/>
      <c r="W1677" s="7"/>
      <c r="Z1677" s="4"/>
    </row>
    <row r="1678" spans="1:26" x14ac:dyDescent="0.3">
      <c r="A1678" t="s">
        <v>2049</v>
      </c>
      <c r="B1678" s="16" t="s">
        <v>160</v>
      </c>
      <c r="C1678" s="18" t="s">
        <v>11</v>
      </c>
      <c r="D1678" s="18" t="s">
        <v>323</v>
      </c>
      <c r="E1678" s="18">
        <v>32</v>
      </c>
      <c r="F1678" t="s">
        <v>373</v>
      </c>
      <c r="G1678" s="18" t="s">
        <v>31</v>
      </c>
      <c r="H1678" s="18" t="s">
        <v>18</v>
      </c>
      <c r="I1678" s="18">
        <v>6150</v>
      </c>
      <c r="J1678" s="18">
        <v>5</v>
      </c>
      <c r="K1678" s="19">
        <f t="shared" si="78"/>
        <v>30750</v>
      </c>
      <c r="L1678" s="20">
        <v>45343</v>
      </c>
      <c r="M1678" s="18" t="str">
        <f t="shared" si="79"/>
        <v>Wednesday</v>
      </c>
      <c r="N1678" s="18" t="str">
        <f t="shared" si="80"/>
        <v>Weekday</v>
      </c>
      <c r="Q1678" s="18"/>
      <c r="R1678" s="18"/>
      <c r="S1678" s="21"/>
      <c r="T1678"/>
      <c r="U1678" s="6"/>
      <c r="W1678" s="7"/>
      <c r="Z1678" s="4"/>
    </row>
    <row r="1679" spans="1:26" x14ac:dyDescent="0.3">
      <c r="A1679" t="s">
        <v>2050</v>
      </c>
      <c r="B1679" s="22" t="s">
        <v>219</v>
      </c>
      <c r="C1679" s="24" t="s">
        <v>11</v>
      </c>
      <c r="D1679" s="24" t="s">
        <v>328</v>
      </c>
      <c r="E1679" s="24">
        <v>69</v>
      </c>
      <c r="F1679" t="s">
        <v>370</v>
      </c>
      <c r="G1679" s="24" t="s">
        <v>24</v>
      </c>
      <c r="H1679" s="24" t="s">
        <v>14</v>
      </c>
      <c r="I1679" s="24">
        <v>184500</v>
      </c>
      <c r="J1679" s="24">
        <v>5</v>
      </c>
      <c r="K1679" s="25">
        <f t="shared" si="78"/>
        <v>922500</v>
      </c>
      <c r="L1679" s="26">
        <v>45308</v>
      </c>
      <c r="M1679" s="24" t="str">
        <f t="shared" si="79"/>
        <v>Wednesday</v>
      </c>
      <c r="N1679" s="24" t="str">
        <f t="shared" si="80"/>
        <v>Weekday</v>
      </c>
      <c r="Q1679" s="24"/>
      <c r="R1679" s="24"/>
      <c r="S1679" s="27"/>
      <c r="T1679"/>
      <c r="U1679" s="6"/>
      <c r="W1679" s="7"/>
      <c r="Z1679" s="4"/>
    </row>
    <row r="1680" spans="1:26" x14ac:dyDescent="0.3">
      <c r="A1680" t="s">
        <v>2051</v>
      </c>
      <c r="B1680" s="16" t="s">
        <v>154</v>
      </c>
      <c r="C1680" s="18" t="s">
        <v>11</v>
      </c>
      <c r="D1680" s="18" t="s">
        <v>328</v>
      </c>
      <c r="E1680" s="18">
        <v>53</v>
      </c>
      <c r="F1680" t="s">
        <v>381</v>
      </c>
      <c r="G1680" s="18" t="s">
        <v>26</v>
      </c>
      <c r="H1680" s="18" t="s">
        <v>27</v>
      </c>
      <c r="I1680" s="18">
        <v>24600</v>
      </c>
      <c r="J1680" s="18">
        <v>2</v>
      </c>
      <c r="K1680" s="19">
        <f t="shared" si="78"/>
        <v>49200</v>
      </c>
      <c r="L1680" s="20">
        <v>45500</v>
      </c>
      <c r="M1680" s="18" t="str">
        <f t="shared" si="79"/>
        <v>Saturday</v>
      </c>
      <c r="N1680" s="18" t="str">
        <f t="shared" si="80"/>
        <v>Weekend</v>
      </c>
      <c r="Q1680" s="18"/>
      <c r="R1680" s="18"/>
      <c r="S1680" s="21"/>
      <c r="T1680"/>
      <c r="U1680" s="6"/>
      <c r="W1680" s="7"/>
      <c r="Z1680" s="4"/>
    </row>
    <row r="1681" spans="1:26" x14ac:dyDescent="0.3">
      <c r="A1681" t="s">
        <v>2052</v>
      </c>
      <c r="B1681" s="22" t="s">
        <v>202</v>
      </c>
      <c r="C1681" s="24" t="s">
        <v>11</v>
      </c>
      <c r="D1681" s="24" t="s">
        <v>324</v>
      </c>
      <c r="E1681" s="24">
        <v>44</v>
      </c>
      <c r="F1681" t="s">
        <v>375</v>
      </c>
      <c r="G1681" s="24" t="s">
        <v>26</v>
      </c>
      <c r="H1681" s="24" t="s">
        <v>27</v>
      </c>
      <c r="I1681" s="24">
        <v>24600</v>
      </c>
      <c r="J1681" s="24">
        <v>4</v>
      </c>
      <c r="K1681" s="25">
        <f t="shared" si="78"/>
        <v>98400</v>
      </c>
      <c r="L1681" s="26">
        <v>45552</v>
      </c>
      <c r="M1681" s="24" t="str">
        <f t="shared" si="79"/>
        <v>Tuesday</v>
      </c>
      <c r="N1681" s="24" t="str">
        <f t="shared" si="80"/>
        <v>Weekday</v>
      </c>
      <c r="Q1681" s="24"/>
      <c r="R1681" s="24"/>
      <c r="S1681" s="27"/>
      <c r="T1681"/>
      <c r="U1681" s="6"/>
      <c r="W1681" s="7"/>
      <c r="Z1681" s="4"/>
    </row>
    <row r="1682" spans="1:26" x14ac:dyDescent="0.3">
      <c r="A1682" t="s">
        <v>2053</v>
      </c>
      <c r="B1682" s="16" t="s">
        <v>97</v>
      </c>
      <c r="C1682" s="18" t="s">
        <v>20</v>
      </c>
      <c r="D1682" s="18" t="s">
        <v>322</v>
      </c>
      <c r="E1682" s="18">
        <v>33</v>
      </c>
      <c r="F1682" t="s">
        <v>373</v>
      </c>
      <c r="G1682" s="18" t="s">
        <v>26</v>
      </c>
      <c r="H1682" s="18" t="s">
        <v>27</v>
      </c>
      <c r="I1682" s="18">
        <v>24600</v>
      </c>
      <c r="J1682" s="18">
        <v>2</v>
      </c>
      <c r="K1682" s="19">
        <f t="shared" si="78"/>
        <v>49200</v>
      </c>
      <c r="L1682" s="20">
        <v>45312</v>
      </c>
      <c r="M1682" s="18" t="str">
        <f t="shared" si="79"/>
        <v>Sunday</v>
      </c>
      <c r="N1682" s="18" t="str">
        <f t="shared" si="80"/>
        <v>Weekday</v>
      </c>
      <c r="Q1682" s="18"/>
      <c r="R1682" s="18"/>
      <c r="S1682" s="21"/>
      <c r="T1682"/>
      <c r="U1682" s="6"/>
      <c r="W1682" s="7"/>
      <c r="Z1682" s="4"/>
    </row>
    <row r="1683" spans="1:26" x14ac:dyDescent="0.3">
      <c r="A1683" t="s">
        <v>2054</v>
      </c>
      <c r="B1683" s="22" t="s">
        <v>169</v>
      </c>
      <c r="C1683" s="24" t="s">
        <v>366</v>
      </c>
      <c r="D1683" s="24" t="s">
        <v>328</v>
      </c>
      <c r="E1683" s="24">
        <v>64</v>
      </c>
      <c r="F1683" t="s">
        <v>375</v>
      </c>
      <c r="G1683" s="24" t="s">
        <v>17</v>
      </c>
      <c r="H1683" s="24" t="s">
        <v>18</v>
      </c>
      <c r="I1683" s="24">
        <v>12300</v>
      </c>
      <c r="J1683" s="24">
        <v>2</v>
      </c>
      <c r="K1683" s="25">
        <f t="shared" si="78"/>
        <v>24600</v>
      </c>
      <c r="L1683" s="26">
        <v>45585</v>
      </c>
      <c r="M1683" s="24" t="str">
        <f t="shared" si="79"/>
        <v>Sunday</v>
      </c>
      <c r="N1683" s="24" t="str">
        <f t="shared" si="80"/>
        <v>Weekday</v>
      </c>
      <c r="Q1683" s="24"/>
      <c r="R1683" s="24"/>
      <c r="S1683" s="27"/>
      <c r="T1683"/>
      <c r="U1683" s="6"/>
      <c r="W1683" s="7"/>
      <c r="Z1683" s="4"/>
    </row>
    <row r="1684" spans="1:26" x14ac:dyDescent="0.3">
      <c r="A1684" t="s">
        <v>2055</v>
      </c>
      <c r="B1684" s="16" t="s">
        <v>86</v>
      </c>
      <c r="C1684" s="18" t="s">
        <v>11</v>
      </c>
      <c r="D1684" s="18" t="s">
        <v>326</v>
      </c>
      <c r="E1684" s="18">
        <v>28</v>
      </c>
      <c r="F1684" t="s">
        <v>373</v>
      </c>
      <c r="G1684" s="18" t="s">
        <v>32</v>
      </c>
      <c r="H1684" s="18" t="s">
        <v>18</v>
      </c>
      <c r="I1684" s="18">
        <v>3690</v>
      </c>
      <c r="J1684" s="18">
        <v>2</v>
      </c>
      <c r="K1684" s="19">
        <f t="shared" si="78"/>
        <v>7380</v>
      </c>
      <c r="L1684" s="20">
        <v>45497</v>
      </c>
      <c r="M1684" s="18" t="str">
        <f t="shared" si="79"/>
        <v>Wednesday</v>
      </c>
      <c r="N1684" s="18" t="str">
        <f t="shared" si="80"/>
        <v>Weekday</v>
      </c>
      <c r="Q1684" s="18"/>
      <c r="R1684" s="18"/>
      <c r="S1684" s="21"/>
      <c r="T1684"/>
      <c r="U1684" s="6"/>
      <c r="W1684" s="7"/>
      <c r="Z1684" s="4"/>
    </row>
    <row r="1685" spans="1:26" x14ac:dyDescent="0.3">
      <c r="A1685" t="s">
        <v>2056</v>
      </c>
      <c r="B1685" s="22" t="s">
        <v>84</v>
      </c>
      <c r="C1685" s="24" t="s">
        <v>20</v>
      </c>
      <c r="D1685" s="24" t="s">
        <v>322</v>
      </c>
      <c r="E1685" s="24">
        <v>24</v>
      </c>
      <c r="F1685" t="s">
        <v>370</v>
      </c>
      <c r="G1685" s="24" t="s">
        <v>26</v>
      </c>
      <c r="H1685" s="24" t="s">
        <v>27</v>
      </c>
      <c r="I1685" s="24">
        <v>24600</v>
      </c>
      <c r="J1685" s="24">
        <v>4</v>
      </c>
      <c r="K1685" s="25">
        <f t="shared" si="78"/>
        <v>98400</v>
      </c>
      <c r="L1685" s="26">
        <v>45449</v>
      </c>
      <c r="M1685" s="24" t="str">
        <f t="shared" si="79"/>
        <v>Thursday</v>
      </c>
      <c r="N1685" s="24" t="str">
        <f t="shared" si="80"/>
        <v>Weekday</v>
      </c>
      <c r="Q1685" s="24"/>
      <c r="R1685" s="24"/>
      <c r="S1685" s="27"/>
      <c r="T1685"/>
      <c r="U1685" s="6"/>
      <c r="W1685" s="7"/>
      <c r="Z1685" s="4"/>
    </row>
    <row r="1686" spans="1:26" x14ac:dyDescent="0.3">
      <c r="A1686" t="s">
        <v>2057</v>
      </c>
      <c r="B1686" s="16" t="s">
        <v>236</v>
      </c>
      <c r="C1686" s="18" t="s">
        <v>20</v>
      </c>
      <c r="D1686" s="18" t="s">
        <v>329</v>
      </c>
      <c r="E1686" s="18">
        <v>18</v>
      </c>
      <c r="F1686" t="s">
        <v>370</v>
      </c>
      <c r="G1686" s="18" t="s">
        <v>13</v>
      </c>
      <c r="H1686" s="18" t="s">
        <v>14</v>
      </c>
      <c r="I1686" s="18">
        <v>36900</v>
      </c>
      <c r="J1686" s="18">
        <v>2</v>
      </c>
      <c r="K1686" s="19">
        <f t="shared" si="78"/>
        <v>73800</v>
      </c>
      <c r="L1686" s="20">
        <v>45310</v>
      </c>
      <c r="M1686" s="18" t="str">
        <f t="shared" si="79"/>
        <v>Friday</v>
      </c>
      <c r="N1686" s="18" t="str">
        <f t="shared" si="80"/>
        <v>Weekend</v>
      </c>
      <c r="Q1686" s="18"/>
      <c r="R1686" s="18"/>
      <c r="S1686" s="21"/>
      <c r="T1686"/>
      <c r="U1686" s="6"/>
      <c r="W1686" s="7"/>
      <c r="Z1686" s="4"/>
    </row>
    <row r="1687" spans="1:26" x14ac:dyDescent="0.3">
      <c r="A1687" t="s">
        <v>2058</v>
      </c>
      <c r="B1687" s="22" t="s">
        <v>108</v>
      </c>
      <c r="C1687" s="24" t="s">
        <v>11</v>
      </c>
      <c r="D1687" s="24" t="s">
        <v>329</v>
      </c>
      <c r="E1687" s="24">
        <v>42</v>
      </c>
      <c r="F1687" t="s">
        <v>375</v>
      </c>
      <c r="G1687" s="24" t="s">
        <v>17</v>
      </c>
      <c r="H1687" s="24" t="s">
        <v>18</v>
      </c>
      <c r="I1687" s="24">
        <v>12300</v>
      </c>
      <c r="J1687" s="24">
        <v>5</v>
      </c>
      <c r="K1687" s="25">
        <f t="shared" si="78"/>
        <v>61500</v>
      </c>
      <c r="L1687" s="26">
        <v>45387</v>
      </c>
      <c r="M1687" s="24" t="str">
        <f t="shared" si="79"/>
        <v>Friday</v>
      </c>
      <c r="N1687" s="24" t="str">
        <f t="shared" si="80"/>
        <v>Weekend</v>
      </c>
      <c r="Q1687" s="24"/>
      <c r="R1687" s="24"/>
      <c r="S1687" s="27"/>
      <c r="T1687"/>
      <c r="U1687" s="6"/>
      <c r="W1687" s="7"/>
      <c r="Z1687" s="4"/>
    </row>
    <row r="1688" spans="1:26" x14ac:dyDescent="0.3">
      <c r="A1688" t="s">
        <v>2059</v>
      </c>
      <c r="B1688" s="16" t="s">
        <v>54</v>
      </c>
      <c r="C1688" s="18" t="s">
        <v>11</v>
      </c>
      <c r="D1688" s="18" t="s">
        <v>322</v>
      </c>
      <c r="E1688" s="18">
        <v>57</v>
      </c>
      <c r="F1688" t="s">
        <v>370</v>
      </c>
      <c r="G1688" s="18" t="s">
        <v>17</v>
      </c>
      <c r="H1688" s="18" t="s">
        <v>18</v>
      </c>
      <c r="I1688" s="18">
        <v>12300</v>
      </c>
      <c r="J1688" s="18">
        <v>3</v>
      </c>
      <c r="K1688" s="19">
        <f t="shared" si="78"/>
        <v>36900</v>
      </c>
      <c r="L1688" s="20">
        <v>45657</v>
      </c>
      <c r="M1688" s="18" t="str">
        <f t="shared" si="79"/>
        <v>Tuesday</v>
      </c>
      <c r="N1688" s="18" t="str">
        <f t="shared" si="80"/>
        <v>Weekday</v>
      </c>
      <c r="Q1688" s="18"/>
      <c r="R1688" s="18"/>
      <c r="S1688" s="21"/>
      <c r="T1688"/>
      <c r="U1688" s="6"/>
      <c r="W1688" s="7"/>
      <c r="Z1688" s="4"/>
    </row>
    <row r="1689" spans="1:26" x14ac:dyDescent="0.3">
      <c r="A1689" t="s">
        <v>2060</v>
      </c>
      <c r="B1689" s="22" t="s">
        <v>233</v>
      </c>
      <c r="C1689" s="24" t="s">
        <v>20</v>
      </c>
      <c r="D1689" s="24" t="s">
        <v>327</v>
      </c>
      <c r="E1689" s="24">
        <v>64</v>
      </c>
      <c r="F1689" t="s">
        <v>370</v>
      </c>
      <c r="G1689" s="24" t="s">
        <v>31</v>
      </c>
      <c r="H1689" s="24" t="s">
        <v>18</v>
      </c>
      <c r="I1689" s="24">
        <v>6150</v>
      </c>
      <c r="J1689" s="24">
        <v>5</v>
      </c>
      <c r="K1689" s="25">
        <f t="shared" si="78"/>
        <v>30750</v>
      </c>
      <c r="L1689" s="26">
        <v>45589</v>
      </c>
      <c r="M1689" s="24" t="str">
        <f t="shared" si="79"/>
        <v>Thursday</v>
      </c>
      <c r="N1689" s="24" t="str">
        <f t="shared" si="80"/>
        <v>Weekday</v>
      </c>
      <c r="Q1689" s="24"/>
      <c r="R1689" s="24"/>
      <c r="S1689" s="27"/>
      <c r="T1689"/>
      <c r="U1689" s="6"/>
      <c r="W1689" s="7"/>
      <c r="Z1689" s="4"/>
    </row>
    <row r="1690" spans="1:26" x14ac:dyDescent="0.3">
      <c r="A1690" t="s">
        <v>2061</v>
      </c>
      <c r="B1690" s="16" t="s">
        <v>171</v>
      </c>
      <c r="C1690" s="18" t="s">
        <v>11</v>
      </c>
      <c r="D1690" s="18" t="s">
        <v>324</v>
      </c>
      <c r="E1690" s="18">
        <v>51</v>
      </c>
      <c r="F1690" t="s">
        <v>370</v>
      </c>
      <c r="G1690" s="18" t="s">
        <v>13</v>
      </c>
      <c r="H1690" s="18" t="s">
        <v>14</v>
      </c>
      <c r="I1690" s="18">
        <v>36900</v>
      </c>
      <c r="J1690" s="18">
        <v>2</v>
      </c>
      <c r="K1690" s="19">
        <f t="shared" si="78"/>
        <v>73800</v>
      </c>
      <c r="L1690" s="20">
        <v>45379</v>
      </c>
      <c r="M1690" s="18" t="str">
        <f t="shared" si="79"/>
        <v>Thursday</v>
      </c>
      <c r="N1690" s="18" t="str">
        <f t="shared" si="80"/>
        <v>Weekday</v>
      </c>
      <c r="Q1690" s="18"/>
      <c r="R1690" s="18"/>
      <c r="S1690" s="21"/>
      <c r="T1690"/>
      <c r="U1690" s="6"/>
      <c r="W1690" s="7"/>
      <c r="Z1690" s="4"/>
    </row>
    <row r="1691" spans="1:26" x14ac:dyDescent="0.3">
      <c r="A1691" t="s">
        <v>2062</v>
      </c>
      <c r="B1691" s="22" t="s">
        <v>272</v>
      </c>
      <c r="C1691" s="24" t="s">
        <v>20</v>
      </c>
      <c r="D1691" s="24" t="s">
        <v>322</v>
      </c>
      <c r="E1691" s="24">
        <v>36</v>
      </c>
      <c r="F1691" t="s">
        <v>375</v>
      </c>
      <c r="G1691" s="24" t="s">
        <v>17</v>
      </c>
      <c r="H1691" s="24" t="s">
        <v>18</v>
      </c>
      <c r="I1691" s="24">
        <v>12300</v>
      </c>
      <c r="J1691" s="24">
        <v>2</v>
      </c>
      <c r="K1691" s="25">
        <f t="shared" si="78"/>
        <v>24600</v>
      </c>
      <c r="L1691" s="26">
        <v>45601</v>
      </c>
      <c r="M1691" s="24" t="str">
        <f t="shared" si="79"/>
        <v>Tuesday</v>
      </c>
      <c r="N1691" s="24" t="str">
        <f t="shared" si="80"/>
        <v>Weekday</v>
      </c>
      <c r="Q1691" s="24"/>
      <c r="R1691" s="24"/>
      <c r="S1691" s="27"/>
      <c r="T1691"/>
      <c r="U1691" s="6"/>
      <c r="W1691" s="7"/>
      <c r="Z1691" s="4"/>
    </row>
    <row r="1692" spans="1:26" x14ac:dyDescent="0.3">
      <c r="A1692" t="s">
        <v>2063</v>
      </c>
      <c r="B1692" s="16" t="s">
        <v>119</v>
      </c>
      <c r="C1692" s="18" t="s">
        <v>11</v>
      </c>
      <c r="D1692" s="18" t="s">
        <v>323</v>
      </c>
      <c r="E1692" s="18">
        <v>29</v>
      </c>
      <c r="F1692" t="s">
        <v>370</v>
      </c>
      <c r="G1692" s="18" t="s">
        <v>31</v>
      </c>
      <c r="H1692" s="18" t="s">
        <v>18</v>
      </c>
      <c r="I1692" s="18">
        <v>6150</v>
      </c>
      <c r="J1692" s="18">
        <v>5</v>
      </c>
      <c r="K1692" s="19">
        <f t="shared" si="78"/>
        <v>30750</v>
      </c>
      <c r="L1692" s="20">
        <v>45344</v>
      </c>
      <c r="M1692" s="18" t="str">
        <f t="shared" si="79"/>
        <v>Thursday</v>
      </c>
      <c r="N1692" s="18" t="str">
        <f t="shared" si="80"/>
        <v>Weekday</v>
      </c>
      <c r="Q1692" s="18"/>
      <c r="R1692" s="18"/>
      <c r="S1692" s="21"/>
      <c r="T1692"/>
      <c r="U1692" s="6"/>
      <c r="W1692" s="7"/>
      <c r="Z1692" s="4"/>
    </row>
    <row r="1693" spans="1:26" x14ac:dyDescent="0.3">
      <c r="A1693" t="s">
        <v>2064</v>
      </c>
      <c r="B1693" s="22" t="s">
        <v>201</v>
      </c>
      <c r="C1693" s="24" t="s">
        <v>20</v>
      </c>
      <c r="D1693" s="24" t="s">
        <v>322</v>
      </c>
      <c r="E1693" s="24">
        <v>50</v>
      </c>
      <c r="F1693" t="s">
        <v>381</v>
      </c>
      <c r="G1693" s="24" t="s">
        <v>26</v>
      </c>
      <c r="H1693" s="24" t="s">
        <v>27</v>
      </c>
      <c r="I1693" s="24">
        <v>24600</v>
      </c>
      <c r="J1693" s="24">
        <v>5</v>
      </c>
      <c r="K1693" s="25">
        <f t="shared" si="78"/>
        <v>123000</v>
      </c>
      <c r="L1693" s="26">
        <v>45456</v>
      </c>
      <c r="M1693" s="24" t="str">
        <f t="shared" si="79"/>
        <v>Thursday</v>
      </c>
      <c r="N1693" s="24" t="str">
        <f t="shared" si="80"/>
        <v>Weekday</v>
      </c>
      <c r="Q1693" s="24"/>
      <c r="R1693" s="24"/>
      <c r="S1693" s="27"/>
      <c r="T1693"/>
      <c r="U1693" s="6"/>
      <c r="W1693" s="7"/>
      <c r="Z1693" s="4"/>
    </row>
    <row r="1694" spans="1:26" x14ac:dyDescent="0.3">
      <c r="A1694" t="s">
        <v>2065</v>
      </c>
      <c r="B1694" s="16" t="s">
        <v>223</v>
      </c>
      <c r="C1694" s="18" t="s">
        <v>366</v>
      </c>
      <c r="D1694" s="18" t="s">
        <v>326</v>
      </c>
      <c r="E1694" s="18">
        <v>37</v>
      </c>
      <c r="F1694" t="s">
        <v>373</v>
      </c>
      <c r="G1694" s="18" t="s">
        <v>17</v>
      </c>
      <c r="H1694" s="18" t="s">
        <v>18</v>
      </c>
      <c r="I1694" s="18">
        <v>12300</v>
      </c>
      <c r="J1694" s="18">
        <v>1</v>
      </c>
      <c r="K1694" s="19">
        <f t="shared" si="78"/>
        <v>12300</v>
      </c>
      <c r="L1694" s="20">
        <v>45624</v>
      </c>
      <c r="M1694" s="18" t="str">
        <f t="shared" si="79"/>
        <v>Thursday</v>
      </c>
      <c r="N1694" s="18" t="str">
        <f t="shared" si="80"/>
        <v>Weekday</v>
      </c>
      <c r="Q1694" s="18"/>
      <c r="R1694" s="18"/>
      <c r="S1694" s="21"/>
      <c r="T1694"/>
      <c r="U1694" s="6"/>
      <c r="W1694" s="7"/>
      <c r="Z1694" s="4"/>
    </row>
    <row r="1695" spans="1:26" x14ac:dyDescent="0.3">
      <c r="A1695" t="s">
        <v>2066</v>
      </c>
      <c r="B1695" s="22" t="s">
        <v>284</v>
      </c>
      <c r="C1695" s="24" t="s">
        <v>11</v>
      </c>
      <c r="D1695" s="24" t="s">
        <v>322</v>
      </c>
      <c r="E1695" s="24">
        <v>46</v>
      </c>
      <c r="F1695" t="s">
        <v>381</v>
      </c>
      <c r="G1695" s="24" t="s">
        <v>32</v>
      </c>
      <c r="H1695" s="24" t="s">
        <v>18</v>
      </c>
      <c r="I1695" s="24">
        <v>3690</v>
      </c>
      <c r="J1695" s="24">
        <v>4</v>
      </c>
      <c r="K1695" s="25">
        <f t="shared" si="78"/>
        <v>14760</v>
      </c>
      <c r="L1695" s="26">
        <v>45569</v>
      </c>
      <c r="M1695" s="24" t="str">
        <f t="shared" si="79"/>
        <v>Friday</v>
      </c>
      <c r="N1695" s="24" t="str">
        <f t="shared" si="80"/>
        <v>Weekend</v>
      </c>
      <c r="Q1695" s="24"/>
      <c r="R1695" s="24"/>
      <c r="S1695" s="27"/>
      <c r="T1695"/>
      <c r="U1695" s="6"/>
      <c r="W1695" s="7"/>
      <c r="Z1695" s="4"/>
    </row>
    <row r="1696" spans="1:26" x14ac:dyDescent="0.3">
      <c r="A1696" t="s">
        <v>2067</v>
      </c>
      <c r="B1696" s="16" t="s">
        <v>116</v>
      </c>
      <c r="C1696" s="18" t="s">
        <v>20</v>
      </c>
      <c r="D1696" s="18" t="s">
        <v>322</v>
      </c>
      <c r="E1696" s="18">
        <v>33</v>
      </c>
      <c r="F1696" t="s">
        <v>375</v>
      </c>
      <c r="G1696" s="18" t="s">
        <v>26</v>
      </c>
      <c r="H1696" s="18" t="s">
        <v>27</v>
      </c>
      <c r="I1696" s="18">
        <v>24600</v>
      </c>
      <c r="J1696" s="18">
        <v>5</v>
      </c>
      <c r="K1696" s="19">
        <f t="shared" si="78"/>
        <v>123000</v>
      </c>
      <c r="L1696" s="20">
        <v>45643</v>
      </c>
      <c r="M1696" s="18" t="str">
        <f t="shared" si="79"/>
        <v>Tuesday</v>
      </c>
      <c r="N1696" s="18" t="str">
        <f t="shared" si="80"/>
        <v>Weekday</v>
      </c>
      <c r="Q1696" s="18"/>
      <c r="R1696" s="18"/>
      <c r="S1696" s="21"/>
      <c r="T1696"/>
      <c r="U1696" s="6"/>
      <c r="W1696" s="7"/>
      <c r="Z1696" s="4"/>
    </row>
    <row r="1697" spans="1:26" x14ac:dyDescent="0.3">
      <c r="A1697" t="s">
        <v>2068</v>
      </c>
      <c r="B1697" s="22" t="s">
        <v>86</v>
      </c>
      <c r="C1697" s="24" t="s">
        <v>11</v>
      </c>
      <c r="D1697" s="24" t="s">
        <v>326</v>
      </c>
      <c r="E1697" s="24">
        <v>28</v>
      </c>
      <c r="F1697" t="s">
        <v>375</v>
      </c>
      <c r="G1697" s="24" t="s">
        <v>13</v>
      </c>
      <c r="H1697" s="24" t="s">
        <v>14</v>
      </c>
      <c r="I1697" s="24">
        <v>36900</v>
      </c>
      <c r="J1697" s="24">
        <v>4</v>
      </c>
      <c r="K1697" s="25">
        <f t="shared" si="78"/>
        <v>147600</v>
      </c>
      <c r="L1697" s="26">
        <v>45400</v>
      </c>
      <c r="M1697" s="24" t="str">
        <f t="shared" si="79"/>
        <v>Thursday</v>
      </c>
      <c r="N1697" s="24" t="str">
        <f t="shared" si="80"/>
        <v>Weekday</v>
      </c>
      <c r="Q1697" s="24"/>
      <c r="R1697" s="24"/>
      <c r="S1697" s="27"/>
      <c r="T1697"/>
      <c r="U1697" s="6"/>
      <c r="W1697" s="7"/>
      <c r="Z1697" s="4"/>
    </row>
    <row r="1698" spans="1:26" x14ac:dyDescent="0.3">
      <c r="A1698" t="s">
        <v>2069</v>
      </c>
      <c r="B1698" s="16" t="s">
        <v>10</v>
      </c>
      <c r="C1698" s="18" t="s">
        <v>11</v>
      </c>
      <c r="D1698" s="18" t="s">
        <v>322</v>
      </c>
      <c r="E1698" s="18">
        <v>21</v>
      </c>
      <c r="F1698" t="s">
        <v>370</v>
      </c>
      <c r="G1698" s="18" t="s">
        <v>42</v>
      </c>
      <c r="H1698" s="18" t="s">
        <v>14</v>
      </c>
      <c r="I1698" s="18">
        <v>98400</v>
      </c>
      <c r="J1698" s="18">
        <v>4</v>
      </c>
      <c r="K1698" s="19">
        <f t="shared" si="78"/>
        <v>393600</v>
      </c>
      <c r="L1698" s="20">
        <v>45350</v>
      </c>
      <c r="M1698" s="18" t="str">
        <f t="shared" si="79"/>
        <v>Wednesday</v>
      </c>
      <c r="N1698" s="18" t="str">
        <f t="shared" si="80"/>
        <v>Weekday</v>
      </c>
      <c r="Q1698" s="18"/>
      <c r="R1698" s="18"/>
      <c r="S1698" s="21"/>
      <c r="T1698"/>
      <c r="U1698" s="6"/>
      <c r="W1698" s="7"/>
      <c r="Z1698" s="4"/>
    </row>
    <row r="1699" spans="1:26" x14ac:dyDescent="0.3">
      <c r="A1699" t="s">
        <v>2070</v>
      </c>
      <c r="B1699" s="22" t="s">
        <v>48</v>
      </c>
      <c r="C1699" s="24" t="s">
        <v>11</v>
      </c>
      <c r="D1699" s="24" t="s">
        <v>323</v>
      </c>
      <c r="E1699" s="24">
        <v>58</v>
      </c>
      <c r="F1699" t="s">
        <v>381</v>
      </c>
      <c r="G1699" s="24" t="s">
        <v>32</v>
      </c>
      <c r="H1699" s="24" t="s">
        <v>18</v>
      </c>
      <c r="I1699" s="24">
        <v>3690</v>
      </c>
      <c r="J1699" s="24">
        <v>5</v>
      </c>
      <c r="K1699" s="25">
        <f t="shared" si="78"/>
        <v>18450</v>
      </c>
      <c r="L1699" s="26">
        <v>45438</v>
      </c>
      <c r="M1699" s="24" t="str">
        <f t="shared" si="79"/>
        <v>Sunday</v>
      </c>
      <c r="N1699" s="24" t="str">
        <f t="shared" si="80"/>
        <v>Weekday</v>
      </c>
      <c r="Q1699" s="24"/>
      <c r="R1699" s="24"/>
      <c r="S1699" s="27"/>
      <c r="T1699"/>
      <c r="U1699" s="6"/>
      <c r="W1699" s="7"/>
      <c r="Z1699" s="4"/>
    </row>
    <row r="1700" spans="1:26" x14ac:dyDescent="0.3">
      <c r="A1700" t="s">
        <v>2071</v>
      </c>
      <c r="B1700" s="16" t="s">
        <v>221</v>
      </c>
      <c r="C1700" s="18" t="s">
        <v>20</v>
      </c>
      <c r="D1700" s="18" t="s">
        <v>323</v>
      </c>
      <c r="E1700" s="18">
        <v>41</v>
      </c>
      <c r="F1700" t="s">
        <v>375</v>
      </c>
      <c r="G1700" s="18" t="s">
        <v>24</v>
      </c>
      <c r="H1700" s="18" t="s">
        <v>14</v>
      </c>
      <c r="I1700" s="18">
        <v>184500</v>
      </c>
      <c r="J1700" s="18">
        <v>5</v>
      </c>
      <c r="K1700" s="19">
        <f t="shared" si="78"/>
        <v>922500</v>
      </c>
      <c r="L1700" s="20">
        <v>45439</v>
      </c>
      <c r="M1700" s="18" t="str">
        <f t="shared" si="79"/>
        <v>Monday</v>
      </c>
      <c r="N1700" s="18" t="str">
        <f t="shared" si="80"/>
        <v>Weekday</v>
      </c>
      <c r="Q1700" s="18"/>
      <c r="R1700" s="18"/>
      <c r="S1700" s="21"/>
      <c r="T1700"/>
      <c r="U1700" s="6"/>
      <c r="W1700" s="7"/>
      <c r="Z1700" s="4"/>
    </row>
    <row r="1701" spans="1:26" x14ac:dyDescent="0.3">
      <c r="A1701" t="s">
        <v>2072</v>
      </c>
      <c r="B1701" s="22" t="s">
        <v>76</v>
      </c>
      <c r="C1701" s="24" t="s">
        <v>366</v>
      </c>
      <c r="D1701" s="24" t="s">
        <v>322</v>
      </c>
      <c r="E1701" s="24">
        <v>46</v>
      </c>
      <c r="F1701" t="s">
        <v>373</v>
      </c>
      <c r="G1701" s="24" t="s">
        <v>26</v>
      </c>
      <c r="H1701" s="24" t="s">
        <v>27</v>
      </c>
      <c r="I1701" s="24">
        <v>24600</v>
      </c>
      <c r="J1701" s="24">
        <v>2</v>
      </c>
      <c r="K1701" s="25">
        <f t="shared" si="78"/>
        <v>49200</v>
      </c>
      <c r="L1701" s="26">
        <v>45299</v>
      </c>
      <c r="M1701" s="24" t="str">
        <f t="shared" si="79"/>
        <v>Monday</v>
      </c>
      <c r="N1701" s="24" t="str">
        <f t="shared" si="80"/>
        <v>Weekday</v>
      </c>
      <c r="Q1701" s="24"/>
      <c r="R1701" s="24"/>
      <c r="S1701" s="27"/>
      <c r="T1701"/>
      <c r="U1701" s="6"/>
      <c r="W1701" s="7"/>
      <c r="Z1701" s="4"/>
    </row>
    <row r="1702" spans="1:26" x14ac:dyDescent="0.3">
      <c r="A1702" t="s">
        <v>2073</v>
      </c>
      <c r="B1702" s="16" t="s">
        <v>68</v>
      </c>
      <c r="C1702" s="18" t="s">
        <v>11</v>
      </c>
      <c r="D1702" s="18" t="s">
        <v>323</v>
      </c>
      <c r="E1702" s="18">
        <v>44</v>
      </c>
      <c r="F1702" t="s">
        <v>375</v>
      </c>
      <c r="G1702" s="18" t="s">
        <v>24</v>
      </c>
      <c r="H1702" s="18" t="s">
        <v>14</v>
      </c>
      <c r="I1702" s="18">
        <v>184500</v>
      </c>
      <c r="J1702" s="18">
        <v>5</v>
      </c>
      <c r="K1702" s="19">
        <f t="shared" si="78"/>
        <v>922500</v>
      </c>
      <c r="L1702" s="20">
        <v>45331</v>
      </c>
      <c r="M1702" s="18" t="str">
        <f t="shared" si="79"/>
        <v>Friday</v>
      </c>
      <c r="N1702" s="18" t="str">
        <f t="shared" si="80"/>
        <v>Weekend</v>
      </c>
      <c r="Q1702" s="18"/>
      <c r="R1702" s="18"/>
      <c r="S1702" s="21"/>
      <c r="T1702"/>
      <c r="U1702" s="6"/>
      <c r="W1702" s="7"/>
      <c r="Z1702" s="4"/>
    </row>
    <row r="1703" spans="1:26" x14ac:dyDescent="0.3">
      <c r="A1703" t="s">
        <v>2074</v>
      </c>
      <c r="B1703" s="22" t="s">
        <v>122</v>
      </c>
      <c r="C1703" s="24" t="s">
        <v>11</v>
      </c>
      <c r="D1703" s="24" t="s">
        <v>324</v>
      </c>
      <c r="E1703" s="24">
        <v>58</v>
      </c>
      <c r="F1703" t="s">
        <v>381</v>
      </c>
      <c r="G1703" s="24" t="s">
        <v>13</v>
      </c>
      <c r="H1703" s="24" t="s">
        <v>14</v>
      </c>
      <c r="I1703" s="24">
        <v>36900</v>
      </c>
      <c r="J1703" s="24">
        <v>1</v>
      </c>
      <c r="K1703" s="25">
        <f t="shared" si="78"/>
        <v>36900</v>
      </c>
      <c r="L1703" s="26">
        <v>45552</v>
      </c>
      <c r="M1703" s="24" t="str">
        <f t="shared" si="79"/>
        <v>Tuesday</v>
      </c>
      <c r="N1703" s="24" t="str">
        <f t="shared" si="80"/>
        <v>Weekday</v>
      </c>
      <c r="Q1703" s="24"/>
      <c r="R1703" s="24"/>
      <c r="S1703" s="27"/>
      <c r="T1703"/>
      <c r="U1703" s="6"/>
      <c r="W1703" s="7"/>
      <c r="Z1703" s="4"/>
    </row>
    <row r="1704" spans="1:26" x14ac:dyDescent="0.3">
      <c r="A1704" t="s">
        <v>2075</v>
      </c>
      <c r="B1704" s="16" t="s">
        <v>22</v>
      </c>
      <c r="C1704" s="18" t="s">
        <v>11</v>
      </c>
      <c r="D1704" s="18" t="s">
        <v>326</v>
      </c>
      <c r="E1704" s="18">
        <v>23</v>
      </c>
      <c r="F1704" t="s">
        <v>373</v>
      </c>
      <c r="G1704" s="18" t="s">
        <v>26</v>
      </c>
      <c r="H1704" s="18" t="s">
        <v>27</v>
      </c>
      <c r="I1704" s="18">
        <v>24600</v>
      </c>
      <c r="J1704" s="18">
        <v>2</v>
      </c>
      <c r="K1704" s="19">
        <f t="shared" si="78"/>
        <v>49200</v>
      </c>
      <c r="L1704" s="20">
        <v>45549</v>
      </c>
      <c r="M1704" s="18" t="str">
        <f t="shared" si="79"/>
        <v>Saturday</v>
      </c>
      <c r="N1704" s="18" t="str">
        <f t="shared" si="80"/>
        <v>Weekend</v>
      </c>
      <c r="Q1704" s="18"/>
      <c r="R1704" s="18"/>
      <c r="S1704" s="21"/>
      <c r="T1704"/>
      <c r="U1704" s="6"/>
      <c r="W1704" s="7"/>
      <c r="Z1704" s="4"/>
    </row>
    <row r="1705" spans="1:26" x14ac:dyDescent="0.3">
      <c r="A1705" t="s">
        <v>2076</v>
      </c>
      <c r="B1705" s="22" t="s">
        <v>211</v>
      </c>
      <c r="C1705" s="24" t="s">
        <v>366</v>
      </c>
      <c r="D1705" s="24" t="s">
        <v>329</v>
      </c>
      <c r="E1705" s="24">
        <v>41</v>
      </c>
      <c r="F1705" t="s">
        <v>373</v>
      </c>
      <c r="G1705" s="24" t="s">
        <v>13</v>
      </c>
      <c r="H1705" s="24" t="s">
        <v>14</v>
      </c>
      <c r="I1705" s="24">
        <v>36900</v>
      </c>
      <c r="J1705" s="24">
        <v>2</v>
      </c>
      <c r="K1705" s="25">
        <f t="shared" si="78"/>
        <v>73800</v>
      </c>
      <c r="L1705" s="26">
        <v>45544</v>
      </c>
      <c r="M1705" s="24" t="str">
        <f t="shared" si="79"/>
        <v>Monday</v>
      </c>
      <c r="N1705" s="24" t="str">
        <f t="shared" si="80"/>
        <v>Weekday</v>
      </c>
      <c r="Q1705" s="24"/>
      <c r="R1705" s="24"/>
      <c r="S1705" s="27"/>
      <c r="T1705"/>
      <c r="U1705" s="6"/>
      <c r="W1705" s="7"/>
      <c r="Z1705" s="4"/>
    </row>
    <row r="1706" spans="1:26" x14ac:dyDescent="0.3">
      <c r="A1706" t="s">
        <v>2077</v>
      </c>
      <c r="B1706" s="16" t="s">
        <v>159</v>
      </c>
      <c r="C1706" s="18" t="s">
        <v>20</v>
      </c>
      <c r="D1706" s="18" t="s">
        <v>325</v>
      </c>
      <c r="E1706" s="18">
        <v>56</v>
      </c>
      <c r="F1706" t="s">
        <v>370</v>
      </c>
      <c r="G1706" s="18" t="s">
        <v>42</v>
      </c>
      <c r="H1706" s="18" t="s">
        <v>14</v>
      </c>
      <c r="I1706" s="18">
        <v>98400</v>
      </c>
      <c r="J1706" s="18">
        <v>5</v>
      </c>
      <c r="K1706" s="19">
        <f t="shared" si="78"/>
        <v>492000</v>
      </c>
      <c r="L1706" s="20">
        <v>45311</v>
      </c>
      <c r="M1706" s="18" t="str">
        <f t="shared" si="79"/>
        <v>Saturday</v>
      </c>
      <c r="N1706" s="18" t="str">
        <f t="shared" si="80"/>
        <v>Weekend</v>
      </c>
      <c r="Q1706" s="18"/>
      <c r="R1706" s="18"/>
      <c r="S1706" s="21"/>
      <c r="T1706"/>
      <c r="U1706" s="6"/>
      <c r="W1706" s="7"/>
      <c r="Z1706" s="4"/>
    </row>
    <row r="1707" spans="1:26" x14ac:dyDescent="0.3">
      <c r="A1707" t="s">
        <v>2078</v>
      </c>
      <c r="B1707" s="22" t="s">
        <v>167</v>
      </c>
      <c r="C1707" s="24" t="s">
        <v>11</v>
      </c>
      <c r="D1707" s="24" t="s">
        <v>322</v>
      </c>
      <c r="E1707" s="24">
        <v>66</v>
      </c>
      <c r="F1707" t="s">
        <v>373</v>
      </c>
      <c r="G1707" s="24" t="s">
        <v>32</v>
      </c>
      <c r="H1707" s="24" t="s">
        <v>18</v>
      </c>
      <c r="I1707" s="24">
        <v>3690</v>
      </c>
      <c r="J1707" s="24">
        <v>4</v>
      </c>
      <c r="K1707" s="25">
        <f t="shared" si="78"/>
        <v>14760</v>
      </c>
      <c r="L1707" s="26">
        <v>45644</v>
      </c>
      <c r="M1707" s="24" t="str">
        <f t="shared" si="79"/>
        <v>Wednesday</v>
      </c>
      <c r="N1707" s="24" t="str">
        <f t="shared" si="80"/>
        <v>Weekday</v>
      </c>
      <c r="Q1707" s="24"/>
      <c r="R1707" s="24"/>
      <c r="S1707" s="27"/>
      <c r="T1707"/>
      <c r="U1707" s="6"/>
      <c r="W1707" s="7"/>
      <c r="Z1707" s="4"/>
    </row>
    <row r="1708" spans="1:26" x14ac:dyDescent="0.3">
      <c r="A1708" t="s">
        <v>2079</v>
      </c>
      <c r="B1708" s="16" t="s">
        <v>311</v>
      </c>
      <c r="C1708" s="18" t="s">
        <v>11</v>
      </c>
      <c r="D1708" s="18" t="s">
        <v>322</v>
      </c>
      <c r="E1708" s="18">
        <v>21</v>
      </c>
      <c r="F1708" t="s">
        <v>370</v>
      </c>
      <c r="G1708" s="18" t="s">
        <v>26</v>
      </c>
      <c r="H1708" s="18" t="s">
        <v>27</v>
      </c>
      <c r="I1708" s="18">
        <v>24600</v>
      </c>
      <c r="J1708" s="18">
        <v>2</v>
      </c>
      <c r="K1708" s="19">
        <f t="shared" si="78"/>
        <v>49200</v>
      </c>
      <c r="L1708" s="20">
        <v>45459</v>
      </c>
      <c r="M1708" s="18" t="str">
        <f t="shared" si="79"/>
        <v>Sunday</v>
      </c>
      <c r="N1708" s="18" t="str">
        <f t="shared" si="80"/>
        <v>Weekday</v>
      </c>
      <c r="Q1708" s="18"/>
      <c r="R1708" s="18"/>
      <c r="S1708" s="21"/>
      <c r="T1708"/>
      <c r="U1708" s="6"/>
      <c r="W1708" s="7"/>
      <c r="Z1708" s="4"/>
    </row>
    <row r="1709" spans="1:26" x14ac:dyDescent="0.3">
      <c r="A1709" t="s">
        <v>2080</v>
      </c>
      <c r="B1709" s="22" t="s">
        <v>155</v>
      </c>
      <c r="C1709" s="24" t="s">
        <v>11</v>
      </c>
      <c r="D1709" s="24" t="s">
        <v>328</v>
      </c>
      <c r="E1709" s="24">
        <v>43</v>
      </c>
      <c r="F1709" t="s">
        <v>370</v>
      </c>
      <c r="G1709" s="24" t="s">
        <v>24</v>
      </c>
      <c r="H1709" s="24" t="s">
        <v>14</v>
      </c>
      <c r="I1709" s="24">
        <v>184500</v>
      </c>
      <c r="J1709" s="24">
        <v>5</v>
      </c>
      <c r="K1709" s="25">
        <f t="shared" si="78"/>
        <v>922500</v>
      </c>
      <c r="L1709" s="26">
        <v>45456</v>
      </c>
      <c r="M1709" s="24" t="str">
        <f t="shared" si="79"/>
        <v>Thursday</v>
      </c>
      <c r="N1709" s="24" t="str">
        <f t="shared" si="80"/>
        <v>Weekday</v>
      </c>
      <c r="Q1709" s="24"/>
      <c r="R1709" s="24"/>
      <c r="S1709" s="27"/>
      <c r="T1709"/>
      <c r="U1709" s="6"/>
      <c r="W1709" s="7"/>
      <c r="Z1709" s="4"/>
    </row>
    <row r="1710" spans="1:26" x14ac:dyDescent="0.3">
      <c r="A1710" t="s">
        <v>2081</v>
      </c>
      <c r="B1710" s="16" t="s">
        <v>96</v>
      </c>
      <c r="C1710" s="18" t="s">
        <v>11</v>
      </c>
      <c r="D1710" s="18" t="s">
        <v>322</v>
      </c>
      <c r="E1710" s="18">
        <v>45</v>
      </c>
      <c r="F1710" t="s">
        <v>375</v>
      </c>
      <c r="G1710" s="18" t="s">
        <v>42</v>
      </c>
      <c r="H1710" s="18" t="s">
        <v>14</v>
      </c>
      <c r="I1710" s="18">
        <v>98400</v>
      </c>
      <c r="J1710" s="18">
        <v>1</v>
      </c>
      <c r="K1710" s="19">
        <f t="shared" si="78"/>
        <v>98400</v>
      </c>
      <c r="L1710" s="20">
        <v>45591</v>
      </c>
      <c r="M1710" s="18" t="str">
        <f t="shared" si="79"/>
        <v>Saturday</v>
      </c>
      <c r="N1710" s="18" t="str">
        <f t="shared" si="80"/>
        <v>Weekend</v>
      </c>
      <c r="Q1710" s="18"/>
      <c r="R1710" s="18"/>
      <c r="S1710" s="21"/>
      <c r="T1710"/>
      <c r="U1710" s="6"/>
      <c r="W1710" s="7"/>
      <c r="Z1710" s="4"/>
    </row>
    <row r="1711" spans="1:26" x14ac:dyDescent="0.3">
      <c r="A1711" t="s">
        <v>2082</v>
      </c>
      <c r="B1711" s="22" t="s">
        <v>108</v>
      </c>
      <c r="C1711" s="24" t="s">
        <v>11</v>
      </c>
      <c r="D1711" s="24" t="s">
        <v>329</v>
      </c>
      <c r="E1711" s="24">
        <v>42</v>
      </c>
      <c r="F1711" t="s">
        <v>375</v>
      </c>
      <c r="G1711" s="24" t="s">
        <v>13</v>
      </c>
      <c r="H1711" s="24" t="s">
        <v>14</v>
      </c>
      <c r="I1711" s="24">
        <v>36900</v>
      </c>
      <c r="J1711" s="24">
        <v>2</v>
      </c>
      <c r="K1711" s="25">
        <f t="shared" si="78"/>
        <v>73800</v>
      </c>
      <c r="L1711" s="26">
        <v>45438</v>
      </c>
      <c r="M1711" s="24" t="str">
        <f t="shared" si="79"/>
        <v>Sunday</v>
      </c>
      <c r="N1711" s="24" t="str">
        <f t="shared" si="80"/>
        <v>Weekday</v>
      </c>
      <c r="Q1711" s="24"/>
      <c r="R1711" s="24"/>
      <c r="S1711" s="27"/>
      <c r="T1711"/>
      <c r="U1711" s="6"/>
      <c r="W1711" s="7"/>
      <c r="Z1711" s="4"/>
    </row>
    <row r="1712" spans="1:26" x14ac:dyDescent="0.3">
      <c r="A1712" t="s">
        <v>2083</v>
      </c>
      <c r="B1712" s="16" t="s">
        <v>307</v>
      </c>
      <c r="C1712" s="18" t="s">
        <v>11</v>
      </c>
      <c r="D1712" s="18" t="s">
        <v>322</v>
      </c>
      <c r="E1712" s="18">
        <v>24</v>
      </c>
      <c r="F1712" t="s">
        <v>370</v>
      </c>
      <c r="G1712" s="18" t="s">
        <v>31</v>
      </c>
      <c r="H1712" s="18" t="s">
        <v>18</v>
      </c>
      <c r="I1712" s="18">
        <v>6150</v>
      </c>
      <c r="J1712" s="18">
        <v>1</v>
      </c>
      <c r="K1712" s="19">
        <f t="shared" si="78"/>
        <v>6150</v>
      </c>
      <c r="L1712" s="20">
        <v>45444</v>
      </c>
      <c r="M1712" s="18" t="str">
        <f t="shared" si="79"/>
        <v>Saturday</v>
      </c>
      <c r="N1712" s="18" t="str">
        <f t="shared" si="80"/>
        <v>Weekend</v>
      </c>
      <c r="Q1712" s="18"/>
      <c r="R1712" s="18"/>
      <c r="S1712" s="21"/>
      <c r="T1712"/>
      <c r="U1712" s="6"/>
      <c r="W1712" s="7"/>
      <c r="Z1712" s="4"/>
    </row>
    <row r="1713" spans="1:26" x14ac:dyDescent="0.3">
      <c r="A1713" t="s">
        <v>2084</v>
      </c>
      <c r="B1713" s="22" t="s">
        <v>72</v>
      </c>
      <c r="C1713" s="24" t="s">
        <v>11</v>
      </c>
      <c r="D1713" s="24" t="s">
        <v>328</v>
      </c>
      <c r="E1713" s="24">
        <v>23</v>
      </c>
      <c r="F1713" t="s">
        <v>381</v>
      </c>
      <c r="G1713" s="24" t="s">
        <v>42</v>
      </c>
      <c r="H1713" s="24" t="s">
        <v>14</v>
      </c>
      <c r="I1713" s="24">
        <v>98400</v>
      </c>
      <c r="J1713" s="24">
        <v>2</v>
      </c>
      <c r="K1713" s="25">
        <f t="shared" si="78"/>
        <v>196800</v>
      </c>
      <c r="L1713" s="26">
        <v>45549</v>
      </c>
      <c r="M1713" s="24" t="str">
        <f t="shared" si="79"/>
        <v>Saturday</v>
      </c>
      <c r="N1713" s="24" t="str">
        <f t="shared" si="80"/>
        <v>Weekend</v>
      </c>
      <c r="Q1713" s="24"/>
      <c r="R1713" s="24"/>
      <c r="S1713" s="27"/>
      <c r="T1713"/>
      <c r="U1713" s="6"/>
      <c r="W1713" s="7"/>
      <c r="Z1713" s="4"/>
    </row>
    <row r="1714" spans="1:26" x14ac:dyDescent="0.3">
      <c r="A1714" t="s">
        <v>2085</v>
      </c>
      <c r="B1714" s="16" t="s">
        <v>71</v>
      </c>
      <c r="C1714" s="18" t="s">
        <v>20</v>
      </c>
      <c r="D1714" s="18" t="s">
        <v>323</v>
      </c>
      <c r="E1714" s="18">
        <v>67</v>
      </c>
      <c r="F1714" t="s">
        <v>370</v>
      </c>
      <c r="G1714" s="18" t="s">
        <v>13</v>
      </c>
      <c r="H1714" s="18" t="s">
        <v>14</v>
      </c>
      <c r="I1714" s="18">
        <v>36900</v>
      </c>
      <c r="J1714" s="18">
        <v>3</v>
      </c>
      <c r="K1714" s="19">
        <f t="shared" si="78"/>
        <v>110700</v>
      </c>
      <c r="L1714" s="20">
        <v>45342</v>
      </c>
      <c r="M1714" s="18" t="str">
        <f t="shared" si="79"/>
        <v>Tuesday</v>
      </c>
      <c r="N1714" s="18" t="str">
        <f t="shared" si="80"/>
        <v>Weekday</v>
      </c>
      <c r="Q1714" s="18"/>
      <c r="R1714" s="18"/>
      <c r="S1714" s="21"/>
      <c r="T1714"/>
      <c r="U1714" s="6"/>
      <c r="W1714" s="7"/>
      <c r="Z1714" s="4"/>
    </row>
    <row r="1715" spans="1:26" x14ac:dyDescent="0.3">
      <c r="A1715" t="s">
        <v>2086</v>
      </c>
      <c r="B1715" s="22" t="s">
        <v>45</v>
      </c>
      <c r="C1715" s="24" t="s">
        <v>20</v>
      </c>
      <c r="D1715" s="24" t="s">
        <v>323</v>
      </c>
      <c r="E1715" s="24">
        <v>37</v>
      </c>
      <c r="F1715" t="s">
        <v>381</v>
      </c>
      <c r="G1715" s="24" t="s">
        <v>32</v>
      </c>
      <c r="H1715" s="24" t="s">
        <v>18</v>
      </c>
      <c r="I1715" s="24">
        <v>3690</v>
      </c>
      <c r="J1715" s="24">
        <v>4</v>
      </c>
      <c r="K1715" s="25">
        <f t="shared" si="78"/>
        <v>14760</v>
      </c>
      <c r="L1715" s="26">
        <v>45342</v>
      </c>
      <c r="M1715" s="24" t="str">
        <f t="shared" si="79"/>
        <v>Tuesday</v>
      </c>
      <c r="N1715" s="24" t="str">
        <f t="shared" si="80"/>
        <v>Weekday</v>
      </c>
      <c r="Q1715" s="24"/>
      <c r="R1715" s="24"/>
      <c r="S1715" s="27"/>
      <c r="T1715"/>
      <c r="U1715" s="6"/>
      <c r="W1715" s="7"/>
      <c r="Z1715" s="4"/>
    </row>
    <row r="1716" spans="1:26" x14ac:dyDescent="0.3">
      <c r="A1716" t="s">
        <v>2087</v>
      </c>
      <c r="B1716" s="16" t="s">
        <v>292</v>
      </c>
      <c r="C1716" s="18" t="s">
        <v>366</v>
      </c>
      <c r="D1716" s="18" t="s">
        <v>322</v>
      </c>
      <c r="E1716" s="18">
        <v>22</v>
      </c>
      <c r="F1716" t="s">
        <v>373</v>
      </c>
      <c r="G1716" s="18" t="s">
        <v>24</v>
      </c>
      <c r="H1716" s="18" t="s">
        <v>14</v>
      </c>
      <c r="I1716" s="18">
        <v>184500</v>
      </c>
      <c r="J1716" s="18">
        <v>5</v>
      </c>
      <c r="K1716" s="19">
        <f t="shared" si="78"/>
        <v>922500</v>
      </c>
      <c r="L1716" s="20">
        <v>45378</v>
      </c>
      <c r="M1716" s="18" t="str">
        <f t="shared" si="79"/>
        <v>Wednesday</v>
      </c>
      <c r="N1716" s="18" t="str">
        <f t="shared" si="80"/>
        <v>Weekday</v>
      </c>
      <c r="Q1716" s="18"/>
      <c r="R1716" s="18"/>
      <c r="S1716" s="21"/>
      <c r="T1716"/>
      <c r="U1716" s="6"/>
      <c r="W1716" s="7"/>
      <c r="Z1716" s="4"/>
    </row>
    <row r="1717" spans="1:26" x14ac:dyDescent="0.3">
      <c r="A1717" t="s">
        <v>2088</v>
      </c>
      <c r="B1717" s="22" t="s">
        <v>115</v>
      </c>
      <c r="C1717" s="24" t="s">
        <v>366</v>
      </c>
      <c r="D1717" s="24" t="s">
        <v>323</v>
      </c>
      <c r="E1717" s="24">
        <v>63</v>
      </c>
      <c r="F1717" t="s">
        <v>373</v>
      </c>
      <c r="G1717" s="24" t="s">
        <v>32</v>
      </c>
      <c r="H1717" s="24" t="s">
        <v>18</v>
      </c>
      <c r="I1717" s="24">
        <v>3690</v>
      </c>
      <c r="J1717" s="24">
        <v>4</v>
      </c>
      <c r="K1717" s="25">
        <f t="shared" si="78"/>
        <v>14760</v>
      </c>
      <c r="L1717" s="26">
        <v>45471</v>
      </c>
      <c r="M1717" s="24" t="str">
        <f t="shared" si="79"/>
        <v>Friday</v>
      </c>
      <c r="N1717" s="24" t="str">
        <f t="shared" si="80"/>
        <v>Weekend</v>
      </c>
      <c r="Q1717" s="24"/>
      <c r="R1717" s="24"/>
      <c r="S1717" s="27"/>
      <c r="T1717"/>
      <c r="U1717" s="6"/>
      <c r="W1717" s="7"/>
      <c r="Z1717" s="4"/>
    </row>
    <row r="1718" spans="1:26" x14ac:dyDescent="0.3">
      <c r="A1718" t="s">
        <v>2089</v>
      </c>
      <c r="B1718" s="16" t="s">
        <v>291</v>
      </c>
      <c r="C1718" s="18" t="s">
        <v>11</v>
      </c>
      <c r="D1718" s="18" t="s">
        <v>324</v>
      </c>
      <c r="E1718" s="18">
        <v>67</v>
      </c>
      <c r="F1718" t="s">
        <v>373</v>
      </c>
      <c r="G1718" s="18" t="s">
        <v>24</v>
      </c>
      <c r="H1718" s="18" t="s">
        <v>14</v>
      </c>
      <c r="I1718" s="18">
        <v>184500</v>
      </c>
      <c r="J1718" s="18">
        <v>2</v>
      </c>
      <c r="K1718" s="19">
        <f t="shared" si="78"/>
        <v>369000</v>
      </c>
      <c r="L1718" s="20">
        <v>45582</v>
      </c>
      <c r="M1718" s="18" t="str">
        <f t="shared" si="79"/>
        <v>Thursday</v>
      </c>
      <c r="N1718" s="18" t="str">
        <f t="shared" si="80"/>
        <v>Weekday</v>
      </c>
      <c r="Q1718" s="18"/>
      <c r="R1718" s="18"/>
      <c r="S1718" s="21"/>
      <c r="T1718"/>
      <c r="U1718" s="6"/>
      <c r="W1718" s="7"/>
      <c r="Z1718" s="4"/>
    </row>
    <row r="1719" spans="1:26" x14ac:dyDescent="0.3">
      <c r="A1719" t="s">
        <v>2090</v>
      </c>
      <c r="B1719" s="22" t="s">
        <v>290</v>
      </c>
      <c r="C1719" s="24" t="s">
        <v>366</v>
      </c>
      <c r="D1719" s="24" t="s">
        <v>326</v>
      </c>
      <c r="E1719" s="24">
        <v>66</v>
      </c>
      <c r="F1719" t="s">
        <v>370</v>
      </c>
      <c r="G1719" s="24" t="s">
        <v>32</v>
      </c>
      <c r="H1719" s="24" t="s">
        <v>18</v>
      </c>
      <c r="I1719" s="24">
        <v>3690</v>
      </c>
      <c r="J1719" s="24">
        <v>2</v>
      </c>
      <c r="K1719" s="25">
        <f t="shared" si="78"/>
        <v>7380</v>
      </c>
      <c r="L1719" s="26">
        <v>45384</v>
      </c>
      <c r="M1719" s="24" t="str">
        <f t="shared" si="79"/>
        <v>Tuesday</v>
      </c>
      <c r="N1719" s="24" t="str">
        <f t="shared" si="80"/>
        <v>Weekday</v>
      </c>
      <c r="Q1719" s="24"/>
      <c r="R1719" s="24"/>
      <c r="S1719" s="27"/>
      <c r="T1719"/>
      <c r="U1719" s="6"/>
      <c r="W1719" s="7"/>
      <c r="Z1719" s="4"/>
    </row>
    <row r="1720" spans="1:26" x14ac:dyDescent="0.3">
      <c r="A1720" t="s">
        <v>2091</v>
      </c>
      <c r="B1720" s="16" t="s">
        <v>210</v>
      </c>
      <c r="C1720" s="18" t="s">
        <v>11</v>
      </c>
      <c r="D1720" s="18" t="s">
        <v>322</v>
      </c>
      <c r="E1720" s="18">
        <v>26</v>
      </c>
      <c r="F1720" t="s">
        <v>381</v>
      </c>
      <c r="G1720" s="18" t="s">
        <v>17</v>
      </c>
      <c r="H1720" s="18" t="s">
        <v>18</v>
      </c>
      <c r="I1720" s="18">
        <v>12300</v>
      </c>
      <c r="J1720" s="18">
        <v>1</v>
      </c>
      <c r="K1720" s="19">
        <f t="shared" si="78"/>
        <v>12300</v>
      </c>
      <c r="L1720" s="20">
        <v>45452</v>
      </c>
      <c r="M1720" s="18" t="str">
        <f t="shared" si="79"/>
        <v>Sunday</v>
      </c>
      <c r="N1720" s="18" t="str">
        <f t="shared" si="80"/>
        <v>Weekday</v>
      </c>
      <c r="Q1720" s="18"/>
      <c r="R1720" s="18"/>
      <c r="S1720" s="21"/>
      <c r="T1720"/>
      <c r="U1720" s="6"/>
      <c r="W1720" s="7"/>
      <c r="Z1720" s="4"/>
    </row>
    <row r="1721" spans="1:26" x14ac:dyDescent="0.3">
      <c r="A1721" t="s">
        <v>2092</v>
      </c>
      <c r="B1721" s="22" t="s">
        <v>230</v>
      </c>
      <c r="C1721" s="24" t="s">
        <v>11</v>
      </c>
      <c r="D1721" s="24" t="s">
        <v>328</v>
      </c>
      <c r="E1721" s="24">
        <v>22</v>
      </c>
      <c r="F1721" t="s">
        <v>370</v>
      </c>
      <c r="G1721" s="24" t="s">
        <v>24</v>
      </c>
      <c r="H1721" s="24" t="s">
        <v>14</v>
      </c>
      <c r="I1721" s="24">
        <v>184500</v>
      </c>
      <c r="J1721" s="24">
        <v>4</v>
      </c>
      <c r="K1721" s="25">
        <f t="shared" si="78"/>
        <v>738000</v>
      </c>
      <c r="L1721" s="26">
        <v>45521</v>
      </c>
      <c r="M1721" s="24" t="str">
        <f t="shared" si="79"/>
        <v>Saturday</v>
      </c>
      <c r="N1721" s="24" t="str">
        <f t="shared" si="80"/>
        <v>Weekend</v>
      </c>
      <c r="Q1721" s="24"/>
      <c r="R1721" s="24"/>
      <c r="S1721" s="27"/>
      <c r="T1721"/>
      <c r="U1721" s="6"/>
      <c r="W1721" s="7"/>
      <c r="Z1721" s="4"/>
    </row>
    <row r="1722" spans="1:26" x14ac:dyDescent="0.3">
      <c r="A1722" t="s">
        <v>2093</v>
      </c>
      <c r="B1722" s="16" t="s">
        <v>30</v>
      </c>
      <c r="C1722" s="18" t="s">
        <v>11</v>
      </c>
      <c r="D1722" s="18" t="s">
        <v>329</v>
      </c>
      <c r="E1722" s="18">
        <v>18</v>
      </c>
      <c r="F1722" t="s">
        <v>373</v>
      </c>
      <c r="G1722" s="18" t="s">
        <v>32</v>
      </c>
      <c r="H1722" s="18" t="s">
        <v>18</v>
      </c>
      <c r="I1722" s="18">
        <v>3690</v>
      </c>
      <c r="J1722" s="18">
        <v>1</v>
      </c>
      <c r="K1722" s="19">
        <f t="shared" si="78"/>
        <v>3690</v>
      </c>
      <c r="L1722" s="20">
        <v>45514</v>
      </c>
      <c r="M1722" s="18" t="str">
        <f t="shared" si="79"/>
        <v>Saturday</v>
      </c>
      <c r="N1722" s="18" t="str">
        <f t="shared" si="80"/>
        <v>Weekend</v>
      </c>
      <c r="Q1722" s="18"/>
      <c r="R1722" s="18"/>
      <c r="S1722" s="21"/>
      <c r="T1722"/>
      <c r="U1722" s="6"/>
      <c r="W1722" s="7"/>
      <c r="Z1722" s="4"/>
    </row>
    <row r="1723" spans="1:26" x14ac:dyDescent="0.3">
      <c r="A1723" t="s">
        <v>2094</v>
      </c>
      <c r="B1723" s="22" t="s">
        <v>312</v>
      </c>
      <c r="C1723" s="24" t="s">
        <v>20</v>
      </c>
      <c r="D1723" s="24" t="s">
        <v>323</v>
      </c>
      <c r="E1723" s="24">
        <v>29</v>
      </c>
      <c r="F1723" t="s">
        <v>375</v>
      </c>
      <c r="G1723" s="24" t="s">
        <v>31</v>
      </c>
      <c r="H1723" s="24" t="s">
        <v>18</v>
      </c>
      <c r="I1723" s="24">
        <v>6150</v>
      </c>
      <c r="J1723" s="24">
        <v>3</v>
      </c>
      <c r="K1723" s="25">
        <f t="shared" si="78"/>
        <v>18450</v>
      </c>
      <c r="L1723" s="26">
        <v>45573</v>
      </c>
      <c r="M1723" s="24" t="str">
        <f t="shared" si="79"/>
        <v>Tuesday</v>
      </c>
      <c r="N1723" s="24" t="str">
        <f t="shared" si="80"/>
        <v>Weekday</v>
      </c>
      <c r="Q1723" s="24"/>
      <c r="R1723" s="24"/>
      <c r="S1723" s="27"/>
      <c r="T1723"/>
      <c r="U1723" s="6"/>
      <c r="W1723" s="7"/>
      <c r="Z1723" s="4"/>
    </row>
    <row r="1724" spans="1:26" x14ac:dyDescent="0.3">
      <c r="A1724" t="s">
        <v>2095</v>
      </c>
      <c r="B1724" s="16" t="s">
        <v>234</v>
      </c>
      <c r="C1724" s="18" t="s">
        <v>366</v>
      </c>
      <c r="D1724" s="18" t="s">
        <v>322</v>
      </c>
      <c r="E1724" s="18">
        <v>25</v>
      </c>
      <c r="F1724" t="s">
        <v>373</v>
      </c>
      <c r="G1724" s="18" t="s">
        <v>31</v>
      </c>
      <c r="H1724" s="18" t="s">
        <v>18</v>
      </c>
      <c r="I1724" s="18">
        <v>6150</v>
      </c>
      <c r="J1724" s="18">
        <v>1</v>
      </c>
      <c r="K1724" s="19">
        <f t="shared" si="78"/>
        <v>6150</v>
      </c>
      <c r="L1724" s="20">
        <v>45575</v>
      </c>
      <c r="M1724" s="18" t="str">
        <f t="shared" si="79"/>
        <v>Thursday</v>
      </c>
      <c r="N1724" s="18" t="str">
        <f t="shared" si="80"/>
        <v>Weekday</v>
      </c>
      <c r="Q1724" s="18"/>
      <c r="R1724" s="18"/>
      <c r="S1724" s="21"/>
      <c r="T1724"/>
      <c r="U1724" s="6"/>
      <c r="W1724" s="7"/>
      <c r="Z1724" s="4"/>
    </row>
    <row r="1725" spans="1:26" x14ac:dyDescent="0.3">
      <c r="A1725" t="s">
        <v>2096</v>
      </c>
      <c r="B1725" s="22" t="s">
        <v>200</v>
      </c>
      <c r="C1725" s="24" t="s">
        <v>366</v>
      </c>
      <c r="D1725" s="24" t="s">
        <v>322</v>
      </c>
      <c r="E1725" s="24">
        <v>46</v>
      </c>
      <c r="F1725" t="s">
        <v>373</v>
      </c>
      <c r="G1725" s="24" t="s">
        <v>13</v>
      </c>
      <c r="H1725" s="24" t="s">
        <v>14</v>
      </c>
      <c r="I1725" s="24">
        <v>36900</v>
      </c>
      <c r="J1725" s="24">
        <v>5</v>
      </c>
      <c r="K1725" s="25">
        <f t="shared" si="78"/>
        <v>184500</v>
      </c>
      <c r="L1725" s="26">
        <v>45378</v>
      </c>
      <c r="M1725" s="24" t="str">
        <f t="shared" si="79"/>
        <v>Wednesday</v>
      </c>
      <c r="N1725" s="24" t="str">
        <f t="shared" si="80"/>
        <v>Weekday</v>
      </c>
      <c r="Q1725" s="24"/>
      <c r="R1725" s="24"/>
      <c r="S1725" s="27"/>
      <c r="T1725"/>
      <c r="U1725" s="6"/>
      <c r="W1725" s="7"/>
      <c r="Z1725" s="4"/>
    </row>
    <row r="1726" spans="1:26" x14ac:dyDescent="0.3">
      <c r="A1726" t="s">
        <v>2097</v>
      </c>
      <c r="B1726" s="16" t="s">
        <v>154</v>
      </c>
      <c r="C1726" s="18" t="s">
        <v>11</v>
      </c>
      <c r="D1726" s="18" t="s">
        <v>328</v>
      </c>
      <c r="E1726" s="18">
        <v>53</v>
      </c>
      <c r="F1726" t="s">
        <v>375</v>
      </c>
      <c r="G1726" s="18" t="s">
        <v>32</v>
      </c>
      <c r="H1726" s="18" t="s">
        <v>18</v>
      </c>
      <c r="I1726" s="18">
        <v>3690</v>
      </c>
      <c r="J1726" s="18">
        <v>4</v>
      </c>
      <c r="K1726" s="19">
        <f t="shared" si="78"/>
        <v>14760</v>
      </c>
      <c r="L1726" s="20">
        <v>45612</v>
      </c>
      <c r="M1726" s="18" t="str">
        <f t="shared" si="79"/>
        <v>Saturday</v>
      </c>
      <c r="N1726" s="18" t="str">
        <f t="shared" si="80"/>
        <v>Weekend</v>
      </c>
      <c r="Q1726" s="18"/>
      <c r="R1726" s="18"/>
      <c r="S1726" s="21"/>
      <c r="T1726"/>
      <c r="U1726" s="6"/>
      <c r="W1726" s="7"/>
      <c r="Z1726" s="4"/>
    </row>
    <row r="1727" spans="1:26" x14ac:dyDescent="0.3">
      <c r="A1727" t="s">
        <v>2098</v>
      </c>
      <c r="B1727" s="22" t="s">
        <v>150</v>
      </c>
      <c r="C1727" s="24" t="s">
        <v>11</v>
      </c>
      <c r="D1727" s="24" t="s">
        <v>326</v>
      </c>
      <c r="E1727" s="24">
        <v>56</v>
      </c>
      <c r="F1727" t="s">
        <v>381</v>
      </c>
      <c r="G1727" s="24" t="s">
        <v>42</v>
      </c>
      <c r="H1727" s="24" t="s">
        <v>14</v>
      </c>
      <c r="I1727" s="24">
        <v>98400</v>
      </c>
      <c r="J1727" s="24">
        <v>3</v>
      </c>
      <c r="K1727" s="25">
        <f t="shared" si="78"/>
        <v>295200</v>
      </c>
      <c r="L1727" s="26">
        <v>45557</v>
      </c>
      <c r="M1727" s="24" t="str">
        <f t="shared" si="79"/>
        <v>Sunday</v>
      </c>
      <c r="N1727" s="24" t="str">
        <f t="shared" si="80"/>
        <v>Weekday</v>
      </c>
      <c r="Q1727" s="24"/>
      <c r="R1727" s="24"/>
      <c r="S1727" s="27"/>
      <c r="T1727"/>
      <c r="U1727" s="6"/>
      <c r="W1727" s="7"/>
      <c r="Z1727" s="4"/>
    </row>
    <row r="1728" spans="1:26" x14ac:dyDescent="0.3">
      <c r="A1728" t="s">
        <v>2099</v>
      </c>
      <c r="B1728" s="16" t="s">
        <v>261</v>
      </c>
      <c r="C1728" s="18" t="s">
        <v>20</v>
      </c>
      <c r="D1728" s="18" t="s">
        <v>325</v>
      </c>
      <c r="E1728" s="18">
        <v>49</v>
      </c>
      <c r="F1728" t="s">
        <v>373</v>
      </c>
      <c r="G1728" s="18" t="s">
        <v>31</v>
      </c>
      <c r="H1728" s="18" t="s">
        <v>18</v>
      </c>
      <c r="I1728" s="18">
        <v>6150</v>
      </c>
      <c r="J1728" s="18">
        <v>1</v>
      </c>
      <c r="K1728" s="19">
        <f t="shared" si="78"/>
        <v>6150</v>
      </c>
      <c r="L1728" s="20">
        <v>45385</v>
      </c>
      <c r="M1728" s="18" t="str">
        <f t="shared" si="79"/>
        <v>Wednesday</v>
      </c>
      <c r="N1728" s="18" t="str">
        <f t="shared" si="80"/>
        <v>Weekday</v>
      </c>
      <c r="Q1728" s="18"/>
      <c r="R1728" s="18"/>
      <c r="S1728" s="21"/>
      <c r="T1728"/>
      <c r="U1728" s="6"/>
      <c r="W1728" s="7"/>
      <c r="Z1728" s="4"/>
    </row>
    <row r="1729" spans="1:26" x14ac:dyDescent="0.3">
      <c r="A1729" t="s">
        <v>2100</v>
      </c>
      <c r="B1729" s="22" t="s">
        <v>221</v>
      </c>
      <c r="C1729" s="24" t="s">
        <v>20</v>
      </c>
      <c r="D1729" s="24" t="s">
        <v>323</v>
      </c>
      <c r="E1729" s="24">
        <v>41</v>
      </c>
      <c r="F1729" t="s">
        <v>381</v>
      </c>
      <c r="G1729" s="24" t="s">
        <v>32</v>
      </c>
      <c r="H1729" s="24" t="s">
        <v>18</v>
      </c>
      <c r="I1729" s="24">
        <v>3690</v>
      </c>
      <c r="J1729" s="24">
        <v>2</v>
      </c>
      <c r="K1729" s="25">
        <f t="shared" si="78"/>
        <v>7380</v>
      </c>
      <c r="L1729" s="26">
        <v>45408</v>
      </c>
      <c r="M1729" s="24" t="str">
        <f t="shared" si="79"/>
        <v>Friday</v>
      </c>
      <c r="N1729" s="24" t="str">
        <f t="shared" si="80"/>
        <v>Weekend</v>
      </c>
      <c r="Q1729" s="24"/>
      <c r="R1729" s="24"/>
      <c r="S1729" s="27"/>
      <c r="T1729"/>
      <c r="U1729" s="6"/>
      <c r="W1729" s="7"/>
      <c r="Z1729" s="4"/>
    </row>
    <row r="1730" spans="1:26" x14ac:dyDescent="0.3">
      <c r="A1730" t="s">
        <v>2101</v>
      </c>
      <c r="B1730" s="16" t="s">
        <v>187</v>
      </c>
      <c r="C1730" s="18" t="s">
        <v>11</v>
      </c>
      <c r="D1730" s="18" t="s">
        <v>324</v>
      </c>
      <c r="E1730" s="18">
        <v>68</v>
      </c>
      <c r="F1730" t="s">
        <v>375</v>
      </c>
      <c r="G1730" s="18" t="s">
        <v>26</v>
      </c>
      <c r="H1730" s="18" t="s">
        <v>27</v>
      </c>
      <c r="I1730" s="18">
        <v>24600</v>
      </c>
      <c r="J1730" s="18">
        <v>3</v>
      </c>
      <c r="K1730" s="19">
        <f t="shared" ref="K1730:K1793" si="81">I1730*J1730</f>
        <v>73800</v>
      </c>
      <c r="L1730" s="20">
        <v>45496</v>
      </c>
      <c r="M1730" s="18" t="str">
        <f t="shared" ref="M1730:M1793" si="82">TEXT(L1730, "dddd")</f>
        <v>Tuesday</v>
      </c>
      <c r="N1730" s="18" t="str">
        <f t="shared" ref="N1730:N1793" si="83">IF(OR(WEEKDAY(L1730, 2)=5, WEEKDAY(L1730, 2)=6), "Weekend", "Weekday")</f>
        <v>Weekday</v>
      </c>
      <c r="Q1730" s="18"/>
      <c r="R1730" s="18"/>
      <c r="S1730" s="21"/>
      <c r="T1730"/>
      <c r="U1730" s="6"/>
      <c r="W1730" s="7"/>
      <c r="Z1730" s="4"/>
    </row>
    <row r="1731" spans="1:26" x14ac:dyDescent="0.3">
      <c r="A1731" t="s">
        <v>2102</v>
      </c>
      <c r="B1731" s="22" t="s">
        <v>160</v>
      </c>
      <c r="C1731" s="24" t="s">
        <v>11</v>
      </c>
      <c r="D1731" s="24" t="s">
        <v>323</v>
      </c>
      <c r="E1731" s="24">
        <v>32</v>
      </c>
      <c r="F1731" t="s">
        <v>375</v>
      </c>
      <c r="G1731" s="24" t="s">
        <v>17</v>
      </c>
      <c r="H1731" s="24" t="s">
        <v>18</v>
      </c>
      <c r="I1731" s="24">
        <v>12300</v>
      </c>
      <c r="J1731" s="24">
        <v>3</v>
      </c>
      <c r="K1731" s="25">
        <f t="shared" si="81"/>
        <v>36900</v>
      </c>
      <c r="L1731" s="26">
        <v>45620</v>
      </c>
      <c r="M1731" s="24" t="str">
        <f t="shared" si="82"/>
        <v>Sunday</v>
      </c>
      <c r="N1731" s="24" t="str">
        <f t="shared" si="83"/>
        <v>Weekday</v>
      </c>
      <c r="Q1731" s="24"/>
      <c r="R1731" s="24"/>
      <c r="S1731" s="27"/>
      <c r="T1731"/>
      <c r="U1731" s="6"/>
      <c r="W1731" s="7"/>
      <c r="Z1731" s="4"/>
    </row>
    <row r="1732" spans="1:26" x14ac:dyDescent="0.3">
      <c r="A1732" t="s">
        <v>2103</v>
      </c>
      <c r="B1732" s="16" t="s">
        <v>201</v>
      </c>
      <c r="C1732" s="18" t="s">
        <v>20</v>
      </c>
      <c r="D1732" s="18" t="s">
        <v>322</v>
      </c>
      <c r="E1732" s="18">
        <v>50</v>
      </c>
      <c r="F1732" t="s">
        <v>375</v>
      </c>
      <c r="G1732" s="18" t="s">
        <v>13</v>
      </c>
      <c r="H1732" s="18" t="s">
        <v>14</v>
      </c>
      <c r="I1732" s="18">
        <v>36900</v>
      </c>
      <c r="J1732" s="18">
        <v>5</v>
      </c>
      <c r="K1732" s="19">
        <f t="shared" si="81"/>
        <v>184500</v>
      </c>
      <c r="L1732" s="20">
        <v>45423</v>
      </c>
      <c r="M1732" s="18" t="str">
        <f t="shared" si="82"/>
        <v>Saturday</v>
      </c>
      <c r="N1732" s="18" t="str">
        <f t="shared" si="83"/>
        <v>Weekend</v>
      </c>
      <c r="Q1732" s="18"/>
      <c r="R1732" s="18"/>
      <c r="S1732" s="21"/>
      <c r="T1732"/>
      <c r="U1732" s="6"/>
      <c r="W1732" s="7"/>
      <c r="Z1732" s="4"/>
    </row>
    <row r="1733" spans="1:26" x14ac:dyDescent="0.3">
      <c r="A1733" t="s">
        <v>2104</v>
      </c>
      <c r="B1733" s="22" t="s">
        <v>207</v>
      </c>
      <c r="C1733" s="24" t="s">
        <v>20</v>
      </c>
      <c r="D1733" s="24" t="s">
        <v>329</v>
      </c>
      <c r="E1733" s="24">
        <v>52</v>
      </c>
      <c r="F1733" t="s">
        <v>370</v>
      </c>
      <c r="G1733" s="24" t="s">
        <v>17</v>
      </c>
      <c r="H1733" s="24" t="s">
        <v>18</v>
      </c>
      <c r="I1733" s="24">
        <v>12300</v>
      </c>
      <c r="J1733" s="24">
        <v>5</v>
      </c>
      <c r="K1733" s="25">
        <f t="shared" si="81"/>
        <v>61500</v>
      </c>
      <c r="L1733" s="26">
        <v>45648</v>
      </c>
      <c r="M1733" s="24" t="str">
        <f t="shared" si="82"/>
        <v>Sunday</v>
      </c>
      <c r="N1733" s="24" t="str">
        <f t="shared" si="83"/>
        <v>Weekday</v>
      </c>
      <c r="Q1733" s="24"/>
      <c r="R1733" s="24"/>
      <c r="S1733" s="27"/>
      <c r="T1733"/>
      <c r="U1733" s="6"/>
      <c r="W1733" s="7"/>
      <c r="Z1733" s="4"/>
    </row>
    <row r="1734" spans="1:26" x14ac:dyDescent="0.3">
      <c r="A1734" t="s">
        <v>2105</v>
      </c>
      <c r="B1734" s="16" t="s">
        <v>123</v>
      </c>
      <c r="C1734" s="18" t="s">
        <v>20</v>
      </c>
      <c r="D1734" s="18" t="s">
        <v>328</v>
      </c>
      <c r="E1734" s="18">
        <v>38</v>
      </c>
      <c r="F1734" t="s">
        <v>381</v>
      </c>
      <c r="G1734" s="18" t="s">
        <v>26</v>
      </c>
      <c r="H1734" s="18" t="s">
        <v>27</v>
      </c>
      <c r="I1734" s="18">
        <v>24600</v>
      </c>
      <c r="J1734" s="18">
        <v>2</v>
      </c>
      <c r="K1734" s="19">
        <f t="shared" si="81"/>
        <v>49200</v>
      </c>
      <c r="L1734" s="20">
        <v>45319</v>
      </c>
      <c r="M1734" s="18" t="str">
        <f t="shared" si="82"/>
        <v>Sunday</v>
      </c>
      <c r="N1734" s="18" t="str">
        <f t="shared" si="83"/>
        <v>Weekday</v>
      </c>
      <c r="Q1734" s="18"/>
      <c r="R1734" s="18"/>
      <c r="S1734" s="21"/>
      <c r="T1734"/>
      <c r="U1734" s="6"/>
      <c r="W1734" s="7"/>
      <c r="Z1734" s="4"/>
    </row>
    <row r="1735" spans="1:26" x14ac:dyDescent="0.3">
      <c r="A1735" t="s">
        <v>2106</v>
      </c>
      <c r="B1735" s="22" t="s">
        <v>161</v>
      </c>
      <c r="C1735" s="24" t="s">
        <v>11</v>
      </c>
      <c r="D1735" s="24" t="s">
        <v>322</v>
      </c>
      <c r="E1735" s="24">
        <v>26</v>
      </c>
      <c r="F1735" t="s">
        <v>370</v>
      </c>
      <c r="G1735" s="24" t="s">
        <v>17</v>
      </c>
      <c r="H1735" s="24" t="s">
        <v>18</v>
      </c>
      <c r="I1735" s="24">
        <v>12300</v>
      </c>
      <c r="J1735" s="24">
        <v>2</v>
      </c>
      <c r="K1735" s="25">
        <f t="shared" si="81"/>
        <v>24600</v>
      </c>
      <c r="L1735" s="26">
        <v>45653</v>
      </c>
      <c r="M1735" s="24" t="str">
        <f t="shared" si="82"/>
        <v>Friday</v>
      </c>
      <c r="N1735" s="24" t="str">
        <f t="shared" si="83"/>
        <v>Weekend</v>
      </c>
      <c r="Q1735" s="24"/>
      <c r="R1735" s="24"/>
      <c r="S1735" s="27"/>
      <c r="T1735"/>
      <c r="U1735" s="6"/>
      <c r="W1735" s="7"/>
      <c r="Z1735" s="4"/>
    </row>
    <row r="1736" spans="1:26" x14ac:dyDescent="0.3">
      <c r="A1736" t="s">
        <v>2107</v>
      </c>
      <c r="B1736" s="16" t="s">
        <v>208</v>
      </c>
      <c r="C1736" s="18" t="s">
        <v>366</v>
      </c>
      <c r="D1736" s="18" t="s">
        <v>326</v>
      </c>
      <c r="E1736" s="18">
        <v>45</v>
      </c>
      <c r="F1736" t="s">
        <v>375</v>
      </c>
      <c r="G1736" s="18" t="s">
        <v>17</v>
      </c>
      <c r="H1736" s="18" t="s">
        <v>18</v>
      </c>
      <c r="I1736" s="18">
        <v>12300</v>
      </c>
      <c r="J1736" s="18">
        <v>1</v>
      </c>
      <c r="K1736" s="19">
        <f t="shared" si="81"/>
        <v>12300</v>
      </c>
      <c r="L1736" s="20">
        <v>45313</v>
      </c>
      <c r="M1736" s="18" t="str">
        <f t="shared" si="82"/>
        <v>Monday</v>
      </c>
      <c r="N1736" s="18" t="str">
        <f t="shared" si="83"/>
        <v>Weekday</v>
      </c>
      <c r="Q1736" s="18"/>
      <c r="R1736" s="18"/>
      <c r="S1736" s="21"/>
      <c r="T1736"/>
      <c r="U1736" s="6"/>
      <c r="W1736" s="7"/>
      <c r="Z1736" s="4"/>
    </row>
    <row r="1737" spans="1:26" x14ac:dyDescent="0.3">
      <c r="A1737" t="s">
        <v>2108</v>
      </c>
      <c r="B1737" s="22" t="s">
        <v>278</v>
      </c>
      <c r="C1737" s="24" t="s">
        <v>11</v>
      </c>
      <c r="D1737" s="24" t="s">
        <v>322</v>
      </c>
      <c r="E1737" s="24">
        <v>32</v>
      </c>
      <c r="F1737" t="s">
        <v>373</v>
      </c>
      <c r="G1737" s="24" t="s">
        <v>31</v>
      </c>
      <c r="H1737" s="24" t="s">
        <v>18</v>
      </c>
      <c r="I1737" s="24">
        <v>6150</v>
      </c>
      <c r="J1737" s="24">
        <v>1</v>
      </c>
      <c r="K1737" s="25">
        <f t="shared" si="81"/>
        <v>6150</v>
      </c>
      <c r="L1737" s="26">
        <v>45537</v>
      </c>
      <c r="M1737" s="24" t="str">
        <f t="shared" si="82"/>
        <v>Monday</v>
      </c>
      <c r="N1737" s="24" t="str">
        <f t="shared" si="83"/>
        <v>Weekday</v>
      </c>
      <c r="Q1737" s="24"/>
      <c r="R1737" s="24"/>
      <c r="S1737" s="27"/>
      <c r="T1737"/>
      <c r="U1737" s="6"/>
      <c r="W1737" s="7"/>
      <c r="Z1737" s="4"/>
    </row>
    <row r="1738" spans="1:26" x14ac:dyDescent="0.3">
      <c r="A1738" t="s">
        <v>2109</v>
      </c>
      <c r="B1738" s="16" t="s">
        <v>272</v>
      </c>
      <c r="C1738" s="18" t="s">
        <v>20</v>
      </c>
      <c r="D1738" s="18" t="s">
        <v>322</v>
      </c>
      <c r="E1738" s="18">
        <v>36</v>
      </c>
      <c r="F1738" t="s">
        <v>370</v>
      </c>
      <c r="G1738" s="18" t="s">
        <v>24</v>
      </c>
      <c r="H1738" s="18" t="s">
        <v>14</v>
      </c>
      <c r="I1738" s="18">
        <v>184500</v>
      </c>
      <c r="J1738" s="18">
        <v>5</v>
      </c>
      <c r="K1738" s="19">
        <f t="shared" si="81"/>
        <v>922500</v>
      </c>
      <c r="L1738" s="20">
        <v>45563</v>
      </c>
      <c r="M1738" s="18" t="str">
        <f t="shared" si="82"/>
        <v>Saturday</v>
      </c>
      <c r="N1738" s="18" t="str">
        <f t="shared" si="83"/>
        <v>Weekend</v>
      </c>
      <c r="Q1738" s="18"/>
      <c r="R1738" s="18"/>
      <c r="S1738" s="21"/>
      <c r="T1738"/>
      <c r="U1738" s="6"/>
      <c r="W1738" s="7"/>
      <c r="Z1738" s="4"/>
    </row>
    <row r="1739" spans="1:26" x14ac:dyDescent="0.3">
      <c r="A1739" t="s">
        <v>2110</v>
      </c>
      <c r="B1739" s="22" t="s">
        <v>166</v>
      </c>
      <c r="C1739" s="24" t="s">
        <v>366</v>
      </c>
      <c r="D1739" s="24" t="s">
        <v>326</v>
      </c>
      <c r="E1739" s="24">
        <v>57</v>
      </c>
      <c r="F1739" t="s">
        <v>373</v>
      </c>
      <c r="G1739" s="24" t="s">
        <v>26</v>
      </c>
      <c r="H1739" s="24" t="s">
        <v>27</v>
      </c>
      <c r="I1739" s="24">
        <v>24600</v>
      </c>
      <c r="J1739" s="24">
        <v>2</v>
      </c>
      <c r="K1739" s="25">
        <f t="shared" si="81"/>
        <v>49200</v>
      </c>
      <c r="L1739" s="26">
        <v>45300</v>
      </c>
      <c r="M1739" s="24" t="str">
        <f t="shared" si="82"/>
        <v>Tuesday</v>
      </c>
      <c r="N1739" s="24" t="str">
        <f t="shared" si="83"/>
        <v>Weekday</v>
      </c>
      <c r="Q1739" s="24"/>
      <c r="R1739" s="24"/>
      <c r="S1739" s="27"/>
      <c r="T1739"/>
      <c r="U1739" s="6"/>
      <c r="W1739" s="7"/>
      <c r="Z1739" s="4"/>
    </row>
    <row r="1740" spans="1:26" x14ac:dyDescent="0.3">
      <c r="A1740" t="s">
        <v>2111</v>
      </c>
      <c r="B1740" s="16" t="s">
        <v>229</v>
      </c>
      <c r="C1740" s="18" t="s">
        <v>11</v>
      </c>
      <c r="D1740" s="18" t="s">
        <v>324</v>
      </c>
      <c r="E1740" s="18">
        <v>66</v>
      </c>
      <c r="F1740" t="s">
        <v>370</v>
      </c>
      <c r="G1740" s="18" t="s">
        <v>17</v>
      </c>
      <c r="H1740" s="18" t="s">
        <v>18</v>
      </c>
      <c r="I1740" s="18">
        <v>12300</v>
      </c>
      <c r="J1740" s="18">
        <v>5</v>
      </c>
      <c r="K1740" s="19">
        <f t="shared" si="81"/>
        <v>61500</v>
      </c>
      <c r="L1740" s="20">
        <v>45317</v>
      </c>
      <c r="M1740" s="18" t="str">
        <f t="shared" si="82"/>
        <v>Friday</v>
      </c>
      <c r="N1740" s="18" t="str">
        <f t="shared" si="83"/>
        <v>Weekend</v>
      </c>
      <c r="Q1740" s="18"/>
      <c r="R1740" s="18"/>
      <c r="S1740" s="21"/>
      <c r="T1740"/>
      <c r="U1740" s="6"/>
      <c r="W1740" s="7"/>
      <c r="Z1740" s="4"/>
    </row>
    <row r="1741" spans="1:26" x14ac:dyDescent="0.3">
      <c r="A1741" t="s">
        <v>2112</v>
      </c>
      <c r="B1741" s="22" t="s">
        <v>242</v>
      </c>
      <c r="C1741" s="24" t="s">
        <v>20</v>
      </c>
      <c r="D1741" s="24" t="s">
        <v>322</v>
      </c>
      <c r="E1741" s="24">
        <v>27</v>
      </c>
      <c r="F1741" t="s">
        <v>381</v>
      </c>
      <c r="G1741" s="24" t="s">
        <v>26</v>
      </c>
      <c r="H1741" s="24" t="s">
        <v>27</v>
      </c>
      <c r="I1741" s="24">
        <v>24600</v>
      </c>
      <c r="J1741" s="24">
        <v>5</v>
      </c>
      <c r="K1741" s="25">
        <f t="shared" si="81"/>
        <v>123000</v>
      </c>
      <c r="L1741" s="26">
        <v>45364</v>
      </c>
      <c r="M1741" s="24" t="str">
        <f t="shared" si="82"/>
        <v>Wednesday</v>
      </c>
      <c r="N1741" s="24" t="str">
        <f t="shared" si="83"/>
        <v>Weekday</v>
      </c>
      <c r="Q1741" s="24"/>
      <c r="R1741" s="24"/>
      <c r="S1741" s="27"/>
      <c r="T1741"/>
      <c r="U1741" s="6"/>
      <c r="W1741" s="7"/>
      <c r="Z1741" s="4"/>
    </row>
    <row r="1742" spans="1:26" x14ac:dyDescent="0.3">
      <c r="A1742" t="s">
        <v>2113</v>
      </c>
      <c r="B1742" s="16" t="s">
        <v>115</v>
      </c>
      <c r="C1742" s="18" t="s">
        <v>366</v>
      </c>
      <c r="D1742" s="18" t="s">
        <v>323</v>
      </c>
      <c r="E1742" s="18">
        <v>63</v>
      </c>
      <c r="F1742" t="s">
        <v>373</v>
      </c>
      <c r="G1742" s="18" t="s">
        <v>26</v>
      </c>
      <c r="H1742" s="18" t="s">
        <v>27</v>
      </c>
      <c r="I1742" s="18">
        <v>24600</v>
      </c>
      <c r="J1742" s="18">
        <v>1</v>
      </c>
      <c r="K1742" s="19">
        <f t="shared" si="81"/>
        <v>24600</v>
      </c>
      <c r="L1742" s="20">
        <v>45637</v>
      </c>
      <c r="M1742" s="18" t="str">
        <f t="shared" si="82"/>
        <v>Wednesday</v>
      </c>
      <c r="N1742" s="18" t="str">
        <f t="shared" si="83"/>
        <v>Weekday</v>
      </c>
      <c r="Q1742" s="18"/>
      <c r="R1742" s="18"/>
      <c r="S1742" s="21"/>
      <c r="T1742"/>
      <c r="U1742" s="6"/>
      <c r="W1742" s="7"/>
      <c r="Z1742" s="4"/>
    </row>
    <row r="1743" spans="1:26" x14ac:dyDescent="0.3">
      <c r="A1743" t="s">
        <v>2114</v>
      </c>
      <c r="B1743" s="22" t="s">
        <v>23</v>
      </c>
      <c r="C1743" s="24" t="s">
        <v>11</v>
      </c>
      <c r="D1743" s="24" t="s">
        <v>322</v>
      </c>
      <c r="E1743" s="24">
        <v>65</v>
      </c>
      <c r="F1743" t="s">
        <v>370</v>
      </c>
      <c r="G1743" s="24" t="s">
        <v>13</v>
      </c>
      <c r="H1743" s="24" t="s">
        <v>14</v>
      </c>
      <c r="I1743" s="24">
        <v>36900</v>
      </c>
      <c r="J1743" s="24">
        <v>2</v>
      </c>
      <c r="K1743" s="25">
        <f t="shared" si="81"/>
        <v>73800</v>
      </c>
      <c r="L1743" s="26">
        <v>45362</v>
      </c>
      <c r="M1743" s="24" t="str">
        <f t="shared" si="82"/>
        <v>Monday</v>
      </c>
      <c r="N1743" s="24" t="str">
        <f t="shared" si="83"/>
        <v>Weekday</v>
      </c>
      <c r="Q1743" s="24"/>
      <c r="R1743" s="24"/>
      <c r="S1743" s="27"/>
      <c r="T1743"/>
      <c r="U1743" s="6"/>
      <c r="W1743" s="7"/>
      <c r="Z1743" s="4"/>
    </row>
    <row r="1744" spans="1:26" x14ac:dyDescent="0.3">
      <c r="A1744" t="s">
        <v>2115</v>
      </c>
      <c r="B1744" s="16" t="s">
        <v>211</v>
      </c>
      <c r="C1744" s="18" t="s">
        <v>366</v>
      </c>
      <c r="D1744" s="18" t="s">
        <v>329</v>
      </c>
      <c r="E1744" s="18">
        <v>41</v>
      </c>
      <c r="F1744" t="s">
        <v>375</v>
      </c>
      <c r="G1744" s="18" t="s">
        <v>31</v>
      </c>
      <c r="H1744" s="18" t="s">
        <v>18</v>
      </c>
      <c r="I1744" s="18">
        <v>6150</v>
      </c>
      <c r="J1744" s="18">
        <v>3</v>
      </c>
      <c r="K1744" s="19">
        <f t="shared" si="81"/>
        <v>18450</v>
      </c>
      <c r="L1744" s="20">
        <v>45481</v>
      </c>
      <c r="M1744" s="18" t="str">
        <f t="shared" si="82"/>
        <v>Monday</v>
      </c>
      <c r="N1744" s="18" t="str">
        <f t="shared" si="83"/>
        <v>Weekday</v>
      </c>
      <c r="Q1744" s="18"/>
      <c r="R1744" s="18"/>
      <c r="S1744" s="21"/>
      <c r="T1744"/>
      <c r="U1744" s="6"/>
      <c r="W1744" s="7"/>
      <c r="Z1744" s="4"/>
    </row>
    <row r="1745" spans="1:26" x14ac:dyDescent="0.3">
      <c r="A1745" t="s">
        <v>2116</v>
      </c>
      <c r="B1745" s="22" t="s">
        <v>163</v>
      </c>
      <c r="C1745" s="24" t="s">
        <v>11</v>
      </c>
      <c r="D1745" s="24" t="s">
        <v>323</v>
      </c>
      <c r="E1745" s="24">
        <v>65</v>
      </c>
      <c r="F1745" t="s">
        <v>375</v>
      </c>
      <c r="G1745" s="24" t="s">
        <v>26</v>
      </c>
      <c r="H1745" s="24" t="s">
        <v>27</v>
      </c>
      <c r="I1745" s="24">
        <v>24600</v>
      </c>
      <c r="J1745" s="24">
        <v>5</v>
      </c>
      <c r="K1745" s="25">
        <f t="shared" si="81"/>
        <v>123000</v>
      </c>
      <c r="L1745" s="26">
        <v>45520</v>
      </c>
      <c r="M1745" s="24" t="str">
        <f t="shared" si="82"/>
        <v>Friday</v>
      </c>
      <c r="N1745" s="24" t="str">
        <f t="shared" si="83"/>
        <v>Weekend</v>
      </c>
      <c r="Q1745" s="24"/>
      <c r="R1745" s="24"/>
      <c r="S1745" s="27"/>
      <c r="T1745"/>
      <c r="U1745" s="6"/>
      <c r="W1745" s="7"/>
      <c r="Z1745" s="4"/>
    </row>
    <row r="1746" spans="1:26" x14ac:dyDescent="0.3">
      <c r="A1746" t="s">
        <v>2117</v>
      </c>
      <c r="B1746" s="16" t="s">
        <v>243</v>
      </c>
      <c r="C1746" s="18" t="s">
        <v>11</v>
      </c>
      <c r="D1746" s="18" t="s">
        <v>323</v>
      </c>
      <c r="E1746" s="18">
        <v>52</v>
      </c>
      <c r="F1746" t="s">
        <v>381</v>
      </c>
      <c r="G1746" s="18" t="s">
        <v>17</v>
      </c>
      <c r="H1746" s="18" t="s">
        <v>18</v>
      </c>
      <c r="I1746" s="18">
        <v>12300</v>
      </c>
      <c r="J1746" s="18">
        <v>4</v>
      </c>
      <c r="K1746" s="19">
        <f t="shared" si="81"/>
        <v>49200</v>
      </c>
      <c r="L1746" s="20">
        <v>45303</v>
      </c>
      <c r="M1746" s="18" t="str">
        <f t="shared" si="82"/>
        <v>Friday</v>
      </c>
      <c r="N1746" s="18" t="str">
        <f t="shared" si="83"/>
        <v>Weekend</v>
      </c>
      <c r="Q1746" s="18"/>
      <c r="R1746" s="18"/>
      <c r="S1746" s="21"/>
      <c r="T1746"/>
      <c r="U1746" s="6"/>
      <c r="W1746" s="7"/>
      <c r="Z1746" s="4"/>
    </row>
    <row r="1747" spans="1:26" x14ac:dyDescent="0.3">
      <c r="A1747" t="s">
        <v>2118</v>
      </c>
      <c r="B1747" s="22" t="s">
        <v>231</v>
      </c>
      <c r="C1747" s="24" t="s">
        <v>11</v>
      </c>
      <c r="D1747" s="24" t="s">
        <v>326</v>
      </c>
      <c r="E1747" s="24">
        <v>65</v>
      </c>
      <c r="F1747" t="s">
        <v>381</v>
      </c>
      <c r="G1747" s="24" t="s">
        <v>24</v>
      </c>
      <c r="H1747" s="24" t="s">
        <v>14</v>
      </c>
      <c r="I1747" s="24">
        <v>184500</v>
      </c>
      <c r="J1747" s="24">
        <v>4</v>
      </c>
      <c r="K1747" s="25">
        <f t="shared" si="81"/>
        <v>738000</v>
      </c>
      <c r="L1747" s="26">
        <v>45431</v>
      </c>
      <c r="M1747" s="24" t="str">
        <f t="shared" si="82"/>
        <v>Sunday</v>
      </c>
      <c r="N1747" s="24" t="str">
        <f t="shared" si="83"/>
        <v>Weekday</v>
      </c>
      <c r="Q1747" s="24"/>
      <c r="R1747" s="24"/>
      <c r="S1747" s="27"/>
      <c r="T1747"/>
      <c r="U1747" s="6"/>
      <c r="W1747" s="7"/>
      <c r="Z1747" s="4"/>
    </row>
    <row r="1748" spans="1:26" x14ac:dyDescent="0.3">
      <c r="A1748" t="s">
        <v>2119</v>
      </c>
      <c r="B1748" s="16" t="s">
        <v>143</v>
      </c>
      <c r="C1748" s="18" t="s">
        <v>20</v>
      </c>
      <c r="D1748" s="18" t="s">
        <v>323</v>
      </c>
      <c r="E1748" s="18">
        <v>39</v>
      </c>
      <c r="F1748" t="s">
        <v>370</v>
      </c>
      <c r="G1748" s="18" t="s">
        <v>42</v>
      </c>
      <c r="H1748" s="18" t="s">
        <v>14</v>
      </c>
      <c r="I1748" s="18">
        <v>98400</v>
      </c>
      <c r="J1748" s="18">
        <v>1</v>
      </c>
      <c r="K1748" s="19">
        <f t="shared" si="81"/>
        <v>98400</v>
      </c>
      <c r="L1748" s="20">
        <v>45614</v>
      </c>
      <c r="M1748" s="18" t="str">
        <f t="shared" si="82"/>
        <v>Monday</v>
      </c>
      <c r="N1748" s="18" t="str">
        <f t="shared" si="83"/>
        <v>Weekday</v>
      </c>
      <c r="Q1748" s="18"/>
      <c r="R1748" s="18"/>
      <c r="S1748" s="21"/>
      <c r="T1748"/>
      <c r="U1748" s="6"/>
      <c r="W1748" s="7"/>
      <c r="Z1748" s="4"/>
    </row>
    <row r="1749" spans="1:26" x14ac:dyDescent="0.3">
      <c r="A1749" t="s">
        <v>2120</v>
      </c>
      <c r="B1749" s="22" t="s">
        <v>247</v>
      </c>
      <c r="C1749" s="24" t="s">
        <v>20</v>
      </c>
      <c r="D1749" s="24" t="s">
        <v>322</v>
      </c>
      <c r="E1749" s="24">
        <v>57</v>
      </c>
      <c r="F1749" t="s">
        <v>375</v>
      </c>
      <c r="G1749" s="24" t="s">
        <v>42</v>
      </c>
      <c r="H1749" s="24" t="s">
        <v>14</v>
      </c>
      <c r="I1749" s="24">
        <v>98400</v>
      </c>
      <c r="J1749" s="24">
        <v>4</v>
      </c>
      <c r="K1749" s="25">
        <f t="shared" si="81"/>
        <v>393600</v>
      </c>
      <c r="L1749" s="26">
        <v>45356</v>
      </c>
      <c r="M1749" s="24" t="str">
        <f t="shared" si="82"/>
        <v>Tuesday</v>
      </c>
      <c r="N1749" s="24" t="str">
        <f t="shared" si="83"/>
        <v>Weekday</v>
      </c>
      <c r="Q1749" s="24"/>
      <c r="R1749" s="24"/>
      <c r="S1749" s="27"/>
      <c r="T1749"/>
      <c r="U1749" s="6"/>
      <c r="W1749" s="7"/>
      <c r="Z1749" s="4"/>
    </row>
    <row r="1750" spans="1:26" x14ac:dyDescent="0.3">
      <c r="A1750" t="s">
        <v>2121</v>
      </c>
      <c r="B1750" s="16" t="s">
        <v>268</v>
      </c>
      <c r="C1750" s="18" t="s">
        <v>20</v>
      </c>
      <c r="D1750" s="18" t="s">
        <v>323</v>
      </c>
      <c r="E1750" s="18">
        <v>55</v>
      </c>
      <c r="F1750" t="s">
        <v>373</v>
      </c>
      <c r="G1750" s="18" t="s">
        <v>42</v>
      </c>
      <c r="H1750" s="18" t="s">
        <v>14</v>
      </c>
      <c r="I1750" s="18">
        <v>98400</v>
      </c>
      <c r="J1750" s="18">
        <v>1</v>
      </c>
      <c r="K1750" s="19">
        <f t="shared" si="81"/>
        <v>98400</v>
      </c>
      <c r="L1750" s="20">
        <v>45387</v>
      </c>
      <c r="M1750" s="18" t="str">
        <f t="shared" si="82"/>
        <v>Friday</v>
      </c>
      <c r="N1750" s="18" t="str">
        <f t="shared" si="83"/>
        <v>Weekend</v>
      </c>
      <c r="Q1750" s="18"/>
      <c r="R1750" s="18"/>
      <c r="S1750" s="21"/>
      <c r="T1750"/>
      <c r="U1750" s="6"/>
      <c r="W1750" s="7"/>
      <c r="Z1750" s="4"/>
    </row>
    <row r="1751" spans="1:26" x14ac:dyDescent="0.3">
      <c r="A1751" t="s">
        <v>2122</v>
      </c>
      <c r="B1751" s="22" t="s">
        <v>290</v>
      </c>
      <c r="C1751" s="24" t="s">
        <v>366</v>
      </c>
      <c r="D1751" s="24" t="s">
        <v>326</v>
      </c>
      <c r="E1751" s="24">
        <v>66</v>
      </c>
      <c r="F1751" t="s">
        <v>370</v>
      </c>
      <c r="G1751" s="24" t="s">
        <v>31</v>
      </c>
      <c r="H1751" s="24" t="s">
        <v>18</v>
      </c>
      <c r="I1751" s="24">
        <v>6150</v>
      </c>
      <c r="J1751" s="24">
        <v>3</v>
      </c>
      <c r="K1751" s="25">
        <f t="shared" si="81"/>
        <v>18450</v>
      </c>
      <c r="L1751" s="26">
        <v>45331</v>
      </c>
      <c r="M1751" s="24" t="str">
        <f t="shared" si="82"/>
        <v>Friday</v>
      </c>
      <c r="N1751" s="24" t="str">
        <f t="shared" si="83"/>
        <v>Weekend</v>
      </c>
      <c r="Q1751" s="24"/>
      <c r="R1751" s="24"/>
      <c r="S1751" s="27"/>
      <c r="T1751"/>
      <c r="U1751" s="6"/>
      <c r="W1751" s="7"/>
      <c r="Z1751" s="4"/>
    </row>
    <row r="1752" spans="1:26" x14ac:dyDescent="0.3">
      <c r="A1752" t="s">
        <v>2123</v>
      </c>
      <c r="B1752" s="16" t="s">
        <v>313</v>
      </c>
      <c r="C1752" s="18" t="s">
        <v>366</v>
      </c>
      <c r="D1752" s="18" t="s">
        <v>325</v>
      </c>
      <c r="E1752" s="18">
        <v>29</v>
      </c>
      <c r="F1752" t="s">
        <v>370</v>
      </c>
      <c r="G1752" s="18" t="s">
        <v>42</v>
      </c>
      <c r="H1752" s="18" t="s">
        <v>14</v>
      </c>
      <c r="I1752" s="18">
        <v>98400</v>
      </c>
      <c r="J1752" s="18">
        <v>5</v>
      </c>
      <c r="K1752" s="19">
        <f t="shared" si="81"/>
        <v>492000</v>
      </c>
      <c r="L1752" s="20">
        <v>45466</v>
      </c>
      <c r="M1752" s="18" t="str">
        <f t="shared" si="82"/>
        <v>Sunday</v>
      </c>
      <c r="N1752" s="18" t="str">
        <f t="shared" si="83"/>
        <v>Weekday</v>
      </c>
      <c r="Q1752" s="18"/>
      <c r="R1752" s="18"/>
      <c r="S1752" s="21"/>
      <c r="T1752"/>
      <c r="U1752" s="6"/>
      <c r="W1752" s="7"/>
      <c r="Z1752" s="4"/>
    </row>
    <row r="1753" spans="1:26" x14ac:dyDescent="0.3">
      <c r="A1753" t="s">
        <v>2124</v>
      </c>
      <c r="B1753" s="22" t="s">
        <v>109</v>
      </c>
      <c r="C1753" s="24" t="s">
        <v>366</v>
      </c>
      <c r="D1753" s="24" t="s">
        <v>324</v>
      </c>
      <c r="E1753" s="24">
        <v>26</v>
      </c>
      <c r="F1753" t="s">
        <v>375</v>
      </c>
      <c r="G1753" s="24" t="s">
        <v>13</v>
      </c>
      <c r="H1753" s="24" t="s">
        <v>14</v>
      </c>
      <c r="I1753" s="24">
        <v>36900</v>
      </c>
      <c r="J1753" s="24">
        <v>2</v>
      </c>
      <c r="K1753" s="25">
        <f t="shared" si="81"/>
        <v>73800</v>
      </c>
      <c r="L1753" s="26">
        <v>45500</v>
      </c>
      <c r="M1753" s="24" t="str">
        <f t="shared" si="82"/>
        <v>Saturday</v>
      </c>
      <c r="N1753" s="24" t="str">
        <f t="shared" si="83"/>
        <v>Weekend</v>
      </c>
      <c r="Q1753" s="24"/>
      <c r="R1753" s="24"/>
      <c r="S1753" s="27"/>
      <c r="T1753"/>
      <c r="U1753" s="6"/>
      <c r="W1753" s="7"/>
      <c r="Z1753" s="4"/>
    </row>
    <row r="1754" spans="1:26" x14ac:dyDescent="0.3">
      <c r="A1754" t="s">
        <v>2125</v>
      </c>
      <c r="B1754" s="16" t="s">
        <v>75</v>
      </c>
      <c r="C1754" s="18" t="s">
        <v>11</v>
      </c>
      <c r="D1754" s="18" t="s">
        <v>322</v>
      </c>
      <c r="E1754" s="18">
        <v>51</v>
      </c>
      <c r="F1754" t="s">
        <v>381</v>
      </c>
      <c r="G1754" s="18" t="s">
        <v>26</v>
      </c>
      <c r="H1754" s="18" t="s">
        <v>27</v>
      </c>
      <c r="I1754" s="18">
        <v>24600</v>
      </c>
      <c r="J1754" s="18">
        <v>3</v>
      </c>
      <c r="K1754" s="19">
        <f t="shared" si="81"/>
        <v>73800</v>
      </c>
      <c r="L1754" s="20">
        <v>45461</v>
      </c>
      <c r="M1754" s="18" t="str">
        <f t="shared" si="82"/>
        <v>Tuesday</v>
      </c>
      <c r="N1754" s="18" t="str">
        <f t="shared" si="83"/>
        <v>Weekday</v>
      </c>
      <c r="Q1754" s="18"/>
      <c r="R1754" s="18"/>
      <c r="S1754" s="21"/>
      <c r="T1754"/>
      <c r="U1754" s="6"/>
      <c r="W1754" s="7"/>
      <c r="Z1754" s="4"/>
    </row>
    <row r="1755" spans="1:26" x14ac:dyDescent="0.3">
      <c r="A1755" t="s">
        <v>2126</v>
      </c>
      <c r="B1755" s="22" t="s">
        <v>311</v>
      </c>
      <c r="C1755" s="24" t="s">
        <v>11</v>
      </c>
      <c r="D1755" s="24" t="s">
        <v>322</v>
      </c>
      <c r="E1755" s="24">
        <v>21</v>
      </c>
      <c r="F1755" t="s">
        <v>373</v>
      </c>
      <c r="G1755" s="24" t="s">
        <v>42</v>
      </c>
      <c r="H1755" s="24" t="s">
        <v>14</v>
      </c>
      <c r="I1755" s="24">
        <v>98400</v>
      </c>
      <c r="J1755" s="24">
        <v>3</v>
      </c>
      <c r="K1755" s="25">
        <f t="shared" si="81"/>
        <v>295200</v>
      </c>
      <c r="L1755" s="26">
        <v>45600</v>
      </c>
      <c r="M1755" s="24" t="str">
        <f t="shared" si="82"/>
        <v>Monday</v>
      </c>
      <c r="N1755" s="24" t="str">
        <f t="shared" si="83"/>
        <v>Weekday</v>
      </c>
      <c r="Q1755" s="24"/>
      <c r="R1755" s="24"/>
      <c r="S1755" s="27"/>
      <c r="T1755"/>
      <c r="U1755" s="6"/>
      <c r="W1755" s="7"/>
      <c r="Z1755" s="4"/>
    </row>
    <row r="1756" spans="1:26" x14ac:dyDescent="0.3">
      <c r="A1756" t="s">
        <v>2127</v>
      </c>
      <c r="B1756" s="16" t="s">
        <v>205</v>
      </c>
      <c r="C1756" s="18" t="s">
        <v>20</v>
      </c>
      <c r="D1756" s="18" t="s">
        <v>328</v>
      </c>
      <c r="E1756" s="18">
        <v>61</v>
      </c>
      <c r="F1756" t="s">
        <v>381</v>
      </c>
      <c r="G1756" s="18" t="s">
        <v>42</v>
      </c>
      <c r="H1756" s="18" t="s">
        <v>14</v>
      </c>
      <c r="I1756" s="18">
        <v>98400</v>
      </c>
      <c r="J1756" s="18">
        <v>5</v>
      </c>
      <c r="K1756" s="19">
        <f t="shared" si="81"/>
        <v>492000</v>
      </c>
      <c r="L1756" s="20">
        <v>45556</v>
      </c>
      <c r="M1756" s="18" t="str">
        <f t="shared" si="82"/>
        <v>Saturday</v>
      </c>
      <c r="N1756" s="18" t="str">
        <f t="shared" si="83"/>
        <v>Weekend</v>
      </c>
      <c r="Q1756" s="18"/>
      <c r="R1756" s="18"/>
      <c r="S1756" s="21"/>
      <c r="T1756"/>
      <c r="U1756" s="6"/>
      <c r="W1756" s="7"/>
      <c r="Z1756" s="4"/>
    </row>
    <row r="1757" spans="1:26" x14ac:dyDescent="0.3">
      <c r="A1757" t="s">
        <v>2128</v>
      </c>
      <c r="B1757" s="22" t="s">
        <v>301</v>
      </c>
      <c r="C1757" s="24" t="s">
        <v>11</v>
      </c>
      <c r="D1757" s="24" t="s">
        <v>323</v>
      </c>
      <c r="E1757" s="24">
        <v>40</v>
      </c>
      <c r="F1757" t="s">
        <v>370</v>
      </c>
      <c r="G1757" s="24" t="s">
        <v>17</v>
      </c>
      <c r="H1757" s="24" t="s">
        <v>18</v>
      </c>
      <c r="I1757" s="24">
        <v>12300</v>
      </c>
      <c r="J1757" s="24">
        <v>3</v>
      </c>
      <c r="K1757" s="25">
        <f t="shared" si="81"/>
        <v>36900</v>
      </c>
      <c r="L1757" s="26">
        <v>45552</v>
      </c>
      <c r="M1757" s="24" t="str">
        <f t="shared" si="82"/>
        <v>Tuesday</v>
      </c>
      <c r="N1757" s="24" t="str">
        <f t="shared" si="83"/>
        <v>Weekday</v>
      </c>
      <c r="Q1757" s="24"/>
      <c r="R1757" s="24"/>
      <c r="S1757" s="27"/>
      <c r="T1757"/>
      <c r="U1757" s="6"/>
      <c r="W1757" s="7"/>
      <c r="Z1757" s="4"/>
    </row>
    <row r="1758" spans="1:26" x14ac:dyDescent="0.3">
      <c r="A1758" t="s">
        <v>2129</v>
      </c>
      <c r="B1758" s="16" t="s">
        <v>275</v>
      </c>
      <c r="C1758" s="18" t="s">
        <v>11</v>
      </c>
      <c r="D1758" s="18" t="s">
        <v>322</v>
      </c>
      <c r="E1758" s="18">
        <v>33</v>
      </c>
      <c r="F1758" t="s">
        <v>370</v>
      </c>
      <c r="G1758" s="18" t="s">
        <v>42</v>
      </c>
      <c r="H1758" s="18" t="s">
        <v>14</v>
      </c>
      <c r="I1758" s="18">
        <v>98400</v>
      </c>
      <c r="J1758" s="18">
        <v>4</v>
      </c>
      <c r="K1758" s="19">
        <f t="shared" si="81"/>
        <v>393600</v>
      </c>
      <c r="L1758" s="20">
        <v>45616</v>
      </c>
      <c r="M1758" s="18" t="str">
        <f t="shared" si="82"/>
        <v>Wednesday</v>
      </c>
      <c r="N1758" s="18" t="str">
        <f t="shared" si="83"/>
        <v>Weekday</v>
      </c>
      <c r="Q1758" s="18"/>
      <c r="R1758" s="18"/>
      <c r="S1758" s="21"/>
      <c r="T1758"/>
      <c r="U1758" s="6"/>
      <c r="W1758" s="7"/>
      <c r="Z1758" s="4"/>
    </row>
    <row r="1759" spans="1:26" x14ac:dyDescent="0.3">
      <c r="A1759" t="s">
        <v>2130</v>
      </c>
      <c r="B1759" s="22" t="s">
        <v>172</v>
      </c>
      <c r="C1759" s="24" t="s">
        <v>20</v>
      </c>
      <c r="D1759" s="24" t="s">
        <v>327</v>
      </c>
      <c r="E1759" s="24">
        <v>57</v>
      </c>
      <c r="F1759" t="s">
        <v>375</v>
      </c>
      <c r="G1759" s="24" t="s">
        <v>26</v>
      </c>
      <c r="H1759" s="24" t="s">
        <v>27</v>
      </c>
      <c r="I1759" s="24">
        <v>24600</v>
      </c>
      <c r="J1759" s="24">
        <v>2</v>
      </c>
      <c r="K1759" s="25">
        <f t="shared" si="81"/>
        <v>49200</v>
      </c>
      <c r="L1759" s="26">
        <v>45408</v>
      </c>
      <c r="M1759" s="24" t="str">
        <f t="shared" si="82"/>
        <v>Friday</v>
      </c>
      <c r="N1759" s="24" t="str">
        <f t="shared" si="83"/>
        <v>Weekend</v>
      </c>
      <c r="Q1759" s="24"/>
      <c r="R1759" s="24"/>
      <c r="S1759" s="27"/>
      <c r="T1759"/>
      <c r="U1759" s="6"/>
      <c r="W1759" s="7"/>
      <c r="Z1759" s="4"/>
    </row>
    <row r="1760" spans="1:26" x14ac:dyDescent="0.3">
      <c r="A1760" t="s">
        <v>2131</v>
      </c>
      <c r="B1760" s="16" t="s">
        <v>198</v>
      </c>
      <c r="C1760" s="18" t="s">
        <v>366</v>
      </c>
      <c r="D1760" s="18" t="s">
        <v>324</v>
      </c>
      <c r="E1760" s="18">
        <v>66</v>
      </c>
      <c r="F1760" t="s">
        <v>381</v>
      </c>
      <c r="G1760" s="18" t="s">
        <v>26</v>
      </c>
      <c r="H1760" s="18" t="s">
        <v>27</v>
      </c>
      <c r="I1760" s="18">
        <v>24600</v>
      </c>
      <c r="J1760" s="18">
        <v>5</v>
      </c>
      <c r="K1760" s="19">
        <f t="shared" si="81"/>
        <v>123000</v>
      </c>
      <c r="L1760" s="20">
        <v>45538</v>
      </c>
      <c r="M1760" s="18" t="str">
        <f t="shared" si="82"/>
        <v>Tuesday</v>
      </c>
      <c r="N1760" s="18" t="str">
        <f t="shared" si="83"/>
        <v>Weekday</v>
      </c>
      <c r="Q1760" s="18"/>
      <c r="R1760" s="18"/>
      <c r="S1760" s="21"/>
      <c r="T1760"/>
      <c r="U1760" s="6"/>
      <c r="W1760" s="7"/>
      <c r="Z1760" s="4"/>
    </row>
    <row r="1761" spans="1:26" x14ac:dyDescent="0.3">
      <c r="A1761" t="s">
        <v>2132</v>
      </c>
      <c r="B1761" s="22" t="s">
        <v>108</v>
      </c>
      <c r="C1761" s="24" t="s">
        <v>11</v>
      </c>
      <c r="D1761" s="24" t="s">
        <v>329</v>
      </c>
      <c r="E1761" s="24">
        <v>42</v>
      </c>
      <c r="F1761" t="s">
        <v>370</v>
      </c>
      <c r="G1761" s="24" t="s">
        <v>24</v>
      </c>
      <c r="H1761" s="24" t="s">
        <v>14</v>
      </c>
      <c r="I1761" s="24">
        <v>184500</v>
      </c>
      <c r="J1761" s="24">
        <v>2</v>
      </c>
      <c r="K1761" s="25">
        <f t="shared" si="81"/>
        <v>369000</v>
      </c>
      <c r="L1761" s="26">
        <v>45361</v>
      </c>
      <c r="M1761" s="24" t="str">
        <f t="shared" si="82"/>
        <v>Sunday</v>
      </c>
      <c r="N1761" s="24" t="str">
        <f t="shared" si="83"/>
        <v>Weekday</v>
      </c>
      <c r="Q1761" s="24"/>
      <c r="R1761" s="24"/>
      <c r="S1761" s="27"/>
      <c r="T1761"/>
      <c r="U1761" s="6"/>
      <c r="W1761" s="7"/>
      <c r="Z1761" s="4"/>
    </row>
    <row r="1762" spans="1:26" x14ac:dyDescent="0.3">
      <c r="A1762" t="s">
        <v>2133</v>
      </c>
      <c r="B1762" s="16" t="s">
        <v>162</v>
      </c>
      <c r="C1762" s="18" t="s">
        <v>11</v>
      </c>
      <c r="D1762" s="18" t="s">
        <v>329</v>
      </c>
      <c r="E1762" s="18">
        <v>27</v>
      </c>
      <c r="F1762" t="s">
        <v>370</v>
      </c>
      <c r="G1762" s="18" t="s">
        <v>31</v>
      </c>
      <c r="H1762" s="18" t="s">
        <v>18</v>
      </c>
      <c r="I1762" s="18">
        <v>6150</v>
      </c>
      <c r="J1762" s="18">
        <v>4</v>
      </c>
      <c r="K1762" s="19">
        <f t="shared" si="81"/>
        <v>24600</v>
      </c>
      <c r="L1762" s="20">
        <v>45560</v>
      </c>
      <c r="M1762" s="18" t="str">
        <f t="shared" si="82"/>
        <v>Wednesday</v>
      </c>
      <c r="N1762" s="18" t="str">
        <f t="shared" si="83"/>
        <v>Weekday</v>
      </c>
      <c r="Q1762" s="18"/>
      <c r="R1762" s="18"/>
      <c r="S1762" s="21"/>
      <c r="T1762"/>
      <c r="U1762" s="6"/>
      <c r="W1762" s="7"/>
      <c r="Z1762" s="4"/>
    </row>
    <row r="1763" spans="1:26" x14ac:dyDescent="0.3">
      <c r="A1763" t="s">
        <v>2134</v>
      </c>
      <c r="B1763" s="22" t="s">
        <v>211</v>
      </c>
      <c r="C1763" s="24" t="s">
        <v>366</v>
      </c>
      <c r="D1763" s="24" t="s">
        <v>329</v>
      </c>
      <c r="E1763" s="24">
        <v>41</v>
      </c>
      <c r="F1763" t="s">
        <v>381</v>
      </c>
      <c r="G1763" s="24" t="s">
        <v>32</v>
      </c>
      <c r="H1763" s="24" t="s">
        <v>18</v>
      </c>
      <c r="I1763" s="24">
        <v>3690</v>
      </c>
      <c r="J1763" s="24">
        <v>5</v>
      </c>
      <c r="K1763" s="25">
        <f t="shared" si="81"/>
        <v>18450</v>
      </c>
      <c r="L1763" s="26">
        <v>45579</v>
      </c>
      <c r="M1763" s="24" t="str">
        <f t="shared" si="82"/>
        <v>Monday</v>
      </c>
      <c r="N1763" s="24" t="str">
        <f t="shared" si="83"/>
        <v>Weekday</v>
      </c>
      <c r="Q1763" s="24"/>
      <c r="R1763" s="24"/>
      <c r="S1763" s="27"/>
      <c r="T1763"/>
      <c r="U1763" s="6"/>
      <c r="W1763" s="7"/>
      <c r="Z1763" s="4"/>
    </row>
    <row r="1764" spans="1:26" x14ac:dyDescent="0.3">
      <c r="A1764" t="s">
        <v>2135</v>
      </c>
      <c r="B1764" s="16" t="s">
        <v>111</v>
      </c>
      <c r="C1764" s="18" t="s">
        <v>20</v>
      </c>
      <c r="D1764" s="18" t="s">
        <v>329</v>
      </c>
      <c r="E1764" s="18">
        <v>57</v>
      </c>
      <c r="F1764" t="s">
        <v>375</v>
      </c>
      <c r="G1764" s="18" t="s">
        <v>17</v>
      </c>
      <c r="H1764" s="18" t="s">
        <v>18</v>
      </c>
      <c r="I1764" s="18">
        <v>12300</v>
      </c>
      <c r="J1764" s="18">
        <v>1</v>
      </c>
      <c r="K1764" s="19">
        <f t="shared" si="81"/>
        <v>12300</v>
      </c>
      <c r="L1764" s="20">
        <v>45618</v>
      </c>
      <c r="M1764" s="18" t="str">
        <f t="shared" si="82"/>
        <v>Friday</v>
      </c>
      <c r="N1764" s="18" t="str">
        <f t="shared" si="83"/>
        <v>Weekend</v>
      </c>
      <c r="Q1764" s="18"/>
      <c r="R1764" s="18"/>
      <c r="S1764" s="21"/>
      <c r="T1764"/>
      <c r="U1764" s="6"/>
      <c r="W1764" s="7"/>
      <c r="Z1764" s="4"/>
    </row>
    <row r="1765" spans="1:26" x14ac:dyDescent="0.3">
      <c r="A1765" t="s">
        <v>2136</v>
      </c>
      <c r="B1765" s="22" t="s">
        <v>154</v>
      </c>
      <c r="C1765" s="24" t="s">
        <v>11</v>
      </c>
      <c r="D1765" s="24" t="s">
        <v>328</v>
      </c>
      <c r="E1765" s="24">
        <v>53</v>
      </c>
      <c r="F1765" t="s">
        <v>375</v>
      </c>
      <c r="G1765" s="24" t="s">
        <v>32</v>
      </c>
      <c r="H1765" s="24" t="s">
        <v>18</v>
      </c>
      <c r="I1765" s="24">
        <v>3690</v>
      </c>
      <c r="J1765" s="24">
        <v>1</v>
      </c>
      <c r="K1765" s="25">
        <f t="shared" si="81"/>
        <v>3690</v>
      </c>
      <c r="L1765" s="26">
        <v>45630</v>
      </c>
      <c r="M1765" s="24" t="str">
        <f t="shared" si="82"/>
        <v>Wednesday</v>
      </c>
      <c r="N1765" s="24" t="str">
        <f t="shared" si="83"/>
        <v>Weekday</v>
      </c>
      <c r="Q1765" s="24"/>
      <c r="R1765" s="24"/>
      <c r="S1765" s="27"/>
      <c r="T1765"/>
      <c r="U1765" s="6"/>
      <c r="W1765" s="7"/>
      <c r="Z1765" s="4"/>
    </row>
    <row r="1766" spans="1:26" x14ac:dyDescent="0.3">
      <c r="A1766" t="s">
        <v>2137</v>
      </c>
      <c r="B1766" s="16" t="s">
        <v>74</v>
      </c>
      <c r="C1766" s="18" t="s">
        <v>20</v>
      </c>
      <c r="D1766" s="18" t="s">
        <v>322</v>
      </c>
      <c r="E1766" s="18">
        <v>42</v>
      </c>
      <c r="F1766" t="s">
        <v>373</v>
      </c>
      <c r="G1766" s="18" t="s">
        <v>13</v>
      </c>
      <c r="H1766" s="18" t="s">
        <v>14</v>
      </c>
      <c r="I1766" s="18">
        <v>36900</v>
      </c>
      <c r="J1766" s="18">
        <v>4</v>
      </c>
      <c r="K1766" s="19">
        <f t="shared" si="81"/>
        <v>147600</v>
      </c>
      <c r="L1766" s="20">
        <v>45651</v>
      </c>
      <c r="M1766" s="18" t="str">
        <f t="shared" si="82"/>
        <v>Wednesday</v>
      </c>
      <c r="N1766" s="18" t="str">
        <f t="shared" si="83"/>
        <v>Weekday</v>
      </c>
      <c r="Q1766" s="18"/>
      <c r="R1766" s="18"/>
      <c r="S1766" s="21"/>
      <c r="T1766"/>
      <c r="U1766" s="6"/>
      <c r="W1766" s="7"/>
      <c r="Z1766" s="4"/>
    </row>
    <row r="1767" spans="1:26" x14ac:dyDescent="0.3">
      <c r="A1767" t="s">
        <v>2138</v>
      </c>
      <c r="B1767" s="22" t="s">
        <v>229</v>
      </c>
      <c r="C1767" s="24" t="s">
        <v>11</v>
      </c>
      <c r="D1767" s="24" t="s">
        <v>324</v>
      </c>
      <c r="E1767" s="24">
        <v>66</v>
      </c>
      <c r="F1767" t="s">
        <v>373</v>
      </c>
      <c r="G1767" s="24" t="s">
        <v>31</v>
      </c>
      <c r="H1767" s="24" t="s">
        <v>18</v>
      </c>
      <c r="I1767" s="24">
        <v>6150</v>
      </c>
      <c r="J1767" s="24">
        <v>1</v>
      </c>
      <c r="K1767" s="25">
        <f t="shared" si="81"/>
        <v>6150</v>
      </c>
      <c r="L1767" s="26">
        <v>45448</v>
      </c>
      <c r="M1767" s="24" t="str">
        <f t="shared" si="82"/>
        <v>Wednesday</v>
      </c>
      <c r="N1767" s="24" t="str">
        <f t="shared" si="83"/>
        <v>Weekday</v>
      </c>
      <c r="Q1767" s="24"/>
      <c r="R1767" s="24"/>
      <c r="S1767" s="27"/>
      <c r="T1767"/>
      <c r="U1767" s="6"/>
      <c r="W1767" s="7"/>
      <c r="Z1767" s="4"/>
    </row>
    <row r="1768" spans="1:26" x14ac:dyDescent="0.3">
      <c r="A1768" t="s">
        <v>2139</v>
      </c>
      <c r="B1768" s="16" t="s">
        <v>69</v>
      </c>
      <c r="C1768" s="18" t="s">
        <v>11</v>
      </c>
      <c r="D1768" s="18" t="s">
        <v>322</v>
      </c>
      <c r="E1768" s="18">
        <v>68</v>
      </c>
      <c r="F1768" t="s">
        <v>373</v>
      </c>
      <c r="G1768" s="18" t="s">
        <v>32</v>
      </c>
      <c r="H1768" s="18" t="s">
        <v>18</v>
      </c>
      <c r="I1768" s="18">
        <v>3690</v>
      </c>
      <c r="J1768" s="18">
        <v>4</v>
      </c>
      <c r="K1768" s="19">
        <f t="shared" si="81"/>
        <v>14760</v>
      </c>
      <c r="L1768" s="20">
        <v>45528</v>
      </c>
      <c r="M1768" s="18" t="str">
        <f t="shared" si="82"/>
        <v>Saturday</v>
      </c>
      <c r="N1768" s="18" t="str">
        <f t="shared" si="83"/>
        <v>Weekend</v>
      </c>
      <c r="Q1768" s="18"/>
      <c r="R1768" s="18"/>
      <c r="S1768" s="21"/>
      <c r="T1768"/>
      <c r="U1768" s="6"/>
      <c r="W1768" s="7"/>
      <c r="Z1768" s="4"/>
    </row>
    <row r="1769" spans="1:26" x14ac:dyDescent="0.3">
      <c r="A1769" t="s">
        <v>2140</v>
      </c>
      <c r="B1769" s="22" t="s">
        <v>171</v>
      </c>
      <c r="C1769" s="24" t="s">
        <v>11</v>
      </c>
      <c r="D1769" s="24" t="s">
        <v>324</v>
      </c>
      <c r="E1769" s="24">
        <v>51</v>
      </c>
      <c r="F1769" t="s">
        <v>381</v>
      </c>
      <c r="G1769" s="24" t="s">
        <v>26</v>
      </c>
      <c r="H1769" s="24" t="s">
        <v>27</v>
      </c>
      <c r="I1769" s="24">
        <v>24600</v>
      </c>
      <c r="J1769" s="24">
        <v>2</v>
      </c>
      <c r="K1769" s="25">
        <f t="shared" si="81"/>
        <v>49200</v>
      </c>
      <c r="L1769" s="26">
        <v>45474</v>
      </c>
      <c r="M1769" s="24" t="str">
        <f t="shared" si="82"/>
        <v>Monday</v>
      </c>
      <c r="N1769" s="24" t="str">
        <f t="shared" si="83"/>
        <v>Weekday</v>
      </c>
      <c r="Q1769" s="24"/>
      <c r="R1769" s="24"/>
      <c r="S1769" s="27"/>
      <c r="T1769"/>
      <c r="U1769" s="6"/>
      <c r="W1769" s="7"/>
      <c r="Z1769" s="4"/>
    </row>
    <row r="1770" spans="1:26" x14ac:dyDescent="0.3">
      <c r="A1770" t="s">
        <v>2141</v>
      </c>
      <c r="B1770" s="16" t="s">
        <v>43</v>
      </c>
      <c r="C1770" s="18" t="s">
        <v>11</v>
      </c>
      <c r="D1770" s="18" t="s">
        <v>323</v>
      </c>
      <c r="E1770" s="18">
        <v>32</v>
      </c>
      <c r="F1770" t="s">
        <v>373</v>
      </c>
      <c r="G1770" s="18" t="s">
        <v>32</v>
      </c>
      <c r="H1770" s="18" t="s">
        <v>18</v>
      </c>
      <c r="I1770" s="18">
        <v>3690</v>
      </c>
      <c r="J1770" s="18">
        <v>3</v>
      </c>
      <c r="K1770" s="19">
        <f t="shared" si="81"/>
        <v>11070</v>
      </c>
      <c r="L1770" s="20">
        <v>45654</v>
      </c>
      <c r="M1770" s="18" t="str">
        <f t="shared" si="82"/>
        <v>Saturday</v>
      </c>
      <c r="N1770" s="18" t="str">
        <f t="shared" si="83"/>
        <v>Weekend</v>
      </c>
      <c r="Q1770" s="18"/>
      <c r="R1770" s="18"/>
      <c r="S1770" s="21"/>
      <c r="T1770"/>
      <c r="U1770" s="6"/>
      <c r="W1770" s="7"/>
      <c r="Z1770" s="4"/>
    </row>
    <row r="1771" spans="1:26" x14ac:dyDescent="0.3">
      <c r="A1771" t="s">
        <v>2142</v>
      </c>
      <c r="B1771" s="22" t="s">
        <v>269</v>
      </c>
      <c r="C1771" s="24" t="s">
        <v>11</v>
      </c>
      <c r="D1771" s="24" t="s">
        <v>327</v>
      </c>
      <c r="E1771" s="24">
        <v>19</v>
      </c>
      <c r="F1771" t="s">
        <v>373</v>
      </c>
      <c r="G1771" s="24" t="s">
        <v>26</v>
      </c>
      <c r="H1771" s="24" t="s">
        <v>27</v>
      </c>
      <c r="I1771" s="24">
        <v>24600</v>
      </c>
      <c r="J1771" s="24">
        <v>5</v>
      </c>
      <c r="K1771" s="25">
        <f t="shared" si="81"/>
        <v>123000</v>
      </c>
      <c r="L1771" s="26">
        <v>45366</v>
      </c>
      <c r="M1771" s="24" t="str">
        <f t="shared" si="82"/>
        <v>Friday</v>
      </c>
      <c r="N1771" s="24" t="str">
        <f t="shared" si="83"/>
        <v>Weekend</v>
      </c>
      <c r="Q1771" s="24"/>
      <c r="R1771" s="24"/>
      <c r="S1771" s="27"/>
      <c r="T1771"/>
      <c r="U1771" s="6"/>
      <c r="W1771" s="7"/>
      <c r="Z1771" s="4"/>
    </row>
    <row r="1772" spans="1:26" x14ac:dyDescent="0.3">
      <c r="A1772" t="s">
        <v>2143</v>
      </c>
      <c r="B1772" s="16" t="s">
        <v>95</v>
      </c>
      <c r="C1772" s="18" t="s">
        <v>11</v>
      </c>
      <c r="D1772" s="18" t="s">
        <v>322</v>
      </c>
      <c r="E1772" s="18">
        <v>47</v>
      </c>
      <c r="F1772" t="s">
        <v>381</v>
      </c>
      <c r="G1772" s="18" t="s">
        <v>32</v>
      </c>
      <c r="H1772" s="18" t="s">
        <v>18</v>
      </c>
      <c r="I1772" s="18">
        <v>3690</v>
      </c>
      <c r="J1772" s="18">
        <v>5</v>
      </c>
      <c r="K1772" s="19">
        <f t="shared" si="81"/>
        <v>18450</v>
      </c>
      <c r="L1772" s="20">
        <v>45488</v>
      </c>
      <c r="M1772" s="18" t="str">
        <f t="shared" si="82"/>
        <v>Monday</v>
      </c>
      <c r="N1772" s="18" t="str">
        <f t="shared" si="83"/>
        <v>Weekday</v>
      </c>
      <c r="Q1772" s="18"/>
      <c r="R1772" s="18"/>
      <c r="S1772" s="21"/>
      <c r="T1772"/>
      <c r="U1772" s="6"/>
      <c r="W1772" s="7"/>
      <c r="Z1772" s="4"/>
    </row>
    <row r="1773" spans="1:26" x14ac:dyDescent="0.3">
      <c r="A1773" t="s">
        <v>2144</v>
      </c>
      <c r="B1773" s="22" t="s">
        <v>314</v>
      </c>
      <c r="C1773" s="24" t="s">
        <v>11</v>
      </c>
      <c r="D1773" s="24" t="s">
        <v>322</v>
      </c>
      <c r="E1773" s="24">
        <v>63</v>
      </c>
      <c r="F1773" t="s">
        <v>373</v>
      </c>
      <c r="G1773" s="24" t="s">
        <v>26</v>
      </c>
      <c r="H1773" s="24" t="s">
        <v>27</v>
      </c>
      <c r="I1773" s="24">
        <v>24600</v>
      </c>
      <c r="J1773" s="24">
        <v>5</v>
      </c>
      <c r="K1773" s="25">
        <f t="shared" si="81"/>
        <v>123000</v>
      </c>
      <c r="L1773" s="26">
        <v>45453</v>
      </c>
      <c r="M1773" s="24" t="str">
        <f t="shared" si="82"/>
        <v>Monday</v>
      </c>
      <c r="N1773" s="24" t="str">
        <f t="shared" si="83"/>
        <v>Weekday</v>
      </c>
      <c r="Q1773" s="24"/>
      <c r="R1773" s="24"/>
      <c r="S1773" s="27"/>
      <c r="T1773"/>
      <c r="U1773" s="6"/>
      <c r="W1773" s="7"/>
      <c r="Z1773" s="4"/>
    </row>
    <row r="1774" spans="1:26" x14ac:dyDescent="0.3">
      <c r="A1774" t="s">
        <v>2145</v>
      </c>
      <c r="B1774" s="16" t="s">
        <v>203</v>
      </c>
      <c r="C1774" s="18" t="s">
        <v>11</v>
      </c>
      <c r="D1774" s="18" t="s">
        <v>323</v>
      </c>
      <c r="E1774" s="18">
        <v>36</v>
      </c>
      <c r="F1774" t="s">
        <v>375</v>
      </c>
      <c r="G1774" s="18" t="s">
        <v>26</v>
      </c>
      <c r="H1774" s="18" t="s">
        <v>27</v>
      </c>
      <c r="I1774" s="18">
        <v>24600</v>
      </c>
      <c r="J1774" s="18">
        <v>5</v>
      </c>
      <c r="K1774" s="19">
        <f t="shared" si="81"/>
        <v>123000</v>
      </c>
      <c r="L1774" s="20">
        <v>45550</v>
      </c>
      <c r="M1774" s="18" t="str">
        <f t="shared" si="82"/>
        <v>Sunday</v>
      </c>
      <c r="N1774" s="18" t="str">
        <f t="shared" si="83"/>
        <v>Weekday</v>
      </c>
      <c r="Q1774" s="18"/>
      <c r="R1774" s="18"/>
      <c r="S1774" s="21"/>
      <c r="T1774"/>
      <c r="U1774" s="6"/>
      <c r="W1774" s="7"/>
      <c r="Z1774" s="4"/>
    </row>
    <row r="1775" spans="1:26" x14ac:dyDescent="0.3">
      <c r="A1775" t="s">
        <v>2146</v>
      </c>
      <c r="B1775" s="22" t="s">
        <v>183</v>
      </c>
      <c r="C1775" s="24" t="s">
        <v>11</v>
      </c>
      <c r="D1775" s="24" t="s">
        <v>324</v>
      </c>
      <c r="E1775" s="24">
        <v>29</v>
      </c>
      <c r="F1775" t="s">
        <v>370</v>
      </c>
      <c r="G1775" s="24" t="s">
        <v>24</v>
      </c>
      <c r="H1775" s="24" t="s">
        <v>14</v>
      </c>
      <c r="I1775" s="24">
        <v>184500</v>
      </c>
      <c r="J1775" s="24">
        <v>4</v>
      </c>
      <c r="K1775" s="25">
        <f t="shared" si="81"/>
        <v>738000</v>
      </c>
      <c r="L1775" s="26">
        <v>45323</v>
      </c>
      <c r="M1775" s="24" t="str">
        <f t="shared" si="82"/>
        <v>Thursday</v>
      </c>
      <c r="N1775" s="24" t="str">
        <f t="shared" si="83"/>
        <v>Weekday</v>
      </c>
      <c r="Q1775" s="24"/>
      <c r="R1775" s="24"/>
      <c r="S1775" s="27"/>
      <c r="T1775"/>
      <c r="U1775" s="6"/>
      <c r="W1775" s="7"/>
      <c r="Z1775" s="4"/>
    </row>
    <row r="1776" spans="1:26" x14ac:dyDescent="0.3">
      <c r="A1776" t="s">
        <v>2147</v>
      </c>
      <c r="B1776" s="16" t="s">
        <v>10</v>
      </c>
      <c r="C1776" s="18" t="s">
        <v>11</v>
      </c>
      <c r="D1776" s="18" t="s">
        <v>322</v>
      </c>
      <c r="E1776" s="18">
        <v>21</v>
      </c>
      <c r="F1776" t="s">
        <v>375</v>
      </c>
      <c r="G1776" s="18" t="s">
        <v>31</v>
      </c>
      <c r="H1776" s="18" t="s">
        <v>18</v>
      </c>
      <c r="I1776" s="18">
        <v>6150</v>
      </c>
      <c r="J1776" s="18">
        <v>2</v>
      </c>
      <c r="K1776" s="19">
        <f t="shared" si="81"/>
        <v>12300</v>
      </c>
      <c r="L1776" s="20">
        <v>45340</v>
      </c>
      <c r="M1776" s="18" t="str">
        <f t="shared" si="82"/>
        <v>Sunday</v>
      </c>
      <c r="N1776" s="18" t="str">
        <f t="shared" si="83"/>
        <v>Weekday</v>
      </c>
      <c r="Q1776" s="18"/>
      <c r="R1776" s="18"/>
      <c r="S1776" s="21"/>
      <c r="T1776"/>
      <c r="U1776" s="6"/>
      <c r="W1776" s="7"/>
      <c r="Z1776" s="4"/>
    </row>
    <row r="1777" spans="1:26" x14ac:dyDescent="0.3">
      <c r="A1777" t="s">
        <v>2148</v>
      </c>
      <c r="B1777" s="22" t="s">
        <v>23</v>
      </c>
      <c r="C1777" s="24" t="s">
        <v>11</v>
      </c>
      <c r="D1777" s="24" t="s">
        <v>322</v>
      </c>
      <c r="E1777" s="24">
        <v>65</v>
      </c>
      <c r="F1777" t="s">
        <v>375</v>
      </c>
      <c r="G1777" s="24" t="s">
        <v>32</v>
      </c>
      <c r="H1777" s="24" t="s">
        <v>18</v>
      </c>
      <c r="I1777" s="24">
        <v>3690</v>
      </c>
      <c r="J1777" s="24">
        <v>4</v>
      </c>
      <c r="K1777" s="25">
        <f t="shared" si="81"/>
        <v>14760</v>
      </c>
      <c r="L1777" s="26">
        <v>45575</v>
      </c>
      <c r="M1777" s="24" t="str">
        <f t="shared" si="82"/>
        <v>Thursday</v>
      </c>
      <c r="N1777" s="24" t="str">
        <f t="shared" si="83"/>
        <v>Weekday</v>
      </c>
      <c r="Q1777" s="24"/>
      <c r="R1777" s="24"/>
      <c r="S1777" s="27"/>
      <c r="T1777"/>
      <c r="U1777" s="6"/>
      <c r="W1777" s="7"/>
      <c r="Z1777" s="4"/>
    </row>
    <row r="1778" spans="1:26" x14ac:dyDescent="0.3">
      <c r="A1778" t="s">
        <v>2149</v>
      </c>
      <c r="B1778" s="16" t="s">
        <v>23</v>
      </c>
      <c r="C1778" s="18" t="s">
        <v>11</v>
      </c>
      <c r="D1778" s="18" t="s">
        <v>322</v>
      </c>
      <c r="E1778" s="18">
        <v>65</v>
      </c>
      <c r="F1778" t="s">
        <v>370</v>
      </c>
      <c r="G1778" s="18" t="s">
        <v>42</v>
      </c>
      <c r="H1778" s="18" t="s">
        <v>14</v>
      </c>
      <c r="I1778" s="18">
        <v>98400</v>
      </c>
      <c r="J1778" s="18">
        <v>4</v>
      </c>
      <c r="K1778" s="19">
        <f t="shared" si="81"/>
        <v>393600</v>
      </c>
      <c r="L1778" s="20">
        <v>45481</v>
      </c>
      <c r="M1778" s="18" t="str">
        <f t="shared" si="82"/>
        <v>Monday</v>
      </c>
      <c r="N1778" s="18" t="str">
        <f t="shared" si="83"/>
        <v>Weekday</v>
      </c>
      <c r="Q1778" s="18"/>
      <c r="R1778" s="18"/>
      <c r="S1778" s="21"/>
      <c r="T1778"/>
      <c r="U1778" s="6"/>
      <c r="W1778" s="7"/>
      <c r="Z1778" s="4"/>
    </row>
    <row r="1779" spans="1:26" x14ac:dyDescent="0.3">
      <c r="A1779" t="s">
        <v>2150</v>
      </c>
      <c r="B1779" s="22" t="s">
        <v>22</v>
      </c>
      <c r="C1779" s="24" t="s">
        <v>11</v>
      </c>
      <c r="D1779" s="24" t="s">
        <v>326</v>
      </c>
      <c r="E1779" s="24">
        <v>23</v>
      </c>
      <c r="F1779" t="s">
        <v>375</v>
      </c>
      <c r="G1779" s="24" t="s">
        <v>31</v>
      </c>
      <c r="H1779" s="24" t="s">
        <v>18</v>
      </c>
      <c r="I1779" s="24">
        <v>6150</v>
      </c>
      <c r="J1779" s="24">
        <v>3</v>
      </c>
      <c r="K1779" s="25">
        <f t="shared" si="81"/>
        <v>18450</v>
      </c>
      <c r="L1779" s="26">
        <v>45579</v>
      </c>
      <c r="M1779" s="24" t="str">
        <f t="shared" si="82"/>
        <v>Monday</v>
      </c>
      <c r="N1779" s="24" t="str">
        <f t="shared" si="83"/>
        <v>Weekday</v>
      </c>
      <c r="Q1779" s="24"/>
      <c r="R1779" s="24"/>
      <c r="S1779" s="27"/>
      <c r="T1779"/>
      <c r="U1779" s="6"/>
      <c r="W1779" s="7"/>
      <c r="Z1779" s="4"/>
    </row>
    <row r="1780" spans="1:26" x14ac:dyDescent="0.3">
      <c r="A1780" t="s">
        <v>2151</v>
      </c>
      <c r="B1780" s="16" t="s">
        <v>228</v>
      </c>
      <c r="C1780" s="18" t="s">
        <v>11</v>
      </c>
      <c r="D1780" s="18" t="s">
        <v>325</v>
      </c>
      <c r="E1780" s="18">
        <v>33</v>
      </c>
      <c r="F1780" t="s">
        <v>370</v>
      </c>
      <c r="G1780" s="18" t="s">
        <v>17</v>
      </c>
      <c r="H1780" s="18" t="s">
        <v>18</v>
      </c>
      <c r="I1780" s="18">
        <v>12300</v>
      </c>
      <c r="J1780" s="18">
        <v>2</v>
      </c>
      <c r="K1780" s="19">
        <f t="shared" si="81"/>
        <v>24600</v>
      </c>
      <c r="L1780" s="20">
        <v>45304</v>
      </c>
      <c r="M1780" s="18" t="str">
        <f t="shared" si="82"/>
        <v>Saturday</v>
      </c>
      <c r="N1780" s="18" t="str">
        <f t="shared" si="83"/>
        <v>Weekend</v>
      </c>
      <c r="Q1780" s="18"/>
      <c r="R1780" s="18"/>
      <c r="S1780" s="21"/>
      <c r="T1780"/>
      <c r="U1780" s="6"/>
      <c r="W1780" s="7"/>
      <c r="Z1780" s="4"/>
    </row>
    <row r="1781" spans="1:26" x14ac:dyDescent="0.3">
      <c r="A1781" t="s">
        <v>2152</v>
      </c>
      <c r="B1781" s="22" t="s">
        <v>219</v>
      </c>
      <c r="C1781" s="24" t="s">
        <v>11</v>
      </c>
      <c r="D1781" s="24" t="s">
        <v>328</v>
      </c>
      <c r="E1781" s="24">
        <v>69</v>
      </c>
      <c r="F1781" t="s">
        <v>375</v>
      </c>
      <c r="G1781" s="24" t="s">
        <v>17</v>
      </c>
      <c r="H1781" s="24" t="s">
        <v>18</v>
      </c>
      <c r="I1781" s="24">
        <v>12300</v>
      </c>
      <c r="J1781" s="24">
        <v>3</v>
      </c>
      <c r="K1781" s="25">
        <f t="shared" si="81"/>
        <v>36900</v>
      </c>
      <c r="L1781" s="26">
        <v>45481</v>
      </c>
      <c r="M1781" s="24" t="str">
        <f t="shared" si="82"/>
        <v>Monday</v>
      </c>
      <c r="N1781" s="24" t="str">
        <f t="shared" si="83"/>
        <v>Weekday</v>
      </c>
      <c r="Q1781" s="24"/>
      <c r="R1781" s="24"/>
      <c r="S1781" s="27"/>
      <c r="T1781"/>
      <c r="U1781" s="6"/>
      <c r="W1781" s="7"/>
      <c r="Z1781" s="4"/>
    </row>
    <row r="1782" spans="1:26" x14ac:dyDescent="0.3">
      <c r="A1782" t="s">
        <v>2153</v>
      </c>
      <c r="B1782" s="16" t="s">
        <v>290</v>
      </c>
      <c r="C1782" s="18" t="s">
        <v>366</v>
      </c>
      <c r="D1782" s="18" t="s">
        <v>326</v>
      </c>
      <c r="E1782" s="18">
        <v>66</v>
      </c>
      <c r="F1782" t="s">
        <v>381</v>
      </c>
      <c r="G1782" s="18" t="s">
        <v>42</v>
      </c>
      <c r="H1782" s="18" t="s">
        <v>14</v>
      </c>
      <c r="I1782" s="18">
        <v>98400</v>
      </c>
      <c r="J1782" s="18">
        <v>5</v>
      </c>
      <c r="K1782" s="19">
        <f t="shared" si="81"/>
        <v>492000</v>
      </c>
      <c r="L1782" s="20">
        <v>45574</v>
      </c>
      <c r="M1782" s="18" t="str">
        <f t="shared" si="82"/>
        <v>Wednesday</v>
      </c>
      <c r="N1782" s="18" t="str">
        <f t="shared" si="83"/>
        <v>Weekday</v>
      </c>
      <c r="Q1782" s="18"/>
      <c r="R1782" s="18"/>
      <c r="S1782" s="21"/>
      <c r="T1782"/>
      <c r="U1782" s="6"/>
      <c r="W1782" s="7"/>
      <c r="Z1782" s="4"/>
    </row>
    <row r="1783" spans="1:26" x14ac:dyDescent="0.3">
      <c r="A1783" t="s">
        <v>2154</v>
      </c>
      <c r="B1783" s="22" t="s">
        <v>171</v>
      </c>
      <c r="C1783" s="24" t="s">
        <v>11</v>
      </c>
      <c r="D1783" s="24" t="s">
        <v>324</v>
      </c>
      <c r="E1783" s="24">
        <v>51</v>
      </c>
      <c r="F1783" t="s">
        <v>381</v>
      </c>
      <c r="G1783" s="24" t="s">
        <v>32</v>
      </c>
      <c r="H1783" s="24" t="s">
        <v>18</v>
      </c>
      <c r="I1783" s="24">
        <v>3690</v>
      </c>
      <c r="J1783" s="24">
        <v>5</v>
      </c>
      <c r="K1783" s="25">
        <f t="shared" si="81"/>
        <v>18450</v>
      </c>
      <c r="L1783" s="26">
        <v>45298</v>
      </c>
      <c r="M1783" s="24" t="str">
        <f t="shared" si="82"/>
        <v>Sunday</v>
      </c>
      <c r="N1783" s="24" t="str">
        <f t="shared" si="83"/>
        <v>Weekday</v>
      </c>
      <c r="Q1783" s="24"/>
      <c r="R1783" s="24"/>
      <c r="S1783" s="27"/>
      <c r="T1783"/>
      <c r="U1783" s="6"/>
      <c r="W1783" s="7"/>
      <c r="Z1783" s="4"/>
    </row>
    <row r="1784" spans="1:26" x14ac:dyDescent="0.3">
      <c r="A1784" t="s">
        <v>2155</v>
      </c>
      <c r="B1784" s="16" t="s">
        <v>61</v>
      </c>
      <c r="C1784" s="18" t="s">
        <v>11</v>
      </c>
      <c r="D1784" s="18" t="s">
        <v>322</v>
      </c>
      <c r="E1784" s="18">
        <v>68</v>
      </c>
      <c r="F1784" t="s">
        <v>373</v>
      </c>
      <c r="G1784" s="18" t="s">
        <v>17</v>
      </c>
      <c r="H1784" s="18" t="s">
        <v>18</v>
      </c>
      <c r="I1784" s="18">
        <v>12300</v>
      </c>
      <c r="J1784" s="18">
        <v>2</v>
      </c>
      <c r="K1784" s="19">
        <f t="shared" si="81"/>
        <v>24600</v>
      </c>
      <c r="L1784" s="20">
        <v>45641</v>
      </c>
      <c r="M1784" s="18" t="str">
        <f t="shared" si="82"/>
        <v>Sunday</v>
      </c>
      <c r="N1784" s="18" t="str">
        <f t="shared" si="83"/>
        <v>Weekday</v>
      </c>
      <c r="Q1784" s="18"/>
      <c r="R1784" s="18"/>
      <c r="S1784" s="21"/>
      <c r="T1784"/>
      <c r="U1784" s="6"/>
      <c r="W1784" s="7"/>
      <c r="Z1784" s="4"/>
    </row>
    <row r="1785" spans="1:26" x14ac:dyDescent="0.3">
      <c r="A1785" t="s">
        <v>2156</v>
      </c>
      <c r="B1785" s="22" t="s">
        <v>257</v>
      </c>
      <c r="C1785" s="24" t="s">
        <v>11</v>
      </c>
      <c r="D1785" s="24" t="s">
        <v>325</v>
      </c>
      <c r="E1785" s="24">
        <v>39</v>
      </c>
      <c r="F1785" t="s">
        <v>381</v>
      </c>
      <c r="G1785" s="24" t="s">
        <v>24</v>
      </c>
      <c r="H1785" s="24" t="s">
        <v>14</v>
      </c>
      <c r="I1785" s="24">
        <v>184500</v>
      </c>
      <c r="J1785" s="24">
        <v>5</v>
      </c>
      <c r="K1785" s="25">
        <f t="shared" si="81"/>
        <v>922500</v>
      </c>
      <c r="L1785" s="26">
        <v>45627</v>
      </c>
      <c r="M1785" s="24" t="str">
        <f t="shared" si="82"/>
        <v>Sunday</v>
      </c>
      <c r="N1785" s="24" t="str">
        <f t="shared" si="83"/>
        <v>Weekday</v>
      </c>
      <c r="Q1785" s="24"/>
      <c r="R1785" s="24"/>
      <c r="S1785" s="27"/>
      <c r="T1785"/>
      <c r="U1785" s="6"/>
      <c r="W1785" s="7"/>
      <c r="Z1785" s="4"/>
    </row>
    <row r="1786" spans="1:26" x14ac:dyDescent="0.3">
      <c r="A1786" t="s">
        <v>2157</v>
      </c>
      <c r="B1786" s="16" t="s">
        <v>103</v>
      </c>
      <c r="C1786" s="18" t="s">
        <v>366</v>
      </c>
      <c r="D1786" s="18" t="s">
        <v>326</v>
      </c>
      <c r="E1786" s="18">
        <v>51</v>
      </c>
      <c r="F1786" t="s">
        <v>370</v>
      </c>
      <c r="G1786" s="18" t="s">
        <v>13</v>
      </c>
      <c r="H1786" s="18" t="s">
        <v>14</v>
      </c>
      <c r="I1786" s="18">
        <v>36900</v>
      </c>
      <c r="J1786" s="18">
        <v>5</v>
      </c>
      <c r="K1786" s="19">
        <f t="shared" si="81"/>
        <v>184500</v>
      </c>
      <c r="L1786" s="20">
        <v>45392</v>
      </c>
      <c r="M1786" s="18" t="str">
        <f t="shared" si="82"/>
        <v>Wednesday</v>
      </c>
      <c r="N1786" s="18" t="str">
        <f t="shared" si="83"/>
        <v>Weekday</v>
      </c>
      <c r="Q1786" s="18"/>
      <c r="R1786" s="18"/>
      <c r="S1786" s="21"/>
      <c r="T1786"/>
      <c r="U1786" s="6"/>
      <c r="W1786" s="7"/>
      <c r="Z1786" s="4"/>
    </row>
    <row r="1787" spans="1:26" x14ac:dyDescent="0.3">
      <c r="A1787" t="s">
        <v>2158</v>
      </c>
      <c r="B1787" s="22" t="s">
        <v>163</v>
      </c>
      <c r="C1787" s="24" t="s">
        <v>11</v>
      </c>
      <c r="D1787" s="24" t="s">
        <v>323</v>
      </c>
      <c r="E1787" s="24">
        <v>65</v>
      </c>
      <c r="F1787" t="s">
        <v>373</v>
      </c>
      <c r="G1787" s="24" t="s">
        <v>17</v>
      </c>
      <c r="H1787" s="24" t="s">
        <v>18</v>
      </c>
      <c r="I1787" s="24">
        <v>12300</v>
      </c>
      <c r="J1787" s="24">
        <v>4</v>
      </c>
      <c r="K1787" s="25">
        <f t="shared" si="81"/>
        <v>49200</v>
      </c>
      <c r="L1787" s="26">
        <v>45294</v>
      </c>
      <c r="M1787" s="24" t="str">
        <f t="shared" si="82"/>
        <v>Wednesday</v>
      </c>
      <c r="N1787" s="24" t="str">
        <f t="shared" si="83"/>
        <v>Weekday</v>
      </c>
      <c r="Q1787" s="24"/>
      <c r="R1787" s="24"/>
      <c r="S1787" s="27"/>
      <c r="T1787"/>
      <c r="U1787" s="6"/>
      <c r="W1787" s="7"/>
      <c r="Z1787" s="4"/>
    </row>
    <row r="1788" spans="1:26" x14ac:dyDescent="0.3">
      <c r="A1788" t="s">
        <v>2159</v>
      </c>
      <c r="B1788" s="16" t="s">
        <v>103</v>
      </c>
      <c r="C1788" s="18" t="s">
        <v>366</v>
      </c>
      <c r="D1788" s="18" t="s">
        <v>326</v>
      </c>
      <c r="E1788" s="18">
        <v>51</v>
      </c>
      <c r="F1788" t="s">
        <v>375</v>
      </c>
      <c r="G1788" s="18" t="s">
        <v>13</v>
      </c>
      <c r="H1788" s="18" t="s">
        <v>14</v>
      </c>
      <c r="I1788" s="18">
        <v>36900</v>
      </c>
      <c r="J1788" s="18">
        <v>4</v>
      </c>
      <c r="K1788" s="19">
        <f t="shared" si="81"/>
        <v>147600</v>
      </c>
      <c r="L1788" s="20">
        <v>45392</v>
      </c>
      <c r="M1788" s="18" t="str">
        <f t="shared" si="82"/>
        <v>Wednesday</v>
      </c>
      <c r="N1788" s="18" t="str">
        <f t="shared" si="83"/>
        <v>Weekday</v>
      </c>
      <c r="Q1788" s="18"/>
      <c r="R1788" s="18"/>
      <c r="S1788" s="21"/>
      <c r="T1788"/>
      <c r="U1788" s="6"/>
      <c r="W1788" s="7"/>
      <c r="Z1788" s="4"/>
    </row>
    <row r="1789" spans="1:26" x14ac:dyDescent="0.3">
      <c r="A1789" t="s">
        <v>2160</v>
      </c>
      <c r="B1789" s="22" t="s">
        <v>281</v>
      </c>
      <c r="C1789" s="24" t="s">
        <v>366</v>
      </c>
      <c r="D1789" s="24" t="s">
        <v>323</v>
      </c>
      <c r="E1789" s="24">
        <v>38</v>
      </c>
      <c r="F1789" t="s">
        <v>381</v>
      </c>
      <c r="G1789" s="24" t="s">
        <v>24</v>
      </c>
      <c r="H1789" s="24" t="s">
        <v>14</v>
      </c>
      <c r="I1789" s="24">
        <v>184500</v>
      </c>
      <c r="J1789" s="24">
        <v>4</v>
      </c>
      <c r="K1789" s="25">
        <f t="shared" si="81"/>
        <v>738000</v>
      </c>
      <c r="L1789" s="26">
        <v>45393</v>
      </c>
      <c r="M1789" s="24" t="str">
        <f t="shared" si="82"/>
        <v>Thursday</v>
      </c>
      <c r="N1789" s="24" t="str">
        <f t="shared" si="83"/>
        <v>Weekday</v>
      </c>
      <c r="Q1789" s="24"/>
      <c r="R1789" s="24"/>
      <c r="S1789" s="27"/>
      <c r="T1789"/>
      <c r="U1789" s="6"/>
      <c r="W1789" s="7"/>
      <c r="Z1789" s="4"/>
    </row>
    <row r="1790" spans="1:26" x14ac:dyDescent="0.3">
      <c r="A1790" t="s">
        <v>2161</v>
      </c>
      <c r="B1790" s="16" t="s">
        <v>67</v>
      </c>
      <c r="C1790" s="18" t="s">
        <v>11</v>
      </c>
      <c r="D1790" s="18" t="s">
        <v>327</v>
      </c>
      <c r="E1790" s="18">
        <v>38</v>
      </c>
      <c r="F1790" t="s">
        <v>373</v>
      </c>
      <c r="G1790" s="18" t="s">
        <v>42</v>
      </c>
      <c r="H1790" s="18" t="s">
        <v>14</v>
      </c>
      <c r="I1790" s="18">
        <v>98400</v>
      </c>
      <c r="J1790" s="18">
        <v>2</v>
      </c>
      <c r="K1790" s="19">
        <f t="shared" si="81"/>
        <v>196800</v>
      </c>
      <c r="L1790" s="20">
        <v>45609</v>
      </c>
      <c r="M1790" s="18" t="str">
        <f t="shared" si="82"/>
        <v>Wednesday</v>
      </c>
      <c r="N1790" s="18" t="str">
        <f t="shared" si="83"/>
        <v>Weekday</v>
      </c>
      <c r="Q1790" s="18"/>
      <c r="R1790" s="18"/>
      <c r="S1790" s="21"/>
      <c r="T1790"/>
      <c r="U1790" s="6"/>
      <c r="W1790" s="7"/>
      <c r="Z1790" s="4"/>
    </row>
    <row r="1791" spans="1:26" x14ac:dyDescent="0.3">
      <c r="A1791" t="s">
        <v>2162</v>
      </c>
      <c r="B1791" s="22" t="s">
        <v>62</v>
      </c>
      <c r="C1791" s="24" t="s">
        <v>366</v>
      </c>
      <c r="D1791" s="24" t="s">
        <v>329</v>
      </c>
      <c r="E1791" s="24">
        <v>43</v>
      </c>
      <c r="F1791" t="s">
        <v>381</v>
      </c>
      <c r="G1791" s="24" t="s">
        <v>31</v>
      </c>
      <c r="H1791" s="24" t="s">
        <v>18</v>
      </c>
      <c r="I1791" s="24">
        <v>6150</v>
      </c>
      <c r="J1791" s="24">
        <v>4</v>
      </c>
      <c r="K1791" s="25">
        <f t="shared" si="81"/>
        <v>24600</v>
      </c>
      <c r="L1791" s="26">
        <v>45439</v>
      </c>
      <c r="M1791" s="24" t="str">
        <f t="shared" si="82"/>
        <v>Monday</v>
      </c>
      <c r="N1791" s="24" t="str">
        <f t="shared" si="83"/>
        <v>Weekday</v>
      </c>
      <c r="Q1791" s="24"/>
      <c r="R1791" s="24"/>
      <c r="S1791" s="27"/>
      <c r="T1791"/>
      <c r="U1791" s="6"/>
      <c r="W1791" s="7"/>
      <c r="Z1791" s="4"/>
    </row>
    <row r="1792" spans="1:26" x14ac:dyDescent="0.3">
      <c r="A1792" t="s">
        <v>2163</v>
      </c>
      <c r="B1792" s="16" t="s">
        <v>221</v>
      </c>
      <c r="C1792" s="18" t="s">
        <v>20</v>
      </c>
      <c r="D1792" s="18" t="s">
        <v>323</v>
      </c>
      <c r="E1792" s="18">
        <v>41</v>
      </c>
      <c r="F1792" t="s">
        <v>373</v>
      </c>
      <c r="G1792" s="18" t="s">
        <v>42</v>
      </c>
      <c r="H1792" s="18" t="s">
        <v>14</v>
      </c>
      <c r="I1792" s="18">
        <v>98400</v>
      </c>
      <c r="J1792" s="18">
        <v>1</v>
      </c>
      <c r="K1792" s="19">
        <f t="shared" si="81"/>
        <v>98400</v>
      </c>
      <c r="L1792" s="20">
        <v>45619</v>
      </c>
      <c r="M1792" s="18" t="str">
        <f t="shared" si="82"/>
        <v>Saturday</v>
      </c>
      <c r="N1792" s="18" t="str">
        <f t="shared" si="83"/>
        <v>Weekend</v>
      </c>
      <c r="Q1792" s="18"/>
      <c r="R1792" s="18"/>
      <c r="S1792" s="21"/>
      <c r="T1792"/>
      <c r="U1792" s="6"/>
      <c r="W1792" s="7"/>
      <c r="Z1792" s="4"/>
    </row>
    <row r="1793" spans="1:26" x14ac:dyDescent="0.3">
      <c r="A1793" t="s">
        <v>2164</v>
      </c>
      <c r="B1793" s="22" t="s">
        <v>153</v>
      </c>
      <c r="C1793" s="24" t="s">
        <v>366</v>
      </c>
      <c r="D1793" s="24" t="s">
        <v>323</v>
      </c>
      <c r="E1793" s="24">
        <v>66</v>
      </c>
      <c r="F1793" t="s">
        <v>370</v>
      </c>
      <c r="G1793" s="24" t="s">
        <v>26</v>
      </c>
      <c r="H1793" s="24" t="s">
        <v>27</v>
      </c>
      <c r="I1793" s="24">
        <v>24600</v>
      </c>
      <c r="J1793" s="24">
        <v>4</v>
      </c>
      <c r="K1793" s="25">
        <f t="shared" si="81"/>
        <v>98400</v>
      </c>
      <c r="L1793" s="26">
        <v>45298</v>
      </c>
      <c r="M1793" s="24" t="str">
        <f t="shared" si="82"/>
        <v>Sunday</v>
      </c>
      <c r="N1793" s="24" t="str">
        <f t="shared" si="83"/>
        <v>Weekday</v>
      </c>
      <c r="Q1793" s="24"/>
      <c r="R1793" s="24"/>
      <c r="S1793" s="27"/>
      <c r="T1793"/>
      <c r="U1793" s="6"/>
      <c r="W1793" s="7"/>
      <c r="Z1793" s="4"/>
    </row>
    <row r="1794" spans="1:26" x14ac:dyDescent="0.3">
      <c r="A1794" t="s">
        <v>2165</v>
      </c>
      <c r="B1794" s="16" t="s">
        <v>261</v>
      </c>
      <c r="C1794" s="18" t="s">
        <v>20</v>
      </c>
      <c r="D1794" s="18" t="s">
        <v>325</v>
      </c>
      <c r="E1794" s="18">
        <v>49</v>
      </c>
      <c r="F1794" t="s">
        <v>370</v>
      </c>
      <c r="G1794" s="18" t="s">
        <v>32</v>
      </c>
      <c r="H1794" s="18" t="s">
        <v>18</v>
      </c>
      <c r="I1794" s="18">
        <v>3690</v>
      </c>
      <c r="J1794" s="18">
        <v>1</v>
      </c>
      <c r="K1794" s="19">
        <f t="shared" ref="K1794:K1857" si="84">I1794*J1794</f>
        <v>3690</v>
      </c>
      <c r="L1794" s="20">
        <v>45489</v>
      </c>
      <c r="M1794" s="18" t="str">
        <f t="shared" ref="M1794:M1857" si="85">TEXT(L1794, "dddd")</f>
        <v>Tuesday</v>
      </c>
      <c r="N1794" s="18" t="str">
        <f t="shared" ref="N1794:N1857" si="86">IF(OR(WEEKDAY(L1794, 2)=5, WEEKDAY(L1794, 2)=6), "Weekend", "Weekday")</f>
        <v>Weekday</v>
      </c>
      <c r="Q1794" s="18"/>
      <c r="R1794" s="18"/>
      <c r="S1794" s="21"/>
      <c r="T1794"/>
      <c r="U1794" s="6"/>
      <c r="W1794" s="7"/>
      <c r="Z1794" s="4"/>
    </row>
    <row r="1795" spans="1:26" x14ac:dyDescent="0.3">
      <c r="A1795" t="s">
        <v>2166</v>
      </c>
      <c r="B1795" s="22" t="s">
        <v>225</v>
      </c>
      <c r="C1795" s="24" t="s">
        <v>11</v>
      </c>
      <c r="D1795" s="24" t="s">
        <v>322</v>
      </c>
      <c r="E1795" s="24">
        <v>20</v>
      </c>
      <c r="F1795" t="s">
        <v>375</v>
      </c>
      <c r="G1795" s="24" t="s">
        <v>32</v>
      </c>
      <c r="H1795" s="24" t="s">
        <v>18</v>
      </c>
      <c r="I1795" s="24">
        <v>3690</v>
      </c>
      <c r="J1795" s="24">
        <v>3</v>
      </c>
      <c r="K1795" s="25">
        <f t="shared" si="84"/>
        <v>11070</v>
      </c>
      <c r="L1795" s="26">
        <v>45403</v>
      </c>
      <c r="M1795" s="24" t="str">
        <f t="shared" si="85"/>
        <v>Sunday</v>
      </c>
      <c r="N1795" s="24" t="str">
        <f t="shared" si="86"/>
        <v>Weekday</v>
      </c>
      <c r="Q1795" s="24"/>
      <c r="R1795" s="24"/>
      <c r="S1795" s="27"/>
      <c r="T1795"/>
      <c r="U1795" s="6"/>
      <c r="W1795" s="7"/>
      <c r="Z1795" s="4"/>
    </row>
    <row r="1796" spans="1:26" x14ac:dyDescent="0.3">
      <c r="A1796" t="s">
        <v>2167</v>
      </c>
      <c r="B1796" s="16" t="s">
        <v>47</v>
      </c>
      <c r="C1796" s="18" t="s">
        <v>20</v>
      </c>
      <c r="D1796" s="18" t="s">
        <v>324</v>
      </c>
      <c r="E1796" s="18">
        <v>52</v>
      </c>
      <c r="F1796" t="s">
        <v>373</v>
      </c>
      <c r="G1796" s="18" t="s">
        <v>32</v>
      </c>
      <c r="H1796" s="18" t="s">
        <v>18</v>
      </c>
      <c r="I1796" s="18">
        <v>3690</v>
      </c>
      <c r="J1796" s="18">
        <v>5</v>
      </c>
      <c r="K1796" s="19">
        <f t="shared" si="84"/>
        <v>18450</v>
      </c>
      <c r="L1796" s="20">
        <v>45520</v>
      </c>
      <c r="M1796" s="18" t="str">
        <f t="shared" si="85"/>
        <v>Friday</v>
      </c>
      <c r="N1796" s="18" t="str">
        <f t="shared" si="86"/>
        <v>Weekend</v>
      </c>
      <c r="Q1796" s="18"/>
      <c r="R1796" s="18"/>
      <c r="S1796" s="21"/>
      <c r="T1796"/>
      <c r="U1796" s="6"/>
      <c r="W1796" s="7"/>
      <c r="Z1796" s="4"/>
    </row>
    <row r="1797" spans="1:26" x14ac:dyDescent="0.3">
      <c r="A1797" t="s">
        <v>2168</v>
      </c>
      <c r="B1797" s="22" t="s">
        <v>178</v>
      </c>
      <c r="C1797" s="24" t="s">
        <v>11</v>
      </c>
      <c r="D1797" s="24" t="s">
        <v>328</v>
      </c>
      <c r="E1797" s="24">
        <v>20</v>
      </c>
      <c r="F1797" t="s">
        <v>370</v>
      </c>
      <c r="G1797" s="24" t="s">
        <v>17</v>
      </c>
      <c r="H1797" s="24" t="s">
        <v>18</v>
      </c>
      <c r="I1797" s="24">
        <v>12300</v>
      </c>
      <c r="J1797" s="24">
        <v>3</v>
      </c>
      <c r="K1797" s="25">
        <f t="shared" si="84"/>
        <v>36900</v>
      </c>
      <c r="L1797" s="26">
        <v>45298</v>
      </c>
      <c r="M1797" s="24" t="str">
        <f t="shared" si="85"/>
        <v>Sunday</v>
      </c>
      <c r="N1797" s="24" t="str">
        <f t="shared" si="86"/>
        <v>Weekday</v>
      </c>
      <c r="Q1797" s="24"/>
      <c r="R1797" s="24"/>
      <c r="S1797" s="27"/>
      <c r="T1797"/>
      <c r="U1797" s="6"/>
      <c r="W1797" s="7"/>
      <c r="Z1797" s="4"/>
    </row>
    <row r="1798" spans="1:26" x14ac:dyDescent="0.3">
      <c r="A1798" t="s">
        <v>2169</v>
      </c>
      <c r="B1798" s="16" t="s">
        <v>83</v>
      </c>
      <c r="C1798" s="18" t="s">
        <v>11</v>
      </c>
      <c r="D1798" s="18" t="s">
        <v>323</v>
      </c>
      <c r="E1798" s="18">
        <v>33</v>
      </c>
      <c r="F1798" t="s">
        <v>375</v>
      </c>
      <c r="G1798" s="18" t="s">
        <v>17</v>
      </c>
      <c r="H1798" s="18" t="s">
        <v>18</v>
      </c>
      <c r="I1798" s="18">
        <v>12300</v>
      </c>
      <c r="J1798" s="18">
        <v>4</v>
      </c>
      <c r="K1798" s="19">
        <f t="shared" si="84"/>
        <v>49200</v>
      </c>
      <c r="L1798" s="20">
        <v>45499</v>
      </c>
      <c r="M1798" s="18" t="str">
        <f t="shared" si="85"/>
        <v>Friday</v>
      </c>
      <c r="N1798" s="18" t="str">
        <f t="shared" si="86"/>
        <v>Weekend</v>
      </c>
      <c r="Q1798" s="18"/>
      <c r="R1798" s="18"/>
      <c r="S1798" s="21"/>
      <c r="T1798"/>
      <c r="U1798" s="6"/>
      <c r="W1798" s="7"/>
      <c r="Z1798" s="4"/>
    </row>
    <row r="1799" spans="1:26" x14ac:dyDescent="0.3">
      <c r="A1799" t="s">
        <v>2170</v>
      </c>
      <c r="B1799" s="22" t="s">
        <v>167</v>
      </c>
      <c r="C1799" s="24" t="s">
        <v>11</v>
      </c>
      <c r="D1799" s="24" t="s">
        <v>322</v>
      </c>
      <c r="E1799" s="24">
        <v>66</v>
      </c>
      <c r="F1799" t="s">
        <v>373</v>
      </c>
      <c r="G1799" s="24" t="s">
        <v>31</v>
      </c>
      <c r="H1799" s="24" t="s">
        <v>18</v>
      </c>
      <c r="I1799" s="24">
        <v>6150</v>
      </c>
      <c r="J1799" s="24">
        <v>1</v>
      </c>
      <c r="K1799" s="25">
        <f t="shared" si="84"/>
        <v>6150</v>
      </c>
      <c r="L1799" s="26">
        <v>45566</v>
      </c>
      <c r="M1799" s="24" t="str">
        <f t="shared" si="85"/>
        <v>Tuesday</v>
      </c>
      <c r="N1799" s="24" t="str">
        <f t="shared" si="86"/>
        <v>Weekday</v>
      </c>
      <c r="Q1799" s="24"/>
      <c r="R1799" s="24"/>
      <c r="S1799" s="27"/>
      <c r="T1799"/>
      <c r="U1799" s="6"/>
      <c r="W1799" s="7"/>
      <c r="Z1799" s="4"/>
    </row>
    <row r="1800" spans="1:26" x14ac:dyDescent="0.3">
      <c r="A1800" t="s">
        <v>2171</v>
      </c>
      <c r="B1800" s="16" t="s">
        <v>47</v>
      </c>
      <c r="C1800" s="18" t="s">
        <v>20</v>
      </c>
      <c r="D1800" s="18" t="s">
        <v>324</v>
      </c>
      <c r="E1800" s="18">
        <v>52</v>
      </c>
      <c r="F1800" t="s">
        <v>375</v>
      </c>
      <c r="G1800" s="18" t="s">
        <v>31</v>
      </c>
      <c r="H1800" s="18" t="s">
        <v>18</v>
      </c>
      <c r="I1800" s="18">
        <v>6150</v>
      </c>
      <c r="J1800" s="18">
        <v>4</v>
      </c>
      <c r="K1800" s="19">
        <f t="shared" si="84"/>
        <v>24600</v>
      </c>
      <c r="L1800" s="20">
        <v>45485</v>
      </c>
      <c r="M1800" s="18" t="str">
        <f t="shared" si="85"/>
        <v>Friday</v>
      </c>
      <c r="N1800" s="18" t="str">
        <f t="shared" si="86"/>
        <v>Weekend</v>
      </c>
      <c r="Q1800" s="18"/>
      <c r="R1800" s="18"/>
      <c r="S1800" s="21"/>
      <c r="T1800"/>
      <c r="U1800" s="6"/>
      <c r="W1800" s="7"/>
      <c r="Z1800" s="4"/>
    </row>
    <row r="1801" spans="1:26" x14ac:dyDescent="0.3">
      <c r="A1801" t="s">
        <v>2172</v>
      </c>
      <c r="B1801" s="22" t="s">
        <v>71</v>
      </c>
      <c r="C1801" s="24" t="s">
        <v>20</v>
      </c>
      <c r="D1801" s="24" t="s">
        <v>323</v>
      </c>
      <c r="E1801" s="24">
        <v>67</v>
      </c>
      <c r="F1801" t="s">
        <v>370</v>
      </c>
      <c r="G1801" s="24" t="s">
        <v>17</v>
      </c>
      <c r="H1801" s="24" t="s">
        <v>18</v>
      </c>
      <c r="I1801" s="24">
        <v>12300</v>
      </c>
      <c r="J1801" s="24">
        <v>2</v>
      </c>
      <c r="K1801" s="25">
        <f t="shared" si="84"/>
        <v>24600</v>
      </c>
      <c r="L1801" s="26">
        <v>45342</v>
      </c>
      <c r="M1801" s="24" t="str">
        <f t="shared" si="85"/>
        <v>Tuesday</v>
      </c>
      <c r="N1801" s="24" t="str">
        <f t="shared" si="86"/>
        <v>Weekday</v>
      </c>
      <c r="Q1801" s="24"/>
      <c r="R1801" s="24"/>
      <c r="S1801" s="27"/>
      <c r="T1801"/>
      <c r="U1801" s="6"/>
      <c r="W1801" s="7"/>
      <c r="Z1801" s="4"/>
    </row>
    <row r="1802" spans="1:26" x14ac:dyDescent="0.3">
      <c r="A1802" t="s">
        <v>2173</v>
      </c>
      <c r="B1802" s="16" t="s">
        <v>199</v>
      </c>
      <c r="C1802" s="18" t="s">
        <v>20</v>
      </c>
      <c r="D1802" s="18" t="s">
        <v>323</v>
      </c>
      <c r="E1802" s="18">
        <v>45</v>
      </c>
      <c r="F1802" t="s">
        <v>375</v>
      </c>
      <c r="G1802" s="18" t="s">
        <v>42</v>
      </c>
      <c r="H1802" s="18" t="s">
        <v>14</v>
      </c>
      <c r="I1802" s="18">
        <v>98400</v>
      </c>
      <c r="J1802" s="18">
        <v>1</v>
      </c>
      <c r="K1802" s="19">
        <f t="shared" si="84"/>
        <v>98400</v>
      </c>
      <c r="L1802" s="20">
        <v>45601</v>
      </c>
      <c r="M1802" s="18" t="str">
        <f t="shared" si="85"/>
        <v>Tuesday</v>
      </c>
      <c r="N1802" s="18" t="str">
        <f t="shared" si="86"/>
        <v>Weekday</v>
      </c>
      <c r="Q1802" s="18"/>
      <c r="R1802" s="18"/>
      <c r="S1802" s="21"/>
      <c r="T1802"/>
      <c r="U1802" s="6"/>
      <c r="W1802" s="7"/>
      <c r="Z1802" s="4"/>
    </row>
    <row r="1803" spans="1:26" x14ac:dyDescent="0.3">
      <c r="A1803" t="s">
        <v>2174</v>
      </c>
      <c r="B1803" s="22" t="s">
        <v>300</v>
      </c>
      <c r="C1803" s="24" t="s">
        <v>20</v>
      </c>
      <c r="D1803" s="24" t="s">
        <v>324</v>
      </c>
      <c r="E1803" s="24">
        <v>35</v>
      </c>
      <c r="F1803" t="s">
        <v>373</v>
      </c>
      <c r="G1803" s="24" t="s">
        <v>42</v>
      </c>
      <c r="H1803" s="24" t="s">
        <v>14</v>
      </c>
      <c r="I1803" s="24">
        <v>98400</v>
      </c>
      <c r="J1803" s="24">
        <v>1</v>
      </c>
      <c r="K1803" s="25">
        <f t="shared" si="84"/>
        <v>98400</v>
      </c>
      <c r="L1803" s="26">
        <v>45423</v>
      </c>
      <c r="M1803" s="24" t="str">
        <f t="shared" si="85"/>
        <v>Saturday</v>
      </c>
      <c r="N1803" s="24" t="str">
        <f t="shared" si="86"/>
        <v>Weekend</v>
      </c>
      <c r="Q1803" s="24"/>
      <c r="R1803" s="24"/>
      <c r="S1803" s="27"/>
      <c r="T1803"/>
      <c r="U1803" s="6"/>
      <c r="W1803" s="7"/>
      <c r="Z1803" s="4"/>
    </row>
    <row r="1804" spans="1:26" x14ac:dyDescent="0.3">
      <c r="A1804" t="s">
        <v>2175</v>
      </c>
      <c r="B1804" s="16" t="s">
        <v>311</v>
      </c>
      <c r="C1804" s="18" t="s">
        <v>11</v>
      </c>
      <c r="D1804" s="18" t="s">
        <v>322</v>
      </c>
      <c r="E1804" s="18">
        <v>21</v>
      </c>
      <c r="F1804" t="s">
        <v>381</v>
      </c>
      <c r="G1804" s="18" t="s">
        <v>42</v>
      </c>
      <c r="H1804" s="18" t="s">
        <v>14</v>
      </c>
      <c r="I1804" s="18">
        <v>98400</v>
      </c>
      <c r="J1804" s="18">
        <v>3</v>
      </c>
      <c r="K1804" s="19">
        <f t="shared" si="84"/>
        <v>295200</v>
      </c>
      <c r="L1804" s="20">
        <v>45620</v>
      </c>
      <c r="M1804" s="18" t="str">
        <f t="shared" si="85"/>
        <v>Sunday</v>
      </c>
      <c r="N1804" s="18" t="str">
        <f t="shared" si="86"/>
        <v>Weekday</v>
      </c>
      <c r="Q1804" s="18"/>
      <c r="R1804" s="18"/>
      <c r="S1804" s="21"/>
      <c r="T1804"/>
      <c r="U1804" s="6"/>
      <c r="W1804" s="7"/>
      <c r="Z1804" s="4"/>
    </row>
    <row r="1805" spans="1:26" x14ac:dyDescent="0.3">
      <c r="A1805" t="s">
        <v>2176</v>
      </c>
      <c r="B1805" s="22" t="s">
        <v>124</v>
      </c>
      <c r="C1805" s="24" t="s">
        <v>20</v>
      </c>
      <c r="D1805" s="24" t="s">
        <v>326</v>
      </c>
      <c r="E1805" s="24">
        <v>19</v>
      </c>
      <c r="F1805" t="s">
        <v>370</v>
      </c>
      <c r="G1805" s="24" t="s">
        <v>13</v>
      </c>
      <c r="H1805" s="24" t="s">
        <v>14</v>
      </c>
      <c r="I1805" s="24">
        <v>36900</v>
      </c>
      <c r="J1805" s="24">
        <v>4</v>
      </c>
      <c r="K1805" s="25">
        <f t="shared" si="84"/>
        <v>147600</v>
      </c>
      <c r="L1805" s="26">
        <v>45360</v>
      </c>
      <c r="M1805" s="24" t="str">
        <f t="shared" si="85"/>
        <v>Saturday</v>
      </c>
      <c r="N1805" s="24" t="str">
        <f t="shared" si="86"/>
        <v>Weekend</v>
      </c>
      <c r="Q1805" s="24"/>
      <c r="R1805" s="24"/>
      <c r="S1805" s="27"/>
      <c r="T1805"/>
      <c r="U1805" s="6"/>
      <c r="W1805" s="7"/>
      <c r="Z1805" s="4"/>
    </row>
    <row r="1806" spans="1:26" x14ac:dyDescent="0.3">
      <c r="A1806" t="s">
        <v>2177</v>
      </c>
      <c r="B1806" s="16" t="s">
        <v>46</v>
      </c>
      <c r="C1806" s="18" t="s">
        <v>366</v>
      </c>
      <c r="D1806" s="18" t="s">
        <v>323</v>
      </c>
      <c r="E1806" s="18">
        <v>40</v>
      </c>
      <c r="F1806" t="s">
        <v>373</v>
      </c>
      <c r="G1806" s="18" t="s">
        <v>26</v>
      </c>
      <c r="H1806" s="18" t="s">
        <v>27</v>
      </c>
      <c r="I1806" s="18">
        <v>24600</v>
      </c>
      <c r="J1806" s="18">
        <v>4</v>
      </c>
      <c r="K1806" s="19">
        <f t="shared" si="84"/>
        <v>98400</v>
      </c>
      <c r="L1806" s="20">
        <v>45649</v>
      </c>
      <c r="M1806" s="18" t="str">
        <f t="shared" si="85"/>
        <v>Monday</v>
      </c>
      <c r="N1806" s="18" t="str">
        <f t="shared" si="86"/>
        <v>Weekday</v>
      </c>
      <c r="Q1806" s="18"/>
      <c r="R1806" s="18"/>
      <c r="S1806" s="21"/>
      <c r="T1806"/>
      <c r="U1806" s="6"/>
      <c r="W1806" s="7"/>
      <c r="Z1806" s="4"/>
    </row>
    <row r="1807" spans="1:26" x14ac:dyDescent="0.3">
      <c r="A1807" t="s">
        <v>2178</v>
      </c>
      <c r="B1807" s="22" t="s">
        <v>276</v>
      </c>
      <c r="C1807" s="24" t="s">
        <v>20</v>
      </c>
      <c r="D1807" s="24" t="s">
        <v>324</v>
      </c>
      <c r="E1807" s="24">
        <v>56</v>
      </c>
      <c r="F1807" t="s">
        <v>373</v>
      </c>
      <c r="G1807" s="24" t="s">
        <v>17</v>
      </c>
      <c r="H1807" s="24" t="s">
        <v>18</v>
      </c>
      <c r="I1807" s="24">
        <v>12300</v>
      </c>
      <c r="J1807" s="24">
        <v>5</v>
      </c>
      <c r="K1807" s="25">
        <f t="shared" si="84"/>
        <v>61500</v>
      </c>
      <c r="L1807" s="26">
        <v>45607</v>
      </c>
      <c r="M1807" s="24" t="str">
        <f t="shared" si="85"/>
        <v>Monday</v>
      </c>
      <c r="N1807" s="24" t="str">
        <f t="shared" si="86"/>
        <v>Weekday</v>
      </c>
      <c r="Q1807" s="24"/>
      <c r="R1807" s="24"/>
      <c r="S1807" s="27"/>
      <c r="T1807"/>
      <c r="U1807" s="6"/>
      <c r="W1807" s="7"/>
      <c r="Z1807" s="4"/>
    </row>
    <row r="1808" spans="1:26" x14ac:dyDescent="0.3">
      <c r="A1808" t="s">
        <v>2179</v>
      </c>
      <c r="B1808" s="16" t="s">
        <v>265</v>
      </c>
      <c r="C1808" s="18" t="s">
        <v>11</v>
      </c>
      <c r="D1808" s="18" t="s">
        <v>322</v>
      </c>
      <c r="E1808" s="18">
        <v>64</v>
      </c>
      <c r="F1808" t="s">
        <v>375</v>
      </c>
      <c r="G1808" s="18" t="s">
        <v>24</v>
      </c>
      <c r="H1808" s="18" t="s">
        <v>14</v>
      </c>
      <c r="I1808" s="18">
        <v>184500</v>
      </c>
      <c r="J1808" s="18">
        <v>5</v>
      </c>
      <c r="K1808" s="19">
        <f t="shared" si="84"/>
        <v>922500</v>
      </c>
      <c r="L1808" s="20">
        <v>45541</v>
      </c>
      <c r="M1808" s="18" t="str">
        <f t="shared" si="85"/>
        <v>Friday</v>
      </c>
      <c r="N1808" s="18" t="str">
        <f t="shared" si="86"/>
        <v>Weekend</v>
      </c>
      <c r="Q1808" s="18"/>
      <c r="R1808" s="18"/>
      <c r="S1808" s="21"/>
      <c r="T1808"/>
      <c r="U1808" s="6"/>
      <c r="W1808" s="7"/>
      <c r="Z1808" s="4"/>
    </row>
    <row r="1809" spans="1:26" x14ac:dyDescent="0.3">
      <c r="A1809" t="s">
        <v>2180</v>
      </c>
      <c r="B1809" s="22" t="s">
        <v>61</v>
      </c>
      <c r="C1809" s="24" t="s">
        <v>11</v>
      </c>
      <c r="D1809" s="24" t="s">
        <v>322</v>
      </c>
      <c r="E1809" s="24">
        <v>68</v>
      </c>
      <c r="F1809" t="s">
        <v>370</v>
      </c>
      <c r="G1809" s="24" t="s">
        <v>31</v>
      </c>
      <c r="H1809" s="24" t="s">
        <v>18</v>
      </c>
      <c r="I1809" s="24">
        <v>6150</v>
      </c>
      <c r="J1809" s="24">
        <v>2</v>
      </c>
      <c r="K1809" s="25">
        <f t="shared" si="84"/>
        <v>12300</v>
      </c>
      <c r="L1809" s="26">
        <v>45400</v>
      </c>
      <c r="M1809" s="24" t="str">
        <f t="shared" si="85"/>
        <v>Thursday</v>
      </c>
      <c r="N1809" s="24" t="str">
        <f t="shared" si="86"/>
        <v>Weekday</v>
      </c>
      <c r="Q1809" s="24"/>
      <c r="R1809" s="24"/>
      <c r="S1809" s="27"/>
      <c r="T1809"/>
      <c r="U1809" s="6"/>
      <c r="W1809" s="7"/>
      <c r="Z1809" s="4"/>
    </row>
    <row r="1810" spans="1:26" x14ac:dyDescent="0.3">
      <c r="A1810" t="s">
        <v>2181</v>
      </c>
      <c r="B1810" s="16" t="s">
        <v>213</v>
      </c>
      <c r="C1810" s="18" t="s">
        <v>11</v>
      </c>
      <c r="D1810" s="18" t="s">
        <v>326</v>
      </c>
      <c r="E1810" s="18">
        <v>66</v>
      </c>
      <c r="F1810" t="s">
        <v>381</v>
      </c>
      <c r="G1810" s="18" t="s">
        <v>26</v>
      </c>
      <c r="H1810" s="18" t="s">
        <v>27</v>
      </c>
      <c r="I1810" s="18">
        <v>24600</v>
      </c>
      <c r="J1810" s="18">
        <v>1</v>
      </c>
      <c r="K1810" s="19">
        <f t="shared" si="84"/>
        <v>24600</v>
      </c>
      <c r="L1810" s="20">
        <v>45517</v>
      </c>
      <c r="M1810" s="18" t="str">
        <f t="shared" si="85"/>
        <v>Tuesday</v>
      </c>
      <c r="N1810" s="18" t="str">
        <f t="shared" si="86"/>
        <v>Weekday</v>
      </c>
      <c r="Q1810" s="18"/>
      <c r="R1810" s="18"/>
      <c r="S1810" s="21"/>
      <c r="T1810"/>
      <c r="U1810" s="6"/>
      <c r="W1810" s="7"/>
      <c r="Z1810" s="4"/>
    </row>
    <row r="1811" spans="1:26" x14ac:dyDescent="0.3">
      <c r="A1811" t="s">
        <v>2182</v>
      </c>
      <c r="B1811" s="22" t="s">
        <v>120</v>
      </c>
      <c r="C1811" s="24" t="s">
        <v>20</v>
      </c>
      <c r="D1811" s="24" t="s">
        <v>328</v>
      </c>
      <c r="E1811" s="24">
        <v>37</v>
      </c>
      <c r="F1811" t="s">
        <v>381</v>
      </c>
      <c r="G1811" s="24" t="s">
        <v>13</v>
      </c>
      <c r="H1811" s="24" t="s">
        <v>14</v>
      </c>
      <c r="I1811" s="24">
        <v>36900</v>
      </c>
      <c r="J1811" s="24">
        <v>5</v>
      </c>
      <c r="K1811" s="25">
        <f t="shared" si="84"/>
        <v>184500</v>
      </c>
      <c r="L1811" s="26">
        <v>45342</v>
      </c>
      <c r="M1811" s="24" t="str">
        <f t="shared" si="85"/>
        <v>Tuesday</v>
      </c>
      <c r="N1811" s="24" t="str">
        <f t="shared" si="86"/>
        <v>Weekday</v>
      </c>
      <c r="Q1811" s="24"/>
      <c r="R1811" s="24"/>
      <c r="S1811" s="27"/>
      <c r="T1811"/>
      <c r="U1811" s="6"/>
      <c r="W1811" s="7"/>
      <c r="Z1811" s="4"/>
    </row>
    <row r="1812" spans="1:26" x14ac:dyDescent="0.3">
      <c r="A1812" t="s">
        <v>2183</v>
      </c>
      <c r="B1812" s="16" t="s">
        <v>148</v>
      </c>
      <c r="C1812" s="18" t="s">
        <v>20</v>
      </c>
      <c r="D1812" s="18" t="s">
        <v>323</v>
      </c>
      <c r="E1812" s="18">
        <v>68</v>
      </c>
      <c r="F1812" t="s">
        <v>375</v>
      </c>
      <c r="G1812" s="18" t="s">
        <v>24</v>
      </c>
      <c r="H1812" s="18" t="s">
        <v>14</v>
      </c>
      <c r="I1812" s="18">
        <v>184500</v>
      </c>
      <c r="J1812" s="18">
        <v>1</v>
      </c>
      <c r="K1812" s="19">
        <f t="shared" si="84"/>
        <v>184500</v>
      </c>
      <c r="L1812" s="20">
        <v>45500</v>
      </c>
      <c r="M1812" s="18" t="str">
        <f t="shared" si="85"/>
        <v>Saturday</v>
      </c>
      <c r="N1812" s="18" t="str">
        <f t="shared" si="86"/>
        <v>Weekend</v>
      </c>
      <c r="Q1812" s="18"/>
      <c r="R1812" s="18"/>
      <c r="S1812" s="21"/>
      <c r="T1812"/>
      <c r="U1812" s="6"/>
      <c r="W1812" s="7"/>
      <c r="Z1812" s="4"/>
    </row>
    <row r="1813" spans="1:26" x14ac:dyDescent="0.3">
      <c r="A1813" t="s">
        <v>2184</v>
      </c>
      <c r="B1813" s="22" t="s">
        <v>224</v>
      </c>
      <c r="C1813" s="24" t="s">
        <v>11</v>
      </c>
      <c r="D1813" s="24" t="s">
        <v>323</v>
      </c>
      <c r="E1813" s="24">
        <v>67</v>
      </c>
      <c r="F1813" t="s">
        <v>370</v>
      </c>
      <c r="G1813" s="24" t="s">
        <v>17</v>
      </c>
      <c r="H1813" s="24" t="s">
        <v>18</v>
      </c>
      <c r="I1813" s="24">
        <v>12300</v>
      </c>
      <c r="J1813" s="24">
        <v>5</v>
      </c>
      <c r="K1813" s="25">
        <f t="shared" si="84"/>
        <v>61500</v>
      </c>
      <c r="L1813" s="26">
        <v>45369</v>
      </c>
      <c r="M1813" s="24" t="str">
        <f t="shared" si="85"/>
        <v>Monday</v>
      </c>
      <c r="N1813" s="24" t="str">
        <f t="shared" si="86"/>
        <v>Weekday</v>
      </c>
      <c r="Q1813" s="24"/>
      <c r="R1813" s="24"/>
      <c r="S1813" s="27"/>
      <c r="T1813"/>
      <c r="U1813" s="6"/>
      <c r="W1813" s="7"/>
      <c r="Z1813" s="4"/>
    </row>
    <row r="1814" spans="1:26" x14ac:dyDescent="0.3">
      <c r="A1814" t="s">
        <v>2185</v>
      </c>
      <c r="B1814" s="16" t="s">
        <v>104</v>
      </c>
      <c r="C1814" s="18" t="s">
        <v>366</v>
      </c>
      <c r="D1814" s="18" t="s">
        <v>326</v>
      </c>
      <c r="E1814" s="18">
        <v>30</v>
      </c>
      <c r="F1814" t="s">
        <v>381</v>
      </c>
      <c r="G1814" s="18" t="s">
        <v>31</v>
      </c>
      <c r="H1814" s="18" t="s">
        <v>18</v>
      </c>
      <c r="I1814" s="18">
        <v>6150</v>
      </c>
      <c r="J1814" s="18">
        <v>3</v>
      </c>
      <c r="K1814" s="19">
        <f t="shared" si="84"/>
        <v>18450</v>
      </c>
      <c r="L1814" s="20">
        <v>45576</v>
      </c>
      <c r="M1814" s="18" t="str">
        <f t="shared" si="85"/>
        <v>Friday</v>
      </c>
      <c r="N1814" s="18" t="str">
        <f t="shared" si="86"/>
        <v>Weekend</v>
      </c>
      <c r="Q1814" s="18"/>
      <c r="R1814" s="18"/>
      <c r="S1814" s="21"/>
      <c r="T1814"/>
      <c r="U1814" s="6"/>
      <c r="W1814" s="7"/>
      <c r="Z1814" s="4"/>
    </row>
    <row r="1815" spans="1:26" x14ac:dyDescent="0.3">
      <c r="A1815" t="s">
        <v>2186</v>
      </c>
      <c r="B1815" s="22" t="s">
        <v>82</v>
      </c>
      <c r="C1815" s="24" t="s">
        <v>11</v>
      </c>
      <c r="D1815" s="24" t="s">
        <v>322</v>
      </c>
      <c r="E1815" s="24">
        <v>64</v>
      </c>
      <c r="F1815" t="s">
        <v>370</v>
      </c>
      <c r="G1815" s="24" t="s">
        <v>13</v>
      </c>
      <c r="H1815" s="24" t="s">
        <v>14</v>
      </c>
      <c r="I1815" s="24">
        <v>36900</v>
      </c>
      <c r="J1815" s="24">
        <v>5</v>
      </c>
      <c r="K1815" s="25">
        <f t="shared" si="84"/>
        <v>184500</v>
      </c>
      <c r="L1815" s="26">
        <v>45500</v>
      </c>
      <c r="M1815" s="24" t="str">
        <f t="shared" si="85"/>
        <v>Saturday</v>
      </c>
      <c r="N1815" s="24" t="str">
        <f t="shared" si="86"/>
        <v>Weekend</v>
      </c>
      <c r="Q1815" s="24"/>
      <c r="R1815" s="24"/>
      <c r="S1815" s="27"/>
      <c r="T1815"/>
      <c r="U1815" s="6"/>
      <c r="W1815" s="7"/>
      <c r="Z1815" s="4"/>
    </row>
    <row r="1816" spans="1:26" x14ac:dyDescent="0.3">
      <c r="A1816" t="s">
        <v>2187</v>
      </c>
      <c r="B1816" s="16" t="s">
        <v>92</v>
      </c>
      <c r="C1816" s="18" t="s">
        <v>11</v>
      </c>
      <c r="D1816" s="18" t="s">
        <v>323</v>
      </c>
      <c r="E1816" s="18">
        <v>50</v>
      </c>
      <c r="F1816" t="s">
        <v>375</v>
      </c>
      <c r="G1816" s="18" t="s">
        <v>17</v>
      </c>
      <c r="H1816" s="18" t="s">
        <v>18</v>
      </c>
      <c r="I1816" s="18">
        <v>12300</v>
      </c>
      <c r="J1816" s="18">
        <v>1</v>
      </c>
      <c r="K1816" s="19">
        <f t="shared" si="84"/>
        <v>12300</v>
      </c>
      <c r="L1816" s="20">
        <v>45633</v>
      </c>
      <c r="M1816" s="18" t="str">
        <f t="shared" si="85"/>
        <v>Saturday</v>
      </c>
      <c r="N1816" s="18" t="str">
        <f t="shared" si="86"/>
        <v>Weekend</v>
      </c>
      <c r="Q1816" s="18"/>
      <c r="R1816" s="18"/>
      <c r="S1816" s="21"/>
      <c r="T1816"/>
      <c r="U1816" s="6"/>
      <c r="W1816" s="7"/>
      <c r="Z1816" s="4"/>
    </row>
    <row r="1817" spans="1:26" x14ac:dyDescent="0.3">
      <c r="A1817" t="s">
        <v>2188</v>
      </c>
      <c r="B1817" s="22" t="s">
        <v>76</v>
      </c>
      <c r="C1817" s="24" t="s">
        <v>366</v>
      </c>
      <c r="D1817" s="24" t="s">
        <v>322</v>
      </c>
      <c r="E1817" s="24">
        <v>46</v>
      </c>
      <c r="F1817" t="s">
        <v>370</v>
      </c>
      <c r="G1817" s="24" t="s">
        <v>13</v>
      </c>
      <c r="H1817" s="24" t="s">
        <v>14</v>
      </c>
      <c r="I1817" s="24">
        <v>36900</v>
      </c>
      <c r="J1817" s="24">
        <v>5</v>
      </c>
      <c r="K1817" s="25">
        <f t="shared" si="84"/>
        <v>184500</v>
      </c>
      <c r="L1817" s="26">
        <v>45557</v>
      </c>
      <c r="M1817" s="24" t="str">
        <f t="shared" si="85"/>
        <v>Sunday</v>
      </c>
      <c r="N1817" s="24" t="str">
        <f t="shared" si="86"/>
        <v>Weekday</v>
      </c>
      <c r="Q1817" s="24"/>
      <c r="R1817" s="24"/>
      <c r="S1817" s="27"/>
      <c r="T1817"/>
      <c r="U1817" s="6"/>
      <c r="W1817" s="7"/>
      <c r="Z1817" s="4"/>
    </row>
    <row r="1818" spans="1:26" x14ac:dyDescent="0.3">
      <c r="A1818" t="s">
        <v>2189</v>
      </c>
      <c r="B1818" s="16" t="s">
        <v>276</v>
      </c>
      <c r="C1818" s="18" t="s">
        <v>20</v>
      </c>
      <c r="D1818" s="18" t="s">
        <v>324</v>
      </c>
      <c r="E1818" s="18">
        <v>56</v>
      </c>
      <c r="F1818" t="s">
        <v>370</v>
      </c>
      <c r="G1818" s="18" t="s">
        <v>31</v>
      </c>
      <c r="H1818" s="18" t="s">
        <v>18</v>
      </c>
      <c r="I1818" s="18">
        <v>6150</v>
      </c>
      <c r="J1818" s="18">
        <v>5</v>
      </c>
      <c r="K1818" s="19">
        <f t="shared" si="84"/>
        <v>30750</v>
      </c>
      <c r="L1818" s="20">
        <v>45537</v>
      </c>
      <c r="M1818" s="18" t="str">
        <f t="shared" si="85"/>
        <v>Monday</v>
      </c>
      <c r="N1818" s="18" t="str">
        <f t="shared" si="86"/>
        <v>Weekday</v>
      </c>
      <c r="Q1818" s="18"/>
      <c r="R1818" s="18"/>
      <c r="S1818" s="21"/>
      <c r="T1818"/>
      <c r="U1818" s="6"/>
      <c r="W1818" s="7"/>
      <c r="Z1818" s="4"/>
    </row>
    <row r="1819" spans="1:26" x14ac:dyDescent="0.3">
      <c r="A1819" t="s">
        <v>2190</v>
      </c>
      <c r="B1819" s="22" t="s">
        <v>213</v>
      </c>
      <c r="C1819" s="24" t="s">
        <v>11</v>
      </c>
      <c r="D1819" s="24" t="s">
        <v>326</v>
      </c>
      <c r="E1819" s="24">
        <v>66</v>
      </c>
      <c r="F1819" t="s">
        <v>370</v>
      </c>
      <c r="G1819" s="24" t="s">
        <v>17</v>
      </c>
      <c r="H1819" s="24" t="s">
        <v>18</v>
      </c>
      <c r="I1819" s="24">
        <v>12300</v>
      </c>
      <c r="J1819" s="24">
        <v>5</v>
      </c>
      <c r="K1819" s="25">
        <f t="shared" si="84"/>
        <v>61500</v>
      </c>
      <c r="L1819" s="26">
        <v>45321</v>
      </c>
      <c r="M1819" s="24" t="str">
        <f t="shared" si="85"/>
        <v>Tuesday</v>
      </c>
      <c r="N1819" s="24" t="str">
        <f t="shared" si="86"/>
        <v>Weekday</v>
      </c>
      <c r="Q1819" s="24"/>
      <c r="R1819" s="24"/>
      <c r="S1819" s="27"/>
      <c r="T1819"/>
      <c r="U1819" s="6"/>
      <c r="W1819" s="7"/>
      <c r="Z1819" s="4"/>
    </row>
    <row r="1820" spans="1:26" x14ac:dyDescent="0.3">
      <c r="A1820" t="s">
        <v>2191</v>
      </c>
      <c r="B1820" s="16" t="s">
        <v>132</v>
      </c>
      <c r="C1820" s="18" t="s">
        <v>366</v>
      </c>
      <c r="D1820" s="18" t="s">
        <v>322</v>
      </c>
      <c r="E1820" s="18">
        <v>47</v>
      </c>
      <c r="F1820" t="s">
        <v>375</v>
      </c>
      <c r="G1820" s="18" t="s">
        <v>32</v>
      </c>
      <c r="H1820" s="18" t="s">
        <v>18</v>
      </c>
      <c r="I1820" s="18">
        <v>3690</v>
      </c>
      <c r="J1820" s="18">
        <v>4</v>
      </c>
      <c r="K1820" s="19">
        <f t="shared" si="84"/>
        <v>14760</v>
      </c>
      <c r="L1820" s="20">
        <v>45641</v>
      </c>
      <c r="M1820" s="18" t="str">
        <f t="shared" si="85"/>
        <v>Sunday</v>
      </c>
      <c r="N1820" s="18" t="str">
        <f t="shared" si="86"/>
        <v>Weekday</v>
      </c>
      <c r="Q1820" s="18"/>
      <c r="R1820" s="18"/>
      <c r="S1820" s="21"/>
      <c r="T1820"/>
      <c r="U1820" s="6"/>
      <c r="W1820" s="7"/>
      <c r="Z1820" s="4"/>
    </row>
    <row r="1821" spans="1:26" x14ac:dyDescent="0.3">
      <c r="A1821" t="s">
        <v>2192</v>
      </c>
      <c r="B1821" s="22" t="s">
        <v>57</v>
      </c>
      <c r="C1821" s="24" t="s">
        <v>366</v>
      </c>
      <c r="D1821" s="24" t="s">
        <v>322</v>
      </c>
      <c r="E1821" s="24">
        <v>58</v>
      </c>
      <c r="F1821" t="s">
        <v>375</v>
      </c>
      <c r="G1821" s="24" t="s">
        <v>24</v>
      </c>
      <c r="H1821" s="24" t="s">
        <v>14</v>
      </c>
      <c r="I1821" s="24">
        <v>184500</v>
      </c>
      <c r="J1821" s="24">
        <v>5</v>
      </c>
      <c r="K1821" s="25">
        <f t="shared" si="84"/>
        <v>922500</v>
      </c>
      <c r="L1821" s="26">
        <v>45349</v>
      </c>
      <c r="M1821" s="24" t="str">
        <f t="shared" si="85"/>
        <v>Tuesday</v>
      </c>
      <c r="N1821" s="24" t="str">
        <f t="shared" si="86"/>
        <v>Weekday</v>
      </c>
      <c r="Q1821" s="24"/>
      <c r="R1821" s="24"/>
      <c r="S1821" s="27"/>
      <c r="T1821"/>
      <c r="U1821" s="6"/>
      <c r="W1821" s="7"/>
      <c r="Z1821" s="4"/>
    </row>
    <row r="1822" spans="1:26" x14ac:dyDescent="0.3">
      <c r="A1822" t="s">
        <v>2193</v>
      </c>
      <c r="B1822" s="16" t="s">
        <v>214</v>
      </c>
      <c r="C1822" s="18" t="s">
        <v>11</v>
      </c>
      <c r="D1822" s="18" t="s">
        <v>325</v>
      </c>
      <c r="E1822" s="18">
        <v>67</v>
      </c>
      <c r="F1822" t="s">
        <v>375</v>
      </c>
      <c r="G1822" s="18" t="s">
        <v>42</v>
      </c>
      <c r="H1822" s="18" t="s">
        <v>14</v>
      </c>
      <c r="I1822" s="18">
        <v>98400</v>
      </c>
      <c r="J1822" s="18">
        <v>1</v>
      </c>
      <c r="K1822" s="19">
        <f t="shared" si="84"/>
        <v>98400</v>
      </c>
      <c r="L1822" s="20">
        <v>45460</v>
      </c>
      <c r="M1822" s="18" t="str">
        <f t="shared" si="85"/>
        <v>Monday</v>
      </c>
      <c r="N1822" s="18" t="str">
        <f t="shared" si="86"/>
        <v>Weekday</v>
      </c>
      <c r="Q1822" s="18"/>
      <c r="R1822" s="18"/>
      <c r="S1822" s="21"/>
      <c r="T1822"/>
      <c r="U1822" s="6"/>
      <c r="W1822" s="7"/>
      <c r="Z1822" s="4"/>
    </row>
    <row r="1823" spans="1:26" x14ac:dyDescent="0.3">
      <c r="A1823" t="s">
        <v>2194</v>
      </c>
      <c r="B1823" s="22" t="s">
        <v>46</v>
      </c>
      <c r="C1823" s="24" t="s">
        <v>366</v>
      </c>
      <c r="D1823" s="24" t="s">
        <v>323</v>
      </c>
      <c r="E1823" s="24">
        <v>40</v>
      </c>
      <c r="F1823" t="s">
        <v>381</v>
      </c>
      <c r="G1823" s="24" t="s">
        <v>32</v>
      </c>
      <c r="H1823" s="24" t="s">
        <v>18</v>
      </c>
      <c r="I1823" s="24">
        <v>3690</v>
      </c>
      <c r="J1823" s="24">
        <v>1</v>
      </c>
      <c r="K1823" s="25">
        <f t="shared" si="84"/>
        <v>3690</v>
      </c>
      <c r="L1823" s="26">
        <v>45657</v>
      </c>
      <c r="M1823" s="24" t="str">
        <f t="shared" si="85"/>
        <v>Tuesday</v>
      </c>
      <c r="N1823" s="24" t="str">
        <f t="shared" si="86"/>
        <v>Weekday</v>
      </c>
      <c r="Q1823" s="24"/>
      <c r="R1823" s="24"/>
      <c r="S1823" s="27"/>
      <c r="T1823"/>
      <c r="U1823" s="6"/>
      <c r="W1823" s="7"/>
      <c r="Z1823" s="4"/>
    </row>
    <row r="1824" spans="1:26" x14ac:dyDescent="0.3">
      <c r="A1824" t="s">
        <v>2195</v>
      </c>
      <c r="B1824" s="16" t="s">
        <v>136</v>
      </c>
      <c r="C1824" s="18" t="s">
        <v>366</v>
      </c>
      <c r="D1824" s="18" t="s">
        <v>322</v>
      </c>
      <c r="E1824" s="18">
        <v>46</v>
      </c>
      <c r="F1824" t="s">
        <v>373</v>
      </c>
      <c r="G1824" s="18" t="s">
        <v>31</v>
      </c>
      <c r="H1824" s="18" t="s">
        <v>18</v>
      </c>
      <c r="I1824" s="18">
        <v>6150</v>
      </c>
      <c r="J1824" s="18">
        <v>1</v>
      </c>
      <c r="K1824" s="19">
        <f t="shared" si="84"/>
        <v>6150</v>
      </c>
      <c r="L1824" s="20">
        <v>45340</v>
      </c>
      <c r="M1824" s="18" t="str">
        <f t="shared" si="85"/>
        <v>Sunday</v>
      </c>
      <c r="N1824" s="18" t="str">
        <f t="shared" si="86"/>
        <v>Weekday</v>
      </c>
      <c r="Q1824" s="18"/>
      <c r="R1824" s="18"/>
      <c r="S1824" s="21"/>
      <c r="T1824"/>
      <c r="U1824" s="6"/>
      <c r="W1824" s="7"/>
      <c r="Z1824" s="4"/>
    </row>
    <row r="1825" spans="1:26" x14ac:dyDescent="0.3">
      <c r="A1825" t="s">
        <v>2196</v>
      </c>
      <c r="B1825" s="22" t="s">
        <v>223</v>
      </c>
      <c r="C1825" s="24" t="s">
        <v>366</v>
      </c>
      <c r="D1825" s="24" t="s">
        <v>326</v>
      </c>
      <c r="E1825" s="24">
        <v>37</v>
      </c>
      <c r="F1825" t="s">
        <v>370</v>
      </c>
      <c r="G1825" s="24" t="s">
        <v>17</v>
      </c>
      <c r="H1825" s="24" t="s">
        <v>18</v>
      </c>
      <c r="I1825" s="24">
        <v>12300</v>
      </c>
      <c r="J1825" s="24">
        <v>2</v>
      </c>
      <c r="K1825" s="25">
        <f t="shared" si="84"/>
        <v>24600</v>
      </c>
      <c r="L1825" s="26">
        <v>45431</v>
      </c>
      <c r="M1825" s="24" t="str">
        <f t="shared" si="85"/>
        <v>Sunday</v>
      </c>
      <c r="N1825" s="24" t="str">
        <f t="shared" si="86"/>
        <v>Weekday</v>
      </c>
      <c r="Q1825" s="24"/>
      <c r="R1825" s="24"/>
      <c r="S1825" s="27"/>
      <c r="T1825"/>
      <c r="U1825" s="6"/>
      <c r="W1825" s="7"/>
      <c r="Z1825" s="4"/>
    </row>
    <row r="1826" spans="1:26" x14ac:dyDescent="0.3">
      <c r="A1826" t="s">
        <v>2197</v>
      </c>
      <c r="B1826" s="16" t="s">
        <v>117</v>
      </c>
      <c r="C1826" s="18" t="s">
        <v>20</v>
      </c>
      <c r="D1826" s="18" t="s">
        <v>322</v>
      </c>
      <c r="E1826" s="18">
        <v>22</v>
      </c>
      <c r="F1826" t="s">
        <v>373</v>
      </c>
      <c r="G1826" s="18" t="s">
        <v>31</v>
      </c>
      <c r="H1826" s="18" t="s">
        <v>18</v>
      </c>
      <c r="I1826" s="18">
        <v>6150</v>
      </c>
      <c r="J1826" s="18">
        <v>5</v>
      </c>
      <c r="K1826" s="19">
        <f t="shared" si="84"/>
        <v>30750</v>
      </c>
      <c r="L1826" s="20">
        <v>45560</v>
      </c>
      <c r="M1826" s="18" t="str">
        <f t="shared" si="85"/>
        <v>Wednesday</v>
      </c>
      <c r="N1826" s="18" t="str">
        <f t="shared" si="86"/>
        <v>Weekday</v>
      </c>
      <c r="Q1826" s="18"/>
      <c r="R1826" s="18"/>
      <c r="S1826" s="21"/>
      <c r="T1826"/>
      <c r="U1826" s="6"/>
      <c r="W1826" s="7"/>
      <c r="Z1826" s="4"/>
    </row>
    <row r="1827" spans="1:26" x14ac:dyDescent="0.3">
      <c r="A1827" t="s">
        <v>2198</v>
      </c>
      <c r="B1827" s="22" t="s">
        <v>209</v>
      </c>
      <c r="C1827" s="24" t="s">
        <v>11</v>
      </c>
      <c r="D1827" s="24" t="s">
        <v>329</v>
      </c>
      <c r="E1827" s="24">
        <v>63</v>
      </c>
      <c r="F1827" t="s">
        <v>370</v>
      </c>
      <c r="G1827" s="24" t="s">
        <v>32</v>
      </c>
      <c r="H1827" s="24" t="s">
        <v>18</v>
      </c>
      <c r="I1827" s="24">
        <v>3690</v>
      </c>
      <c r="J1827" s="24">
        <v>4</v>
      </c>
      <c r="K1827" s="25">
        <f t="shared" si="84"/>
        <v>14760</v>
      </c>
      <c r="L1827" s="26">
        <v>45594</v>
      </c>
      <c r="M1827" s="24" t="str">
        <f t="shared" si="85"/>
        <v>Tuesday</v>
      </c>
      <c r="N1827" s="24" t="str">
        <f t="shared" si="86"/>
        <v>Weekday</v>
      </c>
      <c r="Q1827" s="24"/>
      <c r="R1827" s="24"/>
      <c r="S1827" s="27"/>
      <c r="T1827"/>
      <c r="U1827" s="6"/>
      <c r="W1827" s="7"/>
      <c r="Z1827" s="4"/>
    </row>
    <row r="1828" spans="1:26" x14ac:dyDescent="0.3">
      <c r="A1828" t="s">
        <v>2199</v>
      </c>
      <c r="B1828" s="16" t="s">
        <v>79</v>
      </c>
      <c r="C1828" s="18" t="s">
        <v>11</v>
      </c>
      <c r="D1828" s="18" t="s">
        <v>324</v>
      </c>
      <c r="E1828" s="18">
        <v>54</v>
      </c>
      <c r="F1828" t="s">
        <v>370</v>
      </c>
      <c r="G1828" s="18" t="s">
        <v>17</v>
      </c>
      <c r="H1828" s="18" t="s">
        <v>18</v>
      </c>
      <c r="I1828" s="18">
        <v>12300</v>
      </c>
      <c r="J1828" s="18">
        <v>2</v>
      </c>
      <c r="K1828" s="19">
        <f t="shared" si="84"/>
        <v>24600</v>
      </c>
      <c r="L1828" s="20">
        <v>45637</v>
      </c>
      <c r="M1828" s="18" t="str">
        <f t="shared" si="85"/>
        <v>Wednesday</v>
      </c>
      <c r="N1828" s="18" t="str">
        <f t="shared" si="86"/>
        <v>Weekday</v>
      </c>
      <c r="Q1828" s="18"/>
      <c r="R1828" s="18"/>
      <c r="S1828" s="21"/>
      <c r="T1828"/>
      <c r="U1828" s="6"/>
      <c r="W1828" s="7"/>
      <c r="Z1828" s="4"/>
    </row>
    <row r="1829" spans="1:26" x14ac:dyDescent="0.3">
      <c r="A1829" t="s">
        <v>2200</v>
      </c>
      <c r="B1829" s="22" t="s">
        <v>106</v>
      </c>
      <c r="C1829" s="24" t="s">
        <v>11</v>
      </c>
      <c r="D1829" s="24" t="s">
        <v>322</v>
      </c>
      <c r="E1829" s="24">
        <v>69</v>
      </c>
      <c r="F1829" t="s">
        <v>370</v>
      </c>
      <c r="G1829" s="24" t="s">
        <v>31</v>
      </c>
      <c r="H1829" s="24" t="s">
        <v>18</v>
      </c>
      <c r="I1829" s="24">
        <v>6150</v>
      </c>
      <c r="J1829" s="24">
        <v>5</v>
      </c>
      <c r="K1829" s="25">
        <f t="shared" si="84"/>
        <v>30750</v>
      </c>
      <c r="L1829" s="26">
        <v>45594</v>
      </c>
      <c r="M1829" s="24" t="str">
        <f t="shared" si="85"/>
        <v>Tuesday</v>
      </c>
      <c r="N1829" s="24" t="str">
        <f t="shared" si="86"/>
        <v>Weekday</v>
      </c>
      <c r="Q1829" s="24"/>
      <c r="R1829" s="24"/>
      <c r="S1829" s="27"/>
      <c r="T1829"/>
      <c r="U1829" s="6"/>
      <c r="W1829" s="7"/>
      <c r="Z1829" s="4"/>
    </row>
    <row r="1830" spans="1:26" x14ac:dyDescent="0.3">
      <c r="A1830" t="s">
        <v>2201</v>
      </c>
      <c r="B1830" s="16" t="s">
        <v>187</v>
      </c>
      <c r="C1830" s="18" t="s">
        <v>11</v>
      </c>
      <c r="D1830" s="18" t="s">
        <v>324</v>
      </c>
      <c r="E1830" s="18">
        <v>68</v>
      </c>
      <c r="F1830" t="s">
        <v>375</v>
      </c>
      <c r="G1830" s="18" t="s">
        <v>31</v>
      </c>
      <c r="H1830" s="18" t="s">
        <v>18</v>
      </c>
      <c r="I1830" s="18">
        <v>6150</v>
      </c>
      <c r="J1830" s="18">
        <v>3</v>
      </c>
      <c r="K1830" s="19">
        <f t="shared" si="84"/>
        <v>18450</v>
      </c>
      <c r="L1830" s="20">
        <v>45651</v>
      </c>
      <c r="M1830" s="18" t="str">
        <f t="shared" si="85"/>
        <v>Wednesday</v>
      </c>
      <c r="N1830" s="18" t="str">
        <f t="shared" si="86"/>
        <v>Weekday</v>
      </c>
      <c r="Q1830" s="18"/>
      <c r="R1830" s="18"/>
      <c r="S1830" s="21"/>
      <c r="T1830"/>
      <c r="U1830" s="6"/>
      <c r="W1830" s="7"/>
      <c r="Z1830" s="4"/>
    </row>
    <row r="1831" spans="1:26" x14ac:dyDescent="0.3">
      <c r="A1831" t="s">
        <v>2202</v>
      </c>
      <c r="B1831" s="22" t="s">
        <v>246</v>
      </c>
      <c r="C1831" s="24" t="s">
        <v>11</v>
      </c>
      <c r="D1831" s="24" t="s">
        <v>326</v>
      </c>
      <c r="E1831" s="24">
        <v>23</v>
      </c>
      <c r="F1831" t="s">
        <v>381</v>
      </c>
      <c r="G1831" s="24" t="s">
        <v>42</v>
      </c>
      <c r="H1831" s="24" t="s">
        <v>14</v>
      </c>
      <c r="I1831" s="24">
        <v>98400</v>
      </c>
      <c r="J1831" s="24">
        <v>3</v>
      </c>
      <c r="K1831" s="25">
        <f t="shared" si="84"/>
        <v>295200</v>
      </c>
      <c r="L1831" s="26">
        <v>45553</v>
      </c>
      <c r="M1831" s="24" t="str">
        <f t="shared" si="85"/>
        <v>Wednesday</v>
      </c>
      <c r="N1831" s="24" t="str">
        <f t="shared" si="86"/>
        <v>Weekday</v>
      </c>
      <c r="Q1831" s="24"/>
      <c r="R1831" s="24"/>
      <c r="S1831" s="27"/>
      <c r="T1831"/>
      <c r="U1831" s="6"/>
      <c r="W1831" s="7"/>
      <c r="Z1831" s="4"/>
    </row>
    <row r="1832" spans="1:26" x14ac:dyDescent="0.3">
      <c r="A1832" t="s">
        <v>2203</v>
      </c>
      <c r="B1832" s="16" t="s">
        <v>135</v>
      </c>
      <c r="C1832" s="18" t="s">
        <v>366</v>
      </c>
      <c r="D1832" s="18" t="s">
        <v>323</v>
      </c>
      <c r="E1832" s="18">
        <v>41</v>
      </c>
      <c r="F1832" t="s">
        <v>375</v>
      </c>
      <c r="G1832" s="18" t="s">
        <v>26</v>
      </c>
      <c r="H1832" s="18" t="s">
        <v>27</v>
      </c>
      <c r="I1832" s="18">
        <v>24600</v>
      </c>
      <c r="J1832" s="18">
        <v>5</v>
      </c>
      <c r="K1832" s="19">
        <f t="shared" si="84"/>
        <v>123000</v>
      </c>
      <c r="L1832" s="20">
        <v>45334</v>
      </c>
      <c r="M1832" s="18" t="str">
        <f t="shared" si="85"/>
        <v>Monday</v>
      </c>
      <c r="N1832" s="18" t="str">
        <f t="shared" si="86"/>
        <v>Weekday</v>
      </c>
      <c r="Q1832" s="18"/>
      <c r="R1832" s="18"/>
      <c r="S1832" s="21"/>
      <c r="T1832"/>
      <c r="U1832" s="6"/>
      <c r="W1832" s="7"/>
      <c r="Z1832" s="4"/>
    </row>
    <row r="1833" spans="1:26" x14ac:dyDescent="0.3">
      <c r="A1833" t="s">
        <v>2204</v>
      </c>
      <c r="B1833" s="22" t="s">
        <v>257</v>
      </c>
      <c r="C1833" s="24" t="s">
        <v>11</v>
      </c>
      <c r="D1833" s="24" t="s">
        <v>325</v>
      </c>
      <c r="E1833" s="24">
        <v>39</v>
      </c>
      <c r="F1833" t="s">
        <v>370</v>
      </c>
      <c r="G1833" s="24" t="s">
        <v>26</v>
      </c>
      <c r="H1833" s="24" t="s">
        <v>27</v>
      </c>
      <c r="I1833" s="24">
        <v>24600</v>
      </c>
      <c r="J1833" s="24">
        <v>4</v>
      </c>
      <c r="K1833" s="25">
        <f t="shared" si="84"/>
        <v>98400</v>
      </c>
      <c r="L1833" s="26">
        <v>45545</v>
      </c>
      <c r="M1833" s="24" t="str">
        <f t="shared" si="85"/>
        <v>Tuesday</v>
      </c>
      <c r="N1833" s="24" t="str">
        <f t="shared" si="86"/>
        <v>Weekday</v>
      </c>
      <c r="Q1833" s="24"/>
      <c r="R1833" s="24"/>
      <c r="S1833" s="27"/>
      <c r="T1833"/>
      <c r="U1833" s="6"/>
      <c r="W1833" s="7"/>
      <c r="Z1833" s="4"/>
    </row>
    <row r="1834" spans="1:26" x14ac:dyDescent="0.3">
      <c r="A1834" t="s">
        <v>2205</v>
      </c>
      <c r="B1834" s="16" t="s">
        <v>33</v>
      </c>
      <c r="C1834" s="18" t="s">
        <v>11</v>
      </c>
      <c r="D1834" s="18" t="s">
        <v>323</v>
      </c>
      <c r="E1834" s="18">
        <v>29</v>
      </c>
      <c r="F1834" t="s">
        <v>373</v>
      </c>
      <c r="G1834" s="18" t="s">
        <v>31</v>
      </c>
      <c r="H1834" s="18" t="s">
        <v>18</v>
      </c>
      <c r="I1834" s="18">
        <v>6150</v>
      </c>
      <c r="J1834" s="18">
        <v>2</v>
      </c>
      <c r="K1834" s="19">
        <f t="shared" si="84"/>
        <v>12300</v>
      </c>
      <c r="L1834" s="20">
        <v>45627</v>
      </c>
      <c r="M1834" s="18" t="str">
        <f t="shared" si="85"/>
        <v>Sunday</v>
      </c>
      <c r="N1834" s="18" t="str">
        <f t="shared" si="86"/>
        <v>Weekday</v>
      </c>
      <c r="Q1834" s="18"/>
      <c r="R1834" s="18"/>
      <c r="S1834" s="21"/>
      <c r="T1834"/>
      <c r="U1834" s="6"/>
      <c r="W1834" s="7"/>
      <c r="Z1834" s="4"/>
    </row>
    <row r="1835" spans="1:26" x14ac:dyDescent="0.3">
      <c r="A1835" t="s">
        <v>2206</v>
      </c>
      <c r="B1835" s="22" t="s">
        <v>179</v>
      </c>
      <c r="C1835" s="24" t="s">
        <v>11</v>
      </c>
      <c r="D1835" s="24" t="s">
        <v>322</v>
      </c>
      <c r="E1835" s="24">
        <v>29</v>
      </c>
      <c r="F1835" t="s">
        <v>370</v>
      </c>
      <c r="G1835" s="24" t="s">
        <v>17</v>
      </c>
      <c r="H1835" s="24" t="s">
        <v>18</v>
      </c>
      <c r="I1835" s="24">
        <v>12300</v>
      </c>
      <c r="J1835" s="24">
        <v>2</v>
      </c>
      <c r="K1835" s="25">
        <f t="shared" si="84"/>
        <v>24600</v>
      </c>
      <c r="L1835" s="26">
        <v>45316</v>
      </c>
      <c r="M1835" s="24" t="str">
        <f t="shared" si="85"/>
        <v>Thursday</v>
      </c>
      <c r="N1835" s="24" t="str">
        <f t="shared" si="86"/>
        <v>Weekday</v>
      </c>
      <c r="Q1835" s="24"/>
      <c r="R1835" s="24"/>
      <c r="S1835" s="27"/>
      <c r="T1835"/>
      <c r="U1835" s="6"/>
      <c r="W1835" s="7"/>
      <c r="Z1835" s="4"/>
    </row>
    <row r="1836" spans="1:26" x14ac:dyDescent="0.3">
      <c r="A1836" t="s">
        <v>2207</v>
      </c>
      <c r="B1836" s="16" t="s">
        <v>167</v>
      </c>
      <c r="C1836" s="18" t="s">
        <v>11</v>
      </c>
      <c r="D1836" s="18" t="s">
        <v>322</v>
      </c>
      <c r="E1836" s="18">
        <v>66</v>
      </c>
      <c r="F1836" t="s">
        <v>370</v>
      </c>
      <c r="G1836" s="18" t="s">
        <v>31</v>
      </c>
      <c r="H1836" s="18" t="s">
        <v>18</v>
      </c>
      <c r="I1836" s="18">
        <v>6150</v>
      </c>
      <c r="J1836" s="18">
        <v>5</v>
      </c>
      <c r="K1836" s="19">
        <f t="shared" si="84"/>
        <v>30750</v>
      </c>
      <c r="L1836" s="20">
        <v>45478</v>
      </c>
      <c r="M1836" s="18" t="str">
        <f t="shared" si="85"/>
        <v>Friday</v>
      </c>
      <c r="N1836" s="18" t="str">
        <f t="shared" si="86"/>
        <v>Weekend</v>
      </c>
      <c r="Q1836" s="18"/>
      <c r="R1836" s="18"/>
      <c r="S1836" s="21"/>
      <c r="T1836"/>
      <c r="U1836" s="6"/>
      <c r="W1836" s="7"/>
      <c r="Z1836" s="4"/>
    </row>
    <row r="1837" spans="1:26" x14ac:dyDescent="0.3">
      <c r="A1837" t="s">
        <v>2208</v>
      </c>
      <c r="B1837" s="22" t="s">
        <v>74</v>
      </c>
      <c r="C1837" s="24" t="s">
        <v>20</v>
      </c>
      <c r="D1837" s="24" t="s">
        <v>322</v>
      </c>
      <c r="E1837" s="24">
        <v>42</v>
      </c>
      <c r="F1837" t="s">
        <v>381</v>
      </c>
      <c r="G1837" s="24" t="s">
        <v>13</v>
      </c>
      <c r="H1837" s="24" t="s">
        <v>14</v>
      </c>
      <c r="I1837" s="24">
        <v>36900</v>
      </c>
      <c r="J1837" s="24">
        <v>4</v>
      </c>
      <c r="K1837" s="25">
        <f t="shared" si="84"/>
        <v>147600</v>
      </c>
      <c r="L1837" s="26">
        <v>45391</v>
      </c>
      <c r="M1837" s="24" t="str">
        <f t="shared" si="85"/>
        <v>Tuesday</v>
      </c>
      <c r="N1837" s="24" t="str">
        <f t="shared" si="86"/>
        <v>Weekday</v>
      </c>
      <c r="Q1837" s="24"/>
      <c r="R1837" s="24"/>
      <c r="S1837" s="27"/>
      <c r="T1837"/>
      <c r="U1837" s="6"/>
      <c r="W1837" s="7"/>
      <c r="Z1837" s="4"/>
    </row>
    <row r="1838" spans="1:26" x14ac:dyDescent="0.3">
      <c r="A1838" t="s">
        <v>2209</v>
      </c>
      <c r="B1838" s="16" t="s">
        <v>213</v>
      </c>
      <c r="C1838" s="18" t="s">
        <v>11</v>
      </c>
      <c r="D1838" s="18" t="s">
        <v>326</v>
      </c>
      <c r="E1838" s="18">
        <v>66</v>
      </c>
      <c r="F1838" t="s">
        <v>370</v>
      </c>
      <c r="G1838" s="18" t="s">
        <v>31</v>
      </c>
      <c r="H1838" s="18" t="s">
        <v>18</v>
      </c>
      <c r="I1838" s="18">
        <v>6150</v>
      </c>
      <c r="J1838" s="18">
        <v>2</v>
      </c>
      <c r="K1838" s="19">
        <f t="shared" si="84"/>
        <v>12300</v>
      </c>
      <c r="L1838" s="20">
        <v>45476</v>
      </c>
      <c r="M1838" s="18" t="str">
        <f t="shared" si="85"/>
        <v>Wednesday</v>
      </c>
      <c r="N1838" s="18" t="str">
        <f t="shared" si="86"/>
        <v>Weekday</v>
      </c>
      <c r="Q1838" s="18"/>
      <c r="R1838" s="18"/>
      <c r="S1838" s="21"/>
      <c r="T1838"/>
      <c r="U1838" s="6"/>
      <c r="W1838" s="7"/>
      <c r="Z1838" s="4"/>
    </row>
    <row r="1839" spans="1:26" x14ac:dyDescent="0.3">
      <c r="A1839" t="s">
        <v>2210</v>
      </c>
      <c r="B1839" s="22" t="s">
        <v>230</v>
      </c>
      <c r="C1839" s="24" t="s">
        <v>11</v>
      </c>
      <c r="D1839" s="24" t="s">
        <v>328</v>
      </c>
      <c r="E1839" s="24">
        <v>22</v>
      </c>
      <c r="F1839" t="s">
        <v>375</v>
      </c>
      <c r="G1839" s="24" t="s">
        <v>31</v>
      </c>
      <c r="H1839" s="24" t="s">
        <v>18</v>
      </c>
      <c r="I1839" s="24">
        <v>6150</v>
      </c>
      <c r="J1839" s="24">
        <v>2</v>
      </c>
      <c r="K1839" s="25">
        <f t="shared" si="84"/>
        <v>12300</v>
      </c>
      <c r="L1839" s="26">
        <v>45454</v>
      </c>
      <c r="M1839" s="24" t="str">
        <f t="shared" si="85"/>
        <v>Tuesday</v>
      </c>
      <c r="N1839" s="24" t="str">
        <f t="shared" si="86"/>
        <v>Weekday</v>
      </c>
      <c r="Q1839" s="24"/>
      <c r="R1839" s="24"/>
      <c r="S1839" s="27"/>
      <c r="T1839"/>
      <c r="U1839" s="6"/>
      <c r="W1839" s="7"/>
      <c r="Z1839" s="4"/>
    </row>
    <row r="1840" spans="1:26" x14ac:dyDescent="0.3">
      <c r="A1840" t="s">
        <v>2211</v>
      </c>
      <c r="B1840" s="16" t="s">
        <v>273</v>
      </c>
      <c r="C1840" s="18" t="s">
        <v>366</v>
      </c>
      <c r="D1840" s="18" t="s">
        <v>322</v>
      </c>
      <c r="E1840" s="18">
        <v>65</v>
      </c>
      <c r="F1840" t="s">
        <v>381</v>
      </c>
      <c r="G1840" s="18" t="s">
        <v>17</v>
      </c>
      <c r="H1840" s="18" t="s">
        <v>18</v>
      </c>
      <c r="I1840" s="18">
        <v>12300</v>
      </c>
      <c r="J1840" s="18">
        <v>4</v>
      </c>
      <c r="K1840" s="19">
        <f t="shared" si="84"/>
        <v>49200</v>
      </c>
      <c r="L1840" s="20">
        <v>45619</v>
      </c>
      <c r="M1840" s="18" t="str">
        <f t="shared" si="85"/>
        <v>Saturday</v>
      </c>
      <c r="N1840" s="18" t="str">
        <f t="shared" si="86"/>
        <v>Weekend</v>
      </c>
      <c r="Q1840" s="18"/>
      <c r="R1840" s="18"/>
      <c r="S1840" s="21"/>
      <c r="T1840"/>
      <c r="U1840" s="6"/>
      <c r="W1840" s="7"/>
      <c r="Z1840" s="4"/>
    </row>
    <row r="1841" spans="1:26" x14ac:dyDescent="0.3">
      <c r="A1841" t="s">
        <v>2212</v>
      </c>
      <c r="B1841" s="22" t="s">
        <v>74</v>
      </c>
      <c r="C1841" s="24" t="s">
        <v>20</v>
      </c>
      <c r="D1841" s="24" t="s">
        <v>322</v>
      </c>
      <c r="E1841" s="24">
        <v>42</v>
      </c>
      <c r="F1841" t="s">
        <v>381</v>
      </c>
      <c r="G1841" s="24" t="s">
        <v>31</v>
      </c>
      <c r="H1841" s="24" t="s">
        <v>18</v>
      </c>
      <c r="I1841" s="24">
        <v>6150</v>
      </c>
      <c r="J1841" s="24">
        <v>3</v>
      </c>
      <c r="K1841" s="25">
        <f t="shared" si="84"/>
        <v>18450</v>
      </c>
      <c r="L1841" s="26">
        <v>45425</v>
      </c>
      <c r="M1841" s="24" t="str">
        <f t="shared" si="85"/>
        <v>Monday</v>
      </c>
      <c r="N1841" s="24" t="str">
        <f t="shared" si="86"/>
        <v>Weekday</v>
      </c>
      <c r="Q1841" s="24"/>
      <c r="R1841" s="24"/>
      <c r="S1841" s="27"/>
      <c r="T1841"/>
      <c r="U1841" s="6"/>
      <c r="W1841" s="7"/>
      <c r="Z1841" s="4"/>
    </row>
    <row r="1842" spans="1:26" x14ac:dyDescent="0.3">
      <c r="A1842" t="s">
        <v>2213</v>
      </c>
      <c r="B1842" s="16" t="s">
        <v>66</v>
      </c>
      <c r="C1842" s="18" t="s">
        <v>11</v>
      </c>
      <c r="D1842" s="18" t="s">
        <v>322</v>
      </c>
      <c r="E1842" s="18">
        <v>19</v>
      </c>
      <c r="F1842" t="s">
        <v>381</v>
      </c>
      <c r="G1842" s="18" t="s">
        <v>42</v>
      </c>
      <c r="H1842" s="18" t="s">
        <v>14</v>
      </c>
      <c r="I1842" s="18">
        <v>98400</v>
      </c>
      <c r="J1842" s="18">
        <v>1</v>
      </c>
      <c r="K1842" s="19">
        <f t="shared" si="84"/>
        <v>98400</v>
      </c>
      <c r="L1842" s="20">
        <v>45424</v>
      </c>
      <c r="M1842" s="18" t="str">
        <f t="shared" si="85"/>
        <v>Sunday</v>
      </c>
      <c r="N1842" s="18" t="str">
        <f t="shared" si="86"/>
        <v>Weekday</v>
      </c>
      <c r="Q1842" s="18"/>
      <c r="R1842" s="18"/>
      <c r="S1842" s="21"/>
      <c r="T1842"/>
      <c r="U1842" s="6"/>
      <c r="W1842" s="7"/>
      <c r="Z1842" s="4"/>
    </row>
    <row r="1843" spans="1:26" x14ac:dyDescent="0.3">
      <c r="A1843" t="s">
        <v>2214</v>
      </c>
      <c r="B1843" s="22" t="s">
        <v>248</v>
      </c>
      <c r="C1843" s="24" t="s">
        <v>366</v>
      </c>
      <c r="D1843" s="24" t="s">
        <v>322</v>
      </c>
      <c r="E1843" s="24">
        <v>54</v>
      </c>
      <c r="F1843" t="s">
        <v>370</v>
      </c>
      <c r="G1843" s="24" t="s">
        <v>26</v>
      </c>
      <c r="H1843" s="24" t="s">
        <v>27</v>
      </c>
      <c r="I1843" s="24">
        <v>24600</v>
      </c>
      <c r="J1843" s="24">
        <v>1</v>
      </c>
      <c r="K1843" s="25">
        <f t="shared" si="84"/>
        <v>24600</v>
      </c>
      <c r="L1843" s="26">
        <v>45315</v>
      </c>
      <c r="M1843" s="24" t="str">
        <f t="shared" si="85"/>
        <v>Wednesday</v>
      </c>
      <c r="N1843" s="24" t="str">
        <f t="shared" si="86"/>
        <v>Weekday</v>
      </c>
      <c r="Q1843" s="24"/>
      <c r="R1843" s="24"/>
      <c r="S1843" s="27"/>
      <c r="T1843"/>
      <c r="U1843" s="6"/>
      <c r="W1843" s="7"/>
      <c r="Z1843" s="4"/>
    </row>
    <row r="1844" spans="1:26" x14ac:dyDescent="0.3">
      <c r="A1844" t="s">
        <v>2215</v>
      </c>
      <c r="B1844" s="16" t="s">
        <v>25</v>
      </c>
      <c r="C1844" s="18" t="s">
        <v>11</v>
      </c>
      <c r="D1844" s="18" t="s">
        <v>323</v>
      </c>
      <c r="E1844" s="18">
        <v>64</v>
      </c>
      <c r="F1844" t="s">
        <v>381</v>
      </c>
      <c r="G1844" s="18" t="s">
        <v>32</v>
      </c>
      <c r="H1844" s="18" t="s">
        <v>18</v>
      </c>
      <c r="I1844" s="18">
        <v>3690</v>
      </c>
      <c r="J1844" s="18">
        <v>4</v>
      </c>
      <c r="K1844" s="19">
        <f t="shared" si="84"/>
        <v>14760</v>
      </c>
      <c r="L1844" s="20">
        <v>45506</v>
      </c>
      <c r="M1844" s="18" t="str">
        <f t="shared" si="85"/>
        <v>Friday</v>
      </c>
      <c r="N1844" s="18" t="str">
        <f t="shared" si="86"/>
        <v>Weekend</v>
      </c>
      <c r="Q1844" s="18"/>
      <c r="R1844" s="18"/>
      <c r="S1844" s="21"/>
      <c r="T1844"/>
      <c r="U1844" s="6"/>
      <c r="W1844" s="7"/>
      <c r="Z1844" s="4"/>
    </row>
    <row r="1845" spans="1:26" x14ac:dyDescent="0.3">
      <c r="A1845" t="s">
        <v>2216</v>
      </c>
      <c r="B1845" s="22" t="s">
        <v>189</v>
      </c>
      <c r="C1845" s="24" t="s">
        <v>20</v>
      </c>
      <c r="D1845" s="24" t="s">
        <v>322</v>
      </c>
      <c r="E1845" s="24">
        <v>48</v>
      </c>
      <c r="F1845" t="s">
        <v>381</v>
      </c>
      <c r="G1845" s="24" t="s">
        <v>31</v>
      </c>
      <c r="H1845" s="24" t="s">
        <v>18</v>
      </c>
      <c r="I1845" s="24">
        <v>6150</v>
      </c>
      <c r="J1845" s="24">
        <v>5</v>
      </c>
      <c r="K1845" s="25">
        <f t="shared" si="84"/>
        <v>30750</v>
      </c>
      <c r="L1845" s="26">
        <v>45466</v>
      </c>
      <c r="M1845" s="24" t="str">
        <f t="shared" si="85"/>
        <v>Sunday</v>
      </c>
      <c r="N1845" s="24" t="str">
        <f t="shared" si="86"/>
        <v>Weekday</v>
      </c>
      <c r="Q1845" s="24"/>
      <c r="R1845" s="24"/>
      <c r="S1845" s="27"/>
      <c r="T1845"/>
      <c r="U1845" s="6"/>
      <c r="W1845" s="7"/>
      <c r="Z1845" s="4"/>
    </row>
    <row r="1846" spans="1:26" x14ac:dyDescent="0.3">
      <c r="A1846" t="s">
        <v>2217</v>
      </c>
      <c r="B1846" s="16" t="s">
        <v>139</v>
      </c>
      <c r="C1846" s="18" t="s">
        <v>366</v>
      </c>
      <c r="D1846" s="18" t="s">
        <v>324</v>
      </c>
      <c r="E1846" s="18">
        <v>27</v>
      </c>
      <c r="F1846" t="s">
        <v>375</v>
      </c>
      <c r="G1846" s="18" t="s">
        <v>17</v>
      </c>
      <c r="H1846" s="18" t="s">
        <v>18</v>
      </c>
      <c r="I1846" s="18">
        <v>12300</v>
      </c>
      <c r="J1846" s="18">
        <v>1</v>
      </c>
      <c r="K1846" s="19">
        <f t="shared" si="84"/>
        <v>12300</v>
      </c>
      <c r="L1846" s="20">
        <v>45550</v>
      </c>
      <c r="M1846" s="18" t="str">
        <f t="shared" si="85"/>
        <v>Sunday</v>
      </c>
      <c r="N1846" s="18" t="str">
        <f t="shared" si="86"/>
        <v>Weekday</v>
      </c>
      <c r="Q1846" s="18"/>
      <c r="R1846" s="18"/>
      <c r="S1846" s="21"/>
      <c r="T1846"/>
      <c r="U1846" s="6"/>
      <c r="W1846" s="7"/>
      <c r="Z1846" s="4"/>
    </row>
    <row r="1847" spans="1:26" x14ac:dyDescent="0.3">
      <c r="A1847" t="s">
        <v>2218</v>
      </c>
      <c r="B1847" s="22" t="s">
        <v>284</v>
      </c>
      <c r="C1847" s="24" t="s">
        <v>11</v>
      </c>
      <c r="D1847" s="24" t="s">
        <v>322</v>
      </c>
      <c r="E1847" s="24">
        <v>46</v>
      </c>
      <c r="F1847" t="s">
        <v>373</v>
      </c>
      <c r="G1847" s="24" t="s">
        <v>13</v>
      </c>
      <c r="H1847" s="24" t="s">
        <v>14</v>
      </c>
      <c r="I1847" s="24">
        <v>36900</v>
      </c>
      <c r="J1847" s="24">
        <v>2</v>
      </c>
      <c r="K1847" s="25">
        <f t="shared" si="84"/>
        <v>73800</v>
      </c>
      <c r="L1847" s="26">
        <v>45570</v>
      </c>
      <c r="M1847" s="24" t="str">
        <f t="shared" si="85"/>
        <v>Saturday</v>
      </c>
      <c r="N1847" s="24" t="str">
        <f t="shared" si="86"/>
        <v>Weekend</v>
      </c>
      <c r="Q1847" s="24"/>
      <c r="R1847" s="24"/>
      <c r="S1847" s="27"/>
      <c r="T1847"/>
      <c r="U1847" s="6"/>
      <c r="W1847" s="7"/>
      <c r="Z1847" s="4"/>
    </row>
    <row r="1848" spans="1:26" x14ac:dyDescent="0.3">
      <c r="A1848" t="s">
        <v>2219</v>
      </c>
      <c r="B1848" s="16" t="s">
        <v>93</v>
      </c>
      <c r="C1848" s="18" t="s">
        <v>366</v>
      </c>
      <c r="D1848" s="18" t="s">
        <v>327</v>
      </c>
      <c r="E1848" s="18">
        <v>54</v>
      </c>
      <c r="F1848" t="s">
        <v>375</v>
      </c>
      <c r="G1848" s="18" t="s">
        <v>24</v>
      </c>
      <c r="H1848" s="18" t="s">
        <v>14</v>
      </c>
      <c r="I1848" s="18">
        <v>184500</v>
      </c>
      <c r="J1848" s="18">
        <v>1</v>
      </c>
      <c r="K1848" s="19">
        <f t="shared" si="84"/>
        <v>184500</v>
      </c>
      <c r="L1848" s="20">
        <v>45324</v>
      </c>
      <c r="M1848" s="18" t="str">
        <f t="shared" si="85"/>
        <v>Friday</v>
      </c>
      <c r="N1848" s="18" t="str">
        <f t="shared" si="86"/>
        <v>Weekend</v>
      </c>
      <c r="Q1848" s="18"/>
      <c r="R1848" s="18"/>
      <c r="S1848" s="21"/>
      <c r="T1848"/>
      <c r="U1848" s="6"/>
      <c r="W1848" s="7"/>
      <c r="Z1848" s="4"/>
    </row>
    <row r="1849" spans="1:26" x14ac:dyDescent="0.3">
      <c r="A1849" t="s">
        <v>2220</v>
      </c>
      <c r="B1849" s="22" t="s">
        <v>306</v>
      </c>
      <c r="C1849" s="24" t="s">
        <v>366</v>
      </c>
      <c r="D1849" s="24" t="s">
        <v>323</v>
      </c>
      <c r="E1849" s="24">
        <v>35</v>
      </c>
      <c r="F1849" t="s">
        <v>375</v>
      </c>
      <c r="G1849" s="24" t="s">
        <v>26</v>
      </c>
      <c r="H1849" s="24" t="s">
        <v>27</v>
      </c>
      <c r="I1849" s="24">
        <v>24600</v>
      </c>
      <c r="J1849" s="24">
        <v>3</v>
      </c>
      <c r="K1849" s="25">
        <f t="shared" si="84"/>
        <v>73800</v>
      </c>
      <c r="L1849" s="26">
        <v>45518</v>
      </c>
      <c r="M1849" s="24" t="str">
        <f t="shared" si="85"/>
        <v>Wednesday</v>
      </c>
      <c r="N1849" s="24" t="str">
        <f t="shared" si="86"/>
        <v>Weekday</v>
      </c>
      <c r="Q1849" s="24"/>
      <c r="R1849" s="24"/>
      <c r="S1849" s="27"/>
      <c r="T1849"/>
      <c r="U1849" s="6"/>
      <c r="W1849" s="7"/>
      <c r="Z1849" s="4"/>
    </row>
    <row r="1850" spans="1:26" x14ac:dyDescent="0.3">
      <c r="A1850" t="s">
        <v>2221</v>
      </c>
      <c r="B1850" s="16" t="s">
        <v>92</v>
      </c>
      <c r="C1850" s="18" t="s">
        <v>11</v>
      </c>
      <c r="D1850" s="18" t="s">
        <v>323</v>
      </c>
      <c r="E1850" s="18">
        <v>50</v>
      </c>
      <c r="F1850" t="s">
        <v>373</v>
      </c>
      <c r="G1850" s="18" t="s">
        <v>42</v>
      </c>
      <c r="H1850" s="18" t="s">
        <v>14</v>
      </c>
      <c r="I1850" s="18">
        <v>98400</v>
      </c>
      <c r="J1850" s="18">
        <v>2</v>
      </c>
      <c r="K1850" s="19">
        <f t="shared" si="84"/>
        <v>196800</v>
      </c>
      <c r="L1850" s="20">
        <v>45338</v>
      </c>
      <c r="M1850" s="18" t="str">
        <f t="shared" si="85"/>
        <v>Friday</v>
      </c>
      <c r="N1850" s="18" t="str">
        <f t="shared" si="86"/>
        <v>Weekend</v>
      </c>
      <c r="Q1850" s="18"/>
      <c r="R1850" s="18"/>
      <c r="S1850" s="21"/>
      <c r="T1850"/>
      <c r="U1850" s="6"/>
      <c r="W1850" s="7"/>
      <c r="Z1850" s="4"/>
    </row>
    <row r="1851" spans="1:26" x14ac:dyDescent="0.3">
      <c r="A1851" t="s">
        <v>2222</v>
      </c>
      <c r="B1851" s="22" t="s">
        <v>228</v>
      </c>
      <c r="C1851" s="24" t="s">
        <v>11</v>
      </c>
      <c r="D1851" s="24" t="s">
        <v>325</v>
      </c>
      <c r="E1851" s="24">
        <v>33</v>
      </c>
      <c r="F1851" t="s">
        <v>373</v>
      </c>
      <c r="G1851" s="24" t="s">
        <v>32</v>
      </c>
      <c r="H1851" s="24" t="s">
        <v>18</v>
      </c>
      <c r="I1851" s="24">
        <v>3690</v>
      </c>
      <c r="J1851" s="24">
        <v>5</v>
      </c>
      <c r="K1851" s="25">
        <f t="shared" si="84"/>
        <v>18450</v>
      </c>
      <c r="L1851" s="26">
        <v>45346</v>
      </c>
      <c r="M1851" s="24" t="str">
        <f t="shared" si="85"/>
        <v>Saturday</v>
      </c>
      <c r="N1851" s="24" t="str">
        <f t="shared" si="86"/>
        <v>Weekend</v>
      </c>
      <c r="Q1851" s="24"/>
      <c r="R1851" s="24"/>
      <c r="S1851" s="27"/>
      <c r="T1851"/>
      <c r="U1851" s="6"/>
      <c r="W1851" s="7"/>
      <c r="Z1851" s="4"/>
    </row>
    <row r="1852" spans="1:26" x14ac:dyDescent="0.3">
      <c r="A1852" t="s">
        <v>2223</v>
      </c>
      <c r="B1852" s="16" t="s">
        <v>294</v>
      </c>
      <c r="C1852" s="18" t="s">
        <v>11</v>
      </c>
      <c r="D1852" s="18" t="s">
        <v>327</v>
      </c>
      <c r="E1852" s="18">
        <v>41</v>
      </c>
      <c r="F1852" t="s">
        <v>381</v>
      </c>
      <c r="G1852" s="18" t="s">
        <v>17</v>
      </c>
      <c r="H1852" s="18" t="s">
        <v>18</v>
      </c>
      <c r="I1852" s="18">
        <v>12300</v>
      </c>
      <c r="J1852" s="18">
        <v>2</v>
      </c>
      <c r="K1852" s="19">
        <f t="shared" si="84"/>
        <v>24600</v>
      </c>
      <c r="L1852" s="20">
        <v>45610</v>
      </c>
      <c r="M1852" s="18" t="str">
        <f t="shared" si="85"/>
        <v>Thursday</v>
      </c>
      <c r="N1852" s="18" t="str">
        <f t="shared" si="86"/>
        <v>Weekday</v>
      </c>
      <c r="Q1852" s="18"/>
      <c r="R1852" s="18"/>
      <c r="S1852" s="21"/>
      <c r="T1852"/>
      <c r="U1852" s="6"/>
      <c r="W1852" s="7"/>
      <c r="Z1852" s="4"/>
    </row>
    <row r="1853" spans="1:26" x14ac:dyDescent="0.3">
      <c r="A1853" t="s">
        <v>2224</v>
      </c>
      <c r="B1853" s="22" t="s">
        <v>191</v>
      </c>
      <c r="C1853" s="24" t="s">
        <v>11</v>
      </c>
      <c r="D1853" s="24" t="s">
        <v>326</v>
      </c>
      <c r="E1853" s="24">
        <v>69</v>
      </c>
      <c r="F1853" t="s">
        <v>375</v>
      </c>
      <c r="G1853" s="24" t="s">
        <v>32</v>
      </c>
      <c r="H1853" s="24" t="s">
        <v>18</v>
      </c>
      <c r="I1853" s="24">
        <v>3690</v>
      </c>
      <c r="J1853" s="24">
        <v>5</v>
      </c>
      <c r="K1853" s="25">
        <f t="shared" si="84"/>
        <v>18450</v>
      </c>
      <c r="L1853" s="26">
        <v>45305</v>
      </c>
      <c r="M1853" s="24" t="str">
        <f t="shared" si="85"/>
        <v>Sunday</v>
      </c>
      <c r="N1853" s="24" t="str">
        <f t="shared" si="86"/>
        <v>Weekday</v>
      </c>
      <c r="Q1853" s="24"/>
      <c r="R1853" s="24"/>
      <c r="S1853" s="27"/>
      <c r="T1853"/>
      <c r="U1853" s="6"/>
      <c r="W1853" s="7"/>
      <c r="Z1853" s="4"/>
    </row>
    <row r="1854" spans="1:26" x14ac:dyDescent="0.3">
      <c r="A1854" t="s">
        <v>2225</v>
      </c>
      <c r="B1854" s="16" t="s">
        <v>242</v>
      </c>
      <c r="C1854" s="18" t="s">
        <v>20</v>
      </c>
      <c r="D1854" s="18" t="s">
        <v>322</v>
      </c>
      <c r="E1854" s="18">
        <v>27</v>
      </c>
      <c r="F1854" t="s">
        <v>370</v>
      </c>
      <c r="G1854" s="18" t="s">
        <v>24</v>
      </c>
      <c r="H1854" s="18" t="s">
        <v>14</v>
      </c>
      <c r="I1854" s="18">
        <v>184500</v>
      </c>
      <c r="J1854" s="18">
        <v>3</v>
      </c>
      <c r="K1854" s="19">
        <f t="shared" si="84"/>
        <v>553500</v>
      </c>
      <c r="L1854" s="20">
        <v>45585</v>
      </c>
      <c r="M1854" s="18" t="str">
        <f t="shared" si="85"/>
        <v>Sunday</v>
      </c>
      <c r="N1854" s="18" t="str">
        <f t="shared" si="86"/>
        <v>Weekday</v>
      </c>
      <c r="Q1854" s="18"/>
      <c r="R1854" s="18"/>
      <c r="S1854" s="21"/>
      <c r="T1854"/>
      <c r="U1854" s="6"/>
      <c r="W1854" s="7"/>
      <c r="Z1854" s="4"/>
    </row>
    <row r="1855" spans="1:26" x14ac:dyDescent="0.3">
      <c r="A1855" t="s">
        <v>2226</v>
      </c>
      <c r="B1855" s="22" t="s">
        <v>37</v>
      </c>
      <c r="C1855" s="24" t="s">
        <v>11</v>
      </c>
      <c r="D1855" s="24" t="s">
        <v>323</v>
      </c>
      <c r="E1855" s="24">
        <v>60</v>
      </c>
      <c r="F1855" t="s">
        <v>375</v>
      </c>
      <c r="G1855" s="24" t="s">
        <v>42</v>
      </c>
      <c r="H1855" s="24" t="s">
        <v>14</v>
      </c>
      <c r="I1855" s="24">
        <v>98400</v>
      </c>
      <c r="J1855" s="24">
        <v>3</v>
      </c>
      <c r="K1855" s="25">
        <f t="shared" si="84"/>
        <v>295200</v>
      </c>
      <c r="L1855" s="26">
        <v>45342</v>
      </c>
      <c r="M1855" s="24" t="str">
        <f t="shared" si="85"/>
        <v>Tuesday</v>
      </c>
      <c r="N1855" s="24" t="str">
        <f t="shared" si="86"/>
        <v>Weekday</v>
      </c>
      <c r="Q1855" s="24"/>
      <c r="R1855" s="24"/>
      <c r="S1855" s="27"/>
      <c r="T1855"/>
      <c r="U1855" s="6"/>
      <c r="W1855" s="7"/>
      <c r="Z1855" s="4"/>
    </row>
    <row r="1856" spans="1:26" x14ac:dyDescent="0.3">
      <c r="A1856" t="s">
        <v>2227</v>
      </c>
      <c r="B1856" s="16" t="s">
        <v>252</v>
      </c>
      <c r="C1856" s="18" t="s">
        <v>20</v>
      </c>
      <c r="D1856" s="18" t="s">
        <v>329</v>
      </c>
      <c r="E1856" s="18">
        <v>56</v>
      </c>
      <c r="F1856" t="s">
        <v>373</v>
      </c>
      <c r="G1856" s="18" t="s">
        <v>31</v>
      </c>
      <c r="H1856" s="18" t="s">
        <v>18</v>
      </c>
      <c r="I1856" s="18">
        <v>6150</v>
      </c>
      <c r="J1856" s="18">
        <v>2</v>
      </c>
      <c r="K1856" s="19">
        <f t="shared" si="84"/>
        <v>12300</v>
      </c>
      <c r="L1856" s="20">
        <v>45480</v>
      </c>
      <c r="M1856" s="18" t="str">
        <f t="shared" si="85"/>
        <v>Sunday</v>
      </c>
      <c r="N1856" s="18" t="str">
        <f t="shared" si="86"/>
        <v>Weekday</v>
      </c>
      <c r="Q1856" s="18"/>
      <c r="R1856" s="18"/>
      <c r="S1856" s="21"/>
      <c r="T1856"/>
      <c r="U1856" s="6"/>
      <c r="W1856" s="7"/>
      <c r="Z1856" s="4"/>
    </row>
    <row r="1857" spans="1:26" x14ac:dyDescent="0.3">
      <c r="A1857" t="s">
        <v>2228</v>
      </c>
      <c r="B1857" s="22" t="s">
        <v>217</v>
      </c>
      <c r="C1857" s="24" t="s">
        <v>11</v>
      </c>
      <c r="D1857" s="24" t="s">
        <v>324</v>
      </c>
      <c r="E1857" s="24">
        <v>62</v>
      </c>
      <c r="F1857" t="s">
        <v>381</v>
      </c>
      <c r="G1857" s="24" t="s">
        <v>17</v>
      </c>
      <c r="H1857" s="24" t="s">
        <v>18</v>
      </c>
      <c r="I1857" s="24">
        <v>12300</v>
      </c>
      <c r="J1857" s="24">
        <v>1</v>
      </c>
      <c r="K1857" s="25">
        <f t="shared" si="84"/>
        <v>12300</v>
      </c>
      <c r="L1857" s="26">
        <v>45481</v>
      </c>
      <c r="M1857" s="24" t="str">
        <f t="shared" si="85"/>
        <v>Monday</v>
      </c>
      <c r="N1857" s="24" t="str">
        <f t="shared" si="86"/>
        <v>Weekday</v>
      </c>
      <c r="Q1857" s="24"/>
      <c r="R1857" s="24"/>
      <c r="S1857" s="27"/>
      <c r="T1857"/>
      <c r="U1857" s="6"/>
      <c r="W1857" s="7"/>
      <c r="Z1857" s="4"/>
    </row>
    <row r="1858" spans="1:26" x14ac:dyDescent="0.3">
      <c r="A1858" t="s">
        <v>2229</v>
      </c>
      <c r="B1858" s="16" t="s">
        <v>101</v>
      </c>
      <c r="C1858" s="18" t="s">
        <v>11</v>
      </c>
      <c r="D1858" s="18" t="s">
        <v>322</v>
      </c>
      <c r="E1858" s="18">
        <v>19</v>
      </c>
      <c r="F1858" t="s">
        <v>381</v>
      </c>
      <c r="G1858" s="18" t="s">
        <v>42</v>
      </c>
      <c r="H1858" s="18" t="s">
        <v>14</v>
      </c>
      <c r="I1858" s="18">
        <v>98400</v>
      </c>
      <c r="J1858" s="18">
        <v>3</v>
      </c>
      <c r="K1858" s="19">
        <f t="shared" ref="K1858:K1921" si="87">I1858*J1858</f>
        <v>295200</v>
      </c>
      <c r="L1858" s="20">
        <v>45348</v>
      </c>
      <c r="M1858" s="18" t="str">
        <f t="shared" ref="M1858:M1921" si="88">TEXT(L1858, "dddd")</f>
        <v>Monday</v>
      </c>
      <c r="N1858" s="18" t="str">
        <f t="shared" ref="N1858:N1921" si="89">IF(OR(WEEKDAY(L1858, 2)=5, WEEKDAY(L1858, 2)=6), "Weekend", "Weekday")</f>
        <v>Weekday</v>
      </c>
      <c r="Q1858" s="18"/>
      <c r="R1858" s="18"/>
      <c r="S1858" s="21"/>
      <c r="T1858"/>
      <c r="U1858" s="6"/>
      <c r="W1858" s="7"/>
      <c r="Z1858" s="4"/>
    </row>
    <row r="1859" spans="1:26" x14ac:dyDescent="0.3">
      <c r="A1859" t="s">
        <v>2230</v>
      </c>
      <c r="B1859" s="22" t="s">
        <v>82</v>
      </c>
      <c r="C1859" s="24" t="s">
        <v>11</v>
      </c>
      <c r="D1859" s="24" t="s">
        <v>322</v>
      </c>
      <c r="E1859" s="24">
        <v>64</v>
      </c>
      <c r="F1859" t="s">
        <v>381</v>
      </c>
      <c r="G1859" s="24" t="s">
        <v>24</v>
      </c>
      <c r="H1859" s="24" t="s">
        <v>14</v>
      </c>
      <c r="I1859" s="24">
        <v>184500</v>
      </c>
      <c r="J1859" s="24">
        <v>4</v>
      </c>
      <c r="K1859" s="25">
        <f t="shared" si="87"/>
        <v>738000</v>
      </c>
      <c r="L1859" s="26">
        <v>45633</v>
      </c>
      <c r="M1859" s="24" t="str">
        <f t="shared" si="88"/>
        <v>Saturday</v>
      </c>
      <c r="N1859" s="24" t="str">
        <f t="shared" si="89"/>
        <v>Weekend</v>
      </c>
      <c r="Q1859" s="24"/>
      <c r="R1859" s="24"/>
      <c r="S1859" s="27"/>
      <c r="T1859"/>
      <c r="U1859" s="6"/>
      <c r="W1859" s="7"/>
      <c r="Z1859" s="4"/>
    </row>
    <row r="1860" spans="1:26" x14ac:dyDescent="0.3">
      <c r="A1860" t="s">
        <v>2231</v>
      </c>
      <c r="B1860" s="16" t="s">
        <v>301</v>
      </c>
      <c r="C1860" s="18" t="s">
        <v>11</v>
      </c>
      <c r="D1860" s="18" t="s">
        <v>323</v>
      </c>
      <c r="E1860" s="18">
        <v>40</v>
      </c>
      <c r="F1860" t="s">
        <v>370</v>
      </c>
      <c r="G1860" s="18" t="s">
        <v>17</v>
      </c>
      <c r="H1860" s="18" t="s">
        <v>18</v>
      </c>
      <c r="I1860" s="18">
        <v>12300</v>
      </c>
      <c r="J1860" s="18">
        <v>2</v>
      </c>
      <c r="K1860" s="19">
        <f t="shared" si="87"/>
        <v>24600</v>
      </c>
      <c r="L1860" s="20">
        <v>45635</v>
      </c>
      <c r="M1860" s="18" t="str">
        <f t="shared" si="88"/>
        <v>Monday</v>
      </c>
      <c r="N1860" s="18" t="str">
        <f t="shared" si="89"/>
        <v>Weekday</v>
      </c>
      <c r="Q1860" s="18"/>
      <c r="R1860" s="18"/>
      <c r="S1860" s="21"/>
      <c r="T1860"/>
      <c r="U1860" s="6"/>
      <c r="W1860" s="7"/>
      <c r="Z1860" s="4"/>
    </row>
    <row r="1861" spans="1:26" x14ac:dyDescent="0.3">
      <c r="A1861" t="s">
        <v>2232</v>
      </c>
      <c r="B1861" s="22" t="s">
        <v>306</v>
      </c>
      <c r="C1861" s="24" t="s">
        <v>366</v>
      </c>
      <c r="D1861" s="24" t="s">
        <v>323</v>
      </c>
      <c r="E1861" s="24">
        <v>35</v>
      </c>
      <c r="F1861" t="s">
        <v>370</v>
      </c>
      <c r="G1861" s="24" t="s">
        <v>26</v>
      </c>
      <c r="H1861" s="24" t="s">
        <v>27</v>
      </c>
      <c r="I1861" s="24">
        <v>24600</v>
      </c>
      <c r="J1861" s="24">
        <v>5</v>
      </c>
      <c r="K1861" s="25">
        <f t="shared" si="87"/>
        <v>123000</v>
      </c>
      <c r="L1861" s="26">
        <v>45435</v>
      </c>
      <c r="M1861" s="24" t="str">
        <f t="shared" si="88"/>
        <v>Thursday</v>
      </c>
      <c r="N1861" s="24" t="str">
        <f t="shared" si="89"/>
        <v>Weekday</v>
      </c>
      <c r="Q1861" s="24"/>
      <c r="R1861" s="24"/>
      <c r="S1861" s="27"/>
      <c r="T1861"/>
      <c r="U1861" s="6"/>
      <c r="W1861" s="7"/>
      <c r="Z1861" s="4"/>
    </row>
    <row r="1862" spans="1:26" x14ac:dyDescent="0.3">
      <c r="A1862" t="s">
        <v>2233</v>
      </c>
      <c r="B1862" s="16" t="s">
        <v>34</v>
      </c>
      <c r="C1862" s="18" t="s">
        <v>20</v>
      </c>
      <c r="D1862" s="18" t="s">
        <v>323</v>
      </c>
      <c r="E1862" s="18">
        <v>49</v>
      </c>
      <c r="F1862" t="s">
        <v>373</v>
      </c>
      <c r="G1862" s="18" t="s">
        <v>26</v>
      </c>
      <c r="H1862" s="18" t="s">
        <v>27</v>
      </c>
      <c r="I1862" s="18">
        <v>24600</v>
      </c>
      <c r="J1862" s="18">
        <v>5</v>
      </c>
      <c r="K1862" s="19">
        <f t="shared" si="87"/>
        <v>123000</v>
      </c>
      <c r="L1862" s="20">
        <v>45506</v>
      </c>
      <c r="M1862" s="18" t="str">
        <f t="shared" si="88"/>
        <v>Friday</v>
      </c>
      <c r="N1862" s="18" t="str">
        <f t="shared" si="89"/>
        <v>Weekend</v>
      </c>
      <c r="Q1862" s="18"/>
      <c r="R1862" s="18"/>
      <c r="S1862" s="21"/>
      <c r="T1862"/>
      <c r="U1862" s="6"/>
      <c r="W1862" s="7"/>
      <c r="Z1862" s="4"/>
    </row>
    <row r="1863" spans="1:26" x14ac:dyDescent="0.3">
      <c r="A1863" t="s">
        <v>2234</v>
      </c>
      <c r="B1863" s="22" t="s">
        <v>156</v>
      </c>
      <c r="C1863" s="24" t="s">
        <v>20</v>
      </c>
      <c r="D1863" s="24" t="s">
        <v>326</v>
      </c>
      <c r="E1863" s="24">
        <v>23</v>
      </c>
      <c r="F1863" t="s">
        <v>381</v>
      </c>
      <c r="G1863" s="24" t="s">
        <v>17</v>
      </c>
      <c r="H1863" s="24" t="s">
        <v>18</v>
      </c>
      <c r="I1863" s="24">
        <v>12300</v>
      </c>
      <c r="J1863" s="24">
        <v>1</v>
      </c>
      <c r="K1863" s="25">
        <f t="shared" si="87"/>
        <v>12300</v>
      </c>
      <c r="L1863" s="26">
        <v>45463</v>
      </c>
      <c r="M1863" s="24" t="str">
        <f t="shared" si="88"/>
        <v>Thursday</v>
      </c>
      <c r="N1863" s="24" t="str">
        <f t="shared" si="89"/>
        <v>Weekday</v>
      </c>
      <c r="Q1863" s="24"/>
      <c r="R1863" s="24"/>
      <c r="S1863" s="27"/>
      <c r="T1863"/>
      <c r="U1863" s="6"/>
      <c r="W1863" s="7"/>
      <c r="Z1863" s="4"/>
    </row>
    <row r="1864" spans="1:26" x14ac:dyDescent="0.3">
      <c r="A1864" t="s">
        <v>2235</v>
      </c>
      <c r="B1864" s="16" t="s">
        <v>164</v>
      </c>
      <c r="C1864" s="18" t="s">
        <v>11</v>
      </c>
      <c r="D1864" s="18" t="s">
        <v>327</v>
      </c>
      <c r="E1864" s="18">
        <v>62</v>
      </c>
      <c r="F1864" t="s">
        <v>375</v>
      </c>
      <c r="G1864" s="18" t="s">
        <v>13</v>
      </c>
      <c r="H1864" s="18" t="s">
        <v>14</v>
      </c>
      <c r="I1864" s="18">
        <v>36900</v>
      </c>
      <c r="J1864" s="18">
        <v>4</v>
      </c>
      <c r="K1864" s="19">
        <f t="shared" si="87"/>
        <v>147600</v>
      </c>
      <c r="L1864" s="20">
        <v>45507</v>
      </c>
      <c r="M1864" s="18" t="str">
        <f t="shared" si="88"/>
        <v>Saturday</v>
      </c>
      <c r="N1864" s="18" t="str">
        <f t="shared" si="89"/>
        <v>Weekend</v>
      </c>
      <c r="Q1864" s="18"/>
      <c r="R1864" s="18"/>
      <c r="S1864" s="21"/>
      <c r="T1864"/>
      <c r="U1864" s="6"/>
      <c r="W1864" s="7"/>
      <c r="Z1864" s="4"/>
    </row>
    <row r="1865" spans="1:26" x14ac:dyDescent="0.3">
      <c r="A1865" t="s">
        <v>2236</v>
      </c>
      <c r="B1865" s="22" t="s">
        <v>224</v>
      </c>
      <c r="C1865" s="24" t="s">
        <v>11</v>
      </c>
      <c r="D1865" s="24" t="s">
        <v>323</v>
      </c>
      <c r="E1865" s="24">
        <v>67</v>
      </c>
      <c r="F1865" t="s">
        <v>381</v>
      </c>
      <c r="G1865" s="24" t="s">
        <v>32</v>
      </c>
      <c r="H1865" s="24" t="s">
        <v>18</v>
      </c>
      <c r="I1865" s="24">
        <v>3690</v>
      </c>
      <c r="J1865" s="24">
        <v>3</v>
      </c>
      <c r="K1865" s="25">
        <f t="shared" si="87"/>
        <v>11070</v>
      </c>
      <c r="L1865" s="26">
        <v>45577</v>
      </c>
      <c r="M1865" s="24" t="str">
        <f t="shared" si="88"/>
        <v>Saturday</v>
      </c>
      <c r="N1865" s="24" t="str">
        <f t="shared" si="89"/>
        <v>Weekend</v>
      </c>
      <c r="Q1865" s="24"/>
      <c r="R1865" s="24"/>
      <c r="S1865" s="27"/>
      <c r="T1865"/>
      <c r="U1865" s="6"/>
      <c r="W1865" s="7"/>
      <c r="Z1865" s="4"/>
    </row>
    <row r="1866" spans="1:26" x14ac:dyDescent="0.3">
      <c r="A1866" t="s">
        <v>2237</v>
      </c>
      <c r="B1866" s="16" t="s">
        <v>81</v>
      </c>
      <c r="C1866" s="18" t="s">
        <v>366</v>
      </c>
      <c r="D1866" s="18" t="s">
        <v>322</v>
      </c>
      <c r="E1866" s="18">
        <v>52</v>
      </c>
      <c r="F1866" t="s">
        <v>375</v>
      </c>
      <c r="G1866" s="18" t="s">
        <v>13</v>
      </c>
      <c r="H1866" s="18" t="s">
        <v>14</v>
      </c>
      <c r="I1866" s="18">
        <v>36900</v>
      </c>
      <c r="J1866" s="18">
        <v>3</v>
      </c>
      <c r="K1866" s="19">
        <f t="shared" si="87"/>
        <v>110700</v>
      </c>
      <c r="L1866" s="20">
        <v>45395</v>
      </c>
      <c r="M1866" s="18" t="str">
        <f t="shared" si="88"/>
        <v>Saturday</v>
      </c>
      <c r="N1866" s="18" t="str">
        <f t="shared" si="89"/>
        <v>Weekend</v>
      </c>
      <c r="Q1866" s="18"/>
      <c r="R1866" s="18"/>
      <c r="S1866" s="21"/>
      <c r="T1866"/>
      <c r="U1866" s="6"/>
      <c r="W1866" s="7"/>
      <c r="Z1866" s="4"/>
    </row>
    <row r="1867" spans="1:26" x14ac:dyDescent="0.3">
      <c r="A1867" t="s">
        <v>2238</v>
      </c>
      <c r="B1867" s="22" t="s">
        <v>144</v>
      </c>
      <c r="C1867" s="24" t="s">
        <v>20</v>
      </c>
      <c r="D1867" s="24" t="s">
        <v>323</v>
      </c>
      <c r="E1867" s="24">
        <v>29</v>
      </c>
      <c r="F1867" t="s">
        <v>375</v>
      </c>
      <c r="G1867" s="24" t="s">
        <v>26</v>
      </c>
      <c r="H1867" s="24" t="s">
        <v>27</v>
      </c>
      <c r="I1867" s="24">
        <v>24600</v>
      </c>
      <c r="J1867" s="24">
        <v>5</v>
      </c>
      <c r="K1867" s="25">
        <f t="shared" si="87"/>
        <v>123000</v>
      </c>
      <c r="L1867" s="26">
        <v>45502</v>
      </c>
      <c r="M1867" s="24" t="str">
        <f t="shared" si="88"/>
        <v>Monday</v>
      </c>
      <c r="N1867" s="24" t="str">
        <f t="shared" si="89"/>
        <v>Weekday</v>
      </c>
      <c r="Q1867" s="24"/>
      <c r="R1867" s="24"/>
      <c r="S1867" s="27"/>
      <c r="T1867"/>
      <c r="U1867" s="6"/>
      <c r="W1867" s="7"/>
      <c r="Z1867" s="4"/>
    </row>
    <row r="1868" spans="1:26" x14ac:dyDescent="0.3">
      <c r="A1868" t="s">
        <v>2239</v>
      </c>
      <c r="B1868" s="16" t="s">
        <v>187</v>
      </c>
      <c r="C1868" s="18" t="s">
        <v>11</v>
      </c>
      <c r="D1868" s="18" t="s">
        <v>324</v>
      </c>
      <c r="E1868" s="18">
        <v>68</v>
      </c>
      <c r="F1868" t="s">
        <v>370</v>
      </c>
      <c r="G1868" s="18" t="s">
        <v>26</v>
      </c>
      <c r="H1868" s="18" t="s">
        <v>27</v>
      </c>
      <c r="I1868" s="18">
        <v>24600</v>
      </c>
      <c r="J1868" s="18">
        <v>5</v>
      </c>
      <c r="K1868" s="19">
        <f t="shared" si="87"/>
        <v>123000</v>
      </c>
      <c r="L1868" s="20">
        <v>45511</v>
      </c>
      <c r="M1868" s="18" t="str">
        <f t="shared" si="88"/>
        <v>Wednesday</v>
      </c>
      <c r="N1868" s="18" t="str">
        <f t="shared" si="89"/>
        <v>Weekday</v>
      </c>
      <c r="Q1868" s="18"/>
      <c r="R1868" s="18"/>
      <c r="S1868" s="21"/>
      <c r="T1868"/>
      <c r="U1868" s="6"/>
      <c r="W1868" s="7"/>
      <c r="Z1868" s="4"/>
    </row>
    <row r="1869" spans="1:26" x14ac:dyDescent="0.3">
      <c r="A1869" t="s">
        <v>2240</v>
      </c>
      <c r="B1869" s="22" t="s">
        <v>282</v>
      </c>
      <c r="C1869" s="24" t="s">
        <v>11</v>
      </c>
      <c r="D1869" s="24" t="s">
        <v>325</v>
      </c>
      <c r="E1869" s="24">
        <v>26</v>
      </c>
      <c r="F1869" t="s">
        <v>381</v>
      </c>
      <c r="G1869" s="24" t="s">
        <v>26</v>
      </c>
      <c r="H1869" s="24" t="s">
        <v>27</v>
      </c>
      <c r="I1869" s="24">
        <v>24600</v>
      </c>
      <c r="J1869" s="24">
        <v>5</v>
      </c>
      <c r="K1869" s="25">
        <f t="shared" si="87"/>
        <v>123000</v>
      </c>
      <c r="L1869" s="26">
        <v>45567</v>
      </c>
      <c r="M1869" s="24" t="str">
        <f t="shared" si="88"/>
        <v>Wednesday</v>
      </c>
      <c r="N1869" s="24" t="str">
        <f t="shared" si="89"/>
        <v>Weekday</v>
      </c>
      <c r="Q1869" s="24"/>
      <c r="R1869" s="24"/>
      <c r="S1869" s="27"/>
      <c r="T1869"/>
      <c r="U1869" s="6"/>
      <c r="W1869" s="7"/>
      <c r="Z1869" s="4"/>
    </row>
    <row r="1870" spans="1:26" x14ac:dyDescent="0.3">
      <c r="A1870" t="s">
        <v>2241</v>
      </c>
      <c r="B1870" s="16" t="s">
        <v>152</v>
      </c>
      <c r="C1870" s="18" t="s">
        <v>20</v>
      </c>
      <c r="D1870" s="18" t="s">
        <v>327</v>
      </c>
      <c r="E1870" s="18">
        <v>36</v>
      </c>
      <c r="F1870" t="s">
        <v>373</v>
      </c>
      <c r="G1870" s="18" t="s">
        <v>31</v>
      </c>
      <c r="H1870" s="18" t="s">
        <v>18</v>
      </c>
      <c r="I1870" s="18">
        <v>6150</v>
      </c>
      <c r="J1870" s="18">
        <v>3</v>
      </c>
      <c r="K1870" s="19">
        <f t="shared" si="87"/>
        <v>18450</v>
      </c>
      <c r="L1870" s="20">
        <v>45406</v>
      </c>
      <c r="M1870" s="18" t="str">
        <f t="shared" si="88"/>
        <v>Wednesday</v>
      </c>
      <c r="N1870" s="18" t="str">
        <f t="shared" si="89"/>
        <v>Weekday</v>
      </c>
      <c r="Q1870" s="18"/>
      <c r="R1870" s="18"/>
      <c r="S1870" s="21"/>
      <c r="T1870"/>
      <c r="U1870" s="6"/>
      <c r="W1870" s="7"/>
      <c r="Z1870" s="4"/>
    </row>
    <row r="1871" spans="1:26" x14ac:dyDescent="0.3">
      <c r="A1871" t="s">
        <v>2242</v>
      </c>
      <c r="B1871" s="22" t="s">
        <v>106</v>
      </c>
      <c r="C1871" s="24" t="s">
        <v>11</v>
      </c>
      <c r="D1871" s="24" t="s">
        <v>322</v>
      </c>
      <c r="E1871" s="24">
        <v>69</v>
      </c>
      <c r="F1871" t="s">
        <v>381</v>
      </c>
      <c r="G1871" s="24" t="s">
        <v>13</v>
      </c>
      <c r="H1871" s="24" t="s">
        <v>14</v>
      </c>
      <c r="I1871" s="24">
        <v>36900</v>
      </c>
      <c r="J1871" s="24">
        <v>3</v>
      </c>
      <c r="K1871" s="25">
        <f t="shared" si="87"/>
        <v>110700</v>
      </c>
      <c r="L1871" s="26">
        <v>45343</v>
      </c>
      <c r="M1871" s="24" t="str">
        <f t="shared" si="88"/>
        <v>Wednesday</v>
      </c>
      <c r="N1871" s="24" t="str">
        <f t="shared" si="89"/>
        <v>Weekday</v>
      </c>
      <c r="Q1871" s="24"/>
      <c r="R1871" s="24"/>
      <c r="S1871" s="27"/>
      <c r="T1871"/>
      <c r="U1871" s="6"/>
      <c r="W1871" s="7"/>
      <c r="Z1871" s="4"/>
    </row>
    <row r="1872" spans="1:26" x14ac:dyDescent="0.3">
      <c r="A1872" t="s">
        <v>2243</v>
      </c>
      <c r="B1872" s="16" t="s">
        <v>180</v>
      </c>
      <c r="C1872" s="18" t="s">
        <v>11</v>
      </c>
      <c r="D1872" s="18" t="s">
        <v>325</v>
      </c>
      <c r="E1872" s="18">
        <v>30</v>
      </c>
      <c r="F1872" t="s">
        <v>381</v>
      </c>
      <c r="G1872" s="18" t="s">
        <v>17</v>
      </c>
      <c r="H1872" s="18" t="s">
        <v>18</v>
      </c>
      <c r="I1872" s="18">
        <v>12300</v>
      </c>
      <c r="J1872" s="18">
        <v>5</v>
      </c>
      <c r="K1872" s="19">
        <f t="shared" si="87"/>
        <v>61500</v>
      </c>
      <c r="L1872" s="20">
        <v>45403</v>
      </c>
      <c r="M1872" s="18" t="str">
        <f t="shared" si="88"/>
        <v>Sunday</v>
      </c>
      <c r="N1872" s="18" t="str">
        <f t="shared" si="89"/>
        <v>Weekday</v>
      </c>
      <c r="Q1872" s="18"/>
      <c r="R1872" s="18"/>
      <c r="S1872" s="21"/>
      <c r="T1872"/>
      <c r="U1872" s="6"/>
      <c r="W1872" s="7"/>
      <c r="Z1872" s="4"/>
    </row>
    <row r="1873" spans="1:26" x14ac:dyDescent="0.3">
      <c r="A1873" t="s">
        <v>2244</v>
      </c>
      <c r="B1873" s="22" t="s">
        <v>157</v>
      </c>
      <c r="C1873" s="24" t="s">
        <v>11</v>
      </c>
      <c r="D1873" s="24" t="s">
        <v>322</v>
      </c>
      <c r="E1873" s="24">
        <v>60</v>
      </c>
      <c r="F1873" t="s">
        <v>373</v>
      </c>
      <c r="G1873" s="24" t="s">
        <v>26</v>
      </c>
      <c r="H1873" s="24" t="s">
        <v>27</v>
      </c>
      <c r="I1873" s="24">
        <v>24600</v>
      </c>
      <c r="J1873" s="24">
        <v>1</v>
      </c>
      <c r="K1873" s="25">
        <f t="shared" si="87"/>
        <v>24600</v>
      </c>
      <c r="L1873" s="26">
        <v>45330</v>
      </c>
      <c r="M1873" s="24" t="str">
        <f t="shared" si="88"/>
        <v>Thursday</v>
      </c>
      <c r="N1873" s="24" t="str">
        <f t="shared" si="89"/>
        <v>Weekday</v>
      </c>
      <c r="Q1873" s="24"/>
      <c r="R1873" s="24"/>
      <c r="S1873" s="27"/>
      <c r="T1873"/>
      <c r="U1873" s="6"/>
      <c r="W1873" s="7"/>
      <c r="Z1873" s="4"/>
    </row>
    <row r="1874" spans="1:26" x14ac:dyDescent="0.3">
      <c r="A1874" t="s">
        <v>2245</v>
      </c>
      <c r="B1874" s="16" t="s">
        <v>103</v>
      </c>
      <c r="C1874" s="18" t="s">
        <v>366</v>
      </c>
      <c r="D1874" s="18" t="s">
        <v>326</v>
      </c>
      <c r="E1874" s="18">
        <v>51</v>
      </c>
      <c r="F1874" t="s">
        <v>373</v>
      </c>
      <c r="G1874" s="18" t="s">
        <v>24</v>
      </c>
      <c r="H1874" s="18" t="s">
        <v>14</v>
      </c>
      <c r="I1874" s="18">
        <v>184500</v>
      </c>
      <c r="J1874" s="18">
        <v>4</v>
      </c>
      <c r="K1874" s="19">
        <f t="shared" si="87"/>
        <v>738000</v>
      </c>
      <c r="L1874" s="20">
        <v>45467</v>
      </c>
      <c r="M1874" s="18" t="str">
        <f t="shared" si="88"/>
        <v>Monday</v>
      </c>
      <c r="N1874" s="18" t="str">
        <f t="shared" si="89"/>
        <v>Weekday</v>
      </c>
      <c r="Q1874" s="18"/>
      <c r="R1874" s="18"/>
      <c r="S1874" s="21"/>
      <c r="T1874"/>
      <c r="U1874" s="6"/>
      <c r="W1874" s="7"/>
      <c r="Z1874" s="4"/>
    </row>
    <row r="1875" spans="1:26" x14ac:dyDescent="0.3">
      <c r="A1875" t="s">
        <v>2246</v>
      </c>
      <c r="B1875" s="22" t="s">
        <v>221</v>
      </c>
      <c r="C1875" s="24" t="s">
        <v>20</v>
      </c>
      <c r="D1875" s="24" t="s">
        <v>323</v>
      </c>
      <c r="E1875" s="24">
        <v>41</v>
      </c>
      <c r="F1875" t="s">
        <v>381</v>
      </c>
      <c r="G1875" s="24" t="s">
        <v>31</v>
      </c>
      <c r="H1875" s="24" t="s">
        <v>18</v>
      </c>
      <c r="I1875" s="24">
        <v>6150</v>
      </c>
      <c r="J1875" s="24">
        <v>5</v>
      </c>
      <c r="K1875" s="25">
        <f t="shared" si="87"/>
        <v>30750</v>
      </c>
      <c r="L1875" s="26">
        <v>45543</v>
      </c>
      <c r="M1875" s="24" t="str">
        <f t="shared" si="88"/>
        <v>Sunday</v>
      </c>
      <c r="N1875" s="24" t="str">
        <f t="shared" si="89"/>
        <v>Weekday</v>
      </c>
      <c r="Q1875" s="24"/>
      <c r="R1875" s="24"/>
      <c r="S1875" s="27"/>
      <c r="T1875"/>
      <c r="U1875" s="6"/>
      <c r="W1875" s="7"/>
      <c r="Z1875" s="4"/>
    </row>
    <row r="1876" spans="1:26" x14ac:dyDescent="0.3">
      <c r="A1876" t="s">
        <v>2247</v>
      </c>
      <c r="B1876" s="16" t="s">
        <v>194</v>
      </c>
      <c r="C1876" s="18" t="s">
        <v>11</v>
      </c>
      <c r="D1876" s="18" t="s">
        <v>323</v>
      </c>
      <c r="E1876" s="18">
        <v>28</v>
      </c>
      <c r="F1876" t="s">
        <v>373</v>
      </c>
      <c r="G1876" s="18" t="s">
        <v>26</v>
      </c>
      <c r="H1876" s="18" t="s">
        <v>27</v>
      </c>
      <c r="I1876" s="18">
        <v>24600</v>
      </c>
      <c r="J1876" s="18">
        <v>5</v>
      </c>
      <c r="K1876" s="19">
        <f t="shared" si="87"/>
        <v>123000</v>
      </c>
      <c r="L1876" s="20">
        <v>45417</v>
      </c>
      <c r="M1876" s="18" t="str">
        <f t="shared" si="88"/>
        <v>Sunday</v>
      </c>
      <c r="N1876" s="18" t="str">
        <f t="shared" si="89"/>
        <v>Weekday</v>
      </c>
      <c r="Q1876" s="18"/>
      <c r="R1876" s="18"/>
      <c r="S1876" s="21"/>
      <c r="T1876"/>
      <c r="U1876" s="6"/>
      <c r="W1876" s="7"/>
      <c r="Z1876" s="4"/>
    </row>
    <row r="1877" spans="1:26" x14ac:dyDescent="0.3">
      <c r="A1877" t="s">
        <v>2248</v>
      </c>
      <c r="B1877" s="22" t="s">
        <v>303</v>
      </c>
      <c r="C1877" s="24" t="s">
        <v>20</v>
      </c>
      <c r="D1877" s="24" t="s">
        <v>322</v>
      </c>
      <c r="E1877" s="24">
        <v>60</v>
      </c>
      <c r="F1877" t="s">
        <v>375</v>
      </c>
      <c r="G1877" s="24" t="s">
        <v>32</v>
      </c>
      <c r="H1877" s="24" t="s">
        <v>18</v>
      </c>
      <c r="I1877" s="24">
        <v>3690</v>
      </c>
      <c r="J1877" s="24">
        <v>2</v>
      </c>
      <c r="K1877" s="25">
        <f t="shared" si="87"/>
        <v>7380</v>
      </c>
      <c r="L1877" s="26">
        <v>45496</v>
      </c>
      <c r="M1877" s="24" t="str">
        <f t="shared" si="88"/>
        <v>Tuesday</v>
      </c>
      <c r="N1877" s="24" t="str">
        <f t="shared" si="89"/>
        <v>Weekday</v>
      </c>
      <c r="Q1877" s="24"/>
      <c r="R1877" s="24"/>
      <c r="S1877" s="27"/>
      <c r="T1877"/>
      <c r="U1877" s="6"/>
      <c r="W1877" s="7"/>
      <c r="Z1877" s="4"/>
    </row>
    <row r="1878" spans="1:26" x14ac:dyDescent="0.3">
      <c r="A1878" t="s">
        <v>2249</v>
      </c>
      <c r="B1878" s="16" t="s">
        <v>294</v>
      </c>
      <c r="C1878" s="18" t="s">
        <v>11</v>
      </c>
      <c r="D1878" s="18" t="s">
        <v>327</v>
      </c>
      <c r="E1878" s="18">
        <v>41</v>
      </c>
      <c r="F1878" t="s">
        <v>370</v>
      </c>
      <c r="G1878" s="18" t="s">
        <v>17</v>
      </c>
      <c r="H1878" s="18" t="s">
        <v>18</v>
      </c>
      <c r="I1878" s="18">
        <v>12300</v>
      </c>
      <c r="J1878" s="18">
        <v>4</v>
      </c>
      <c r="K1878" s="19">
        <f t="shared" si="87"/>
        <v>49200</v>
      </c>
      <c r="L1878" s="20">
        <v>45540</v>
      </c>
      <c r="M1878" s="18" t="str">
        <f t="shared" si="88"/>
        <v>Thursday</v>
      </c>
      <c r="N1878" s="18" t="str">
        <f t="shared" si="89"/>
        <v>Weekday</v>
      </c>
      <c r="Q1878" s="18"/>
      <c r="R1878" s="18"/>
      <c r="S1878" s="21"/>
      <c r="T1878"/>
      <c r="U1878" s="6"/>
      <c r="W1878" s="7"/>
      <c r="Z1878" s="4"/>
    </row>
    <row r="1879" spans="1:26" x14ac:dyDescent="0.3">
      <c r="A1879" t="s">
        <v>2250</v>
      </c>
      <c r="B1879" s="22" t="s">
        <v>315</v>
      </c>
      <c r="C1879" s="24" t="s">
        <v>11</v>
      </c>
      <c r="D1879" s="24" t="s">
        <v>322</v>
      </c>
      <c r="E1879" s="24">
        <v>20</v>
      </c>
      <c r="F1879" t="s">
        <v>373</v>
      </c>
      <c r="G1879" s="24" t="s">
        <v>17</v>
      </c>
      <c r="H1879" s="24" t="s">
        <v>18</v>
      </c>
      <c r="I1879" s="24">
        <v>12300</v>
      </c>
      <c r="J1879" s="24">
        <v>3</v>
      </c>
      <c r="K1879" s="25">
        <f t="shared" si="87"/>
        <v>36900</v>
      </c>
      <c r="L1879" s="26">
        <v>45382</v>
      </c>
      <c r="M1879" s="24" t="str">
        <f t="shared" si="88"/>
        <v>Sunday</v>
      </c>
      <c r="N1879" s="24" t="str">
        <f t="shared" si="89"/>
        <v>Weekday</v>
      </c>
      <c r="Q1879" s="24"/>
      <c r="R1879" s="24"/>
      <c r="S1879" s="27"/>
      <c r="T1879"/>
      <c r="U1879" s="6"/>
      <c r="W1879" s="7"/>
      <c r="Z1879" s="4"/>
    </row>
    <row r="1880" spans="1:26" x14ac:dyDescent="0.3">
      <c r="A1880" t="s">
        <v>2251</v>
      </c>
      <c r="B1880" s="16" t="s">
        <v>86</v>
      </c>
      <c r="C1880" s="18" t="s">
        <v>11</v>
      </c>
      <c r="D1880" s="18" t="s">
        <v>326</v>
      </c>
      <c r="E1880" s="18">
        <v>28</v>
      </c>
      <c r="F1880" t="s">
        <v>375</v>
      </c>
      <c r="G1880" s="18" t="s">
        <v>17</v>
      </c>
      <c r="H1880" s="18" t="s">
        <v>18</v>
      </c>
      <c r="I1880" s="18">
        <v>12300</v>
      </c>
      <c r="J1880" s="18">
        <v>3</v>
      </c>
      <c r="K1880" s="19">
        <f t="shared" si="87"/>
        <v>36900</v>
      </c>
      <c r="L1880" s="20">
        <v>45406</v>
      </c>
      <c r="M1880" s="18" t="str">
        <f t="shared" si="88"/>
        <v>Wednesday</v>
      </c>
      <c r="N1880" s="18" t="str">
        <f t="shared" si="89"/>
        <v>Weekday</v>
      </c>
      <c r="Q1880" s="18"/>
      <c r="R1880" s="18"/>
      <c r="S1880" s="21"/>
      <c r="T1880"/>
      <c r="U1880" s="6"/>
      <c r="W1880" s="7"/>
      <c r="Z1880" s="4"/>
    </row>
    <row r="1881" spans="1:26" x14ac:dyDescent="0.3">
      <c r="A1881" t="s">
        <v>2252</v>
      </c>
      <c r="B1881" s="22" t="s">
        <v>40</v>
      </c>
      <c r="C1881" s="24" t="s">
        <v>11</v>
      </c>
      <c r="D1881" s="24" t="s">
        <v>323</v>
      </c>
      <c r="E1881" s="24">
        <v>57</v>
      </c>
      <c r="F1881" t="s">
        <v>370</v>
      </c>
      <c r="G1881" s="24" t="s">
        <v>42</v>
      </c>
      <c r="H1881" s="24" t="s">
        <v>14</v>
      </c>
      <c r="I1881" s="24">
        <v>98400</v>
      </c>
      <c r="J1881" s="24">
        <v>3</v>
      </c>
      <c r="K1881" s="25">
        <f t="shared" si="87"/>
        <v>295200</v>
      </c>
      <c r="L1881" s="26">
        <v>45549</v>
      </c>
      <c r="M1881" s="24" t="str">
        <f t="shared" si="88"/>
        <v>Saturday</v>
      </c>
      <c r="N1881" s="24" t="str">
        <f t="shared" si="89"/>
        <v>Weekend</v>
      </c>
      <c r="Q1881" s="24"/>
      <c r="R1881" s="24"/>
      <c r="S1881" s="27"/>
      <c r="T1881"/>
      <c r="U1881" s="6"/>
      <c r="W1881" s="7"/>
      <c r="Z1881" s="4"/>
    </row>
    <row r="1882" spans="1:26" x14ac:dyDescent="0.3">
      <c r="A1882" t="s">
        <v>2253</v>
      </c>
      <c r="B1882" s="16" t="s">
        <v>181</v>
      </c>
      <c r="C1882" s="18" t="s">
        <v>20</v>
      </c>
      <c r="D1882" s="18" t="s">
        <v>325</v>
      </c>
      <c r="E1882" s="18">
        <v>61</v>
      </c>
      <c r="F1882" t="s">
        <v>373</v>
      </c>
      <c r="G1882" s="18" t="s">
        <v>26</v>
      </c>
      <c r="H1882" s="18" t="s">
        <v>27</v>
      </c>
      <c r="I1882" s="18">
        <v>24600</v>
      </c>
      <c r="J1882" s="18">
        <v>3</v>
      </c>
      <c r="K1882" s="19">
        <f t="shared" si="87"/>
        <v>73800</v>
      </c>
      <c r="L1882" s="20">
        <v>45600</v>
      </c>
      <c r="M1882" s="18" t="str">
        <f t="shared" si="88"/>
        <v>Monday</v>
      </c>
      <c r="N1882" s="18" t="str">
        <f t="shared" si="89"/>
        <v>Weekday</v>
      </c>
      <c r="Q1882" s="18"/>
      <c r="R1882" s="18"/>
      <c r="S1882" s="21"/>
      <c r="T1882"/>
      <c r="U1882" s="6"/>
      <c r="W1882" s="7"/>
      <c r="Z1882" s="4"/>
    </row>
    <row r="1883" spans="1:26" x14ac:dyDescent="0.3">
      <c r="A1883" t="s">
        <v>2254</v>
      </c>
      <c r="B1883" s="22" t="s">
        <v>93</v>
      </c>
      <c r="C1883" s="24" t="s">
        <v>366</v>
      </c>
      <c r="D1883" s="24" t="s">
        <v>327</v>
      </c>
      <c r="E1883" s="24">
        <v>54</v>
      </c>
      <c r="F1883" t="s">
        <v>370</v>
      </c>
      <c r="G1883" s="24" t="s">
        <v>17</v>
      </c>
      <c r="H1883" s="24" t="s">
        <v>18</v>
      </c>
      <c r="I1883" s="24">
        <v>12300</v>
      </c>
      <c r="J1883" s="24">
        <v>1</v>
      </c>
      <c r="K1883" s="25">
        <f t="shared" si="87"/>
        <v>12300</v>
      </c>
      <c r="L1883" s="26">
        <v>45524</v>
      </c>
      <c r="M1883" s="24" t="str">
        <f t="shared" si="88"/>
        <v>Tuesday</v>
      </c>
      <c r="N1883" s="24" t="str">
        <f t="shared" si="89"/>
        <v>Weekday</v>
      </c>
      <c r="Q1883" s="24"/>
      <c r="R1883" s="24"/>
      <c r="S1883" s="27"/>
      <c r="T1883"/>
      <c r="U1883" s="6"/>
      <c r="W1883" s="7"/>
      <c r="Z1883" s="4"/>
    </row>
    <row r="1884" spans="1:26" x14ac:dyDescent="0.3">
      <c r="A1884" t="s">
        <v>2255</v>
      </c>
      <c r="B1884" s="16" t="s">
        <v>162</v>
      </c>
      <c r="C1884" s="18" t="s">
        <v>11</v>
      </c>
      <c r="D1884" s="18" t="s">
        <v>329</v>
      </c>
      <c r="E1884" s="18">
        <v>27</v>
      </c>
      <c r="F1884" t="s">
        <v>381</v>
      </c>
      <c r="G1884" s="18" t="s">
        <v>31</v>
      </c>
      <c r="H1884" s="18" t="s">
        <v>18</v>
      </c>
      <c r="I1884" s="18">
        <v>6150</v>
      </c>
      <c r="J1884" s="18">
        <v>5</v>
      </c>
      <c r="K1884" s="19">
        <f t="shared" si="87"/>
        <v>30750</v>
      </c>
      <c r="L1884" s="20">
        <v>45359</v>
      </c>
      <c r="M1884" s="18" t="str">
        <f t="shared" si="88"/>
        <v>Friday</v>
      </c>
      <c r="N1884" s="18" t="str">
        <f t="shared" si="89"/>
        <v>Weekend</v>
      </c>
      <c r="Q1884" s="18"/>
      <c r="R1884" s="18"/>
      <c r="S1884" s="21"/>
      <c r="T1884"/>
      <c r="U1884" s="6"/>
      <c r="W1884" s="7"/>
      <c r="Z1884" s="4"/>
    </row>
    <row r="1885" spans="1:26" x14ac:dyDescent="0.3">
      <c r="A1885" t="s">
        <v>2256</v>
      </c>
      <c r="B1885" s="22" t="s">
        <v>144</v>
      </c>
      <c r="C1885" s="24" t="s">
        <v>20</v>
      </c>
      <c r="D1885" s="24" t="s">
        <v>323</v>
      </c>
      <c r="E1885" s="24">
        <v>29</v>
      </c>
      <c r="F1885" t="s">
        <v>373</v>
      </c>
      <c r="G1885" s="24" t="s">
        <v>32</v>
      </c>
      <c r="H1885" s="24" t="s">
        <v>18</v>
      </c>
      <c r="I1885" s="24">
        <v>3690</v>
      </c>
      <c r="J1885" s="24">
        <v>1</v>
      </c>
      <c r="K1885" s="25">
        <f t="shared" si="87"/>
        <v>3690</v>
      </c>
      <c r="L1885" s="26">
        <v>45316</v>
      </c>
      <c r="M1885" s="24" t="str">
        <f t="shared" si="88"/>
        <v>Thursday</v>
      </c>
      <c r="N1885" s="24" t="str">
        <f t="shared" si="89"/>
        <v>Weekday</v>
      </c>
      <c r="Q1885" s="24"/>
      <c r="R1885" s="24"/>
      <c r="S1885" s="27"/>
      <c r="T1885"/>
      <c r="U1885" s="6"/>
      <c r="W1885" s="7"/>
      <c r="Z1885" s="4"/>
    </row>
    <row r="1886" spans="1:26" x14ac:dyDescent="0.3">
      <c r="A1886" t="s">
        <v>2257</v>
      </c>
      <c r="B1886" s="16" t="s">
        <v>270</v>
      </c>
      <c r="C1886" s="18" t="s">
        <v>366</v>
      </c>
      <c r="D1886" s="18" t="s">
        <v>322</v>
      </c>
      <c r="E1886" s="18">
        <v>43</v>
      </c>
      <c r="F1886" t="s">
        <v>375</v>
      </c>
      <c r="G1886" s="18" t="s">
        <v>17</v>
      </c>
      <c r="H1886" s="18" t="s">
        <v>18</v>
      </c>
      <c r="I1886" s="18">
        <v>12300</v>
      </c>
      <c r="J1886" s="18">
        <v>5</v>
      </c>
      <c r="K1886" s="19">
        <f t="shared" si="87"/>
        <v>61500</v>
      </c>
      <c r="L1886" s="20">
        <v>45405</v>
      </c>
      <c r="M1886" s="18" t="str">
        <f t="shared" si="88"/>
        <v>Tuesday</v>
      </c>
      <c r="N1886" s="18" t="str">
        <f t="shared" si="89"/>
        <v>Weekday</v>
      </c>
      <c r="Q1886" s="18"/>
      <c r="R1886" s="18"/>
      <c r="S1886" s="21"/>
      <c r="T1886"/>
      <c r="U1886" s="6"/>
      <c r="W1886" s="7"/>
      <c r="Z1886" s="4"/>
    </row>
    <row r="1887" spans="1:26" x14ac:dyDescent="0.3">
      <c r="A1887" t="s">
        <v>2258</v>
      </c>
      <c r="B1887" s="22" t="s">
        <v>217</v>
      </c>
      <c r="C1887" s="24" t="s">
        <v>11</v>
      </c>
      <c r="D1887" s="24" t="s">
        <v>324</v>
      </c>
      <c r="E1887" s="24">
        <v>62</v>
      </c>
      <c r="F1887" t="s">
        <v>375</v>
      </c>
      <c r="G1887" s="24" t="s">
        <v>17</v>
      </c>
      <c r="H1887" s="24" t="s">
        <v>18</v>
      </c>
      <c r="I1887" s="24">
        <v>12300</v>
      </c>
      <c r="J1887" s="24">
        <v>4</v>
      </c>
      <c r="K1887" s="25">
        <f t="shared" si="87"/>
        <v>49200</v>
      </c>
      <c r="L1887" s="26">
        <v>45418</v>
      </c>
      <c r="M1887" s="24" t="str">
        <f t="shared" si="88"/>
        <v>Monday</v>
      </c>
      <c r="N1887" s="24" t="str">
        <f t="shared" si="89"/>
        <v>Weekday</v>
      </c>
      <c r="Q1887" s="24"/>
      <c r="R1887" s="24"/>
      <c r="S1887" s="27"/>
      <c r="T1887"/>
      <c r="U1887" s="6"/>
      <c r="W1887" s="7"/>
      <c r="Z1887" s="4"/>
    </row>
    <row r="1888" spans="1:26" x14ac:dyDescent="0.3">
      <c r="A1888" t="s">
        <v>2259</v>
      </c>
      <c r="B1888" s="16" t="s">
        <v>124</v>
      </c>
      <c r="C1888" s="18" t="s">
        <v>20</v>
      </c>
      <c r="D1888" s="18" t="s">
        <v>326</v>
      </c>
      <c r="E1888" s="18">
        <v>19</v>
      </c>
      <c r="F1888" t="s">
        <v>370</v>
      </c>
      <c r="G1888" s="18" t="s">
        <v>17</v>
      </c>
      <c r="H1888" s="18" t="s">
        <v>18</v>
      </c>
      <c r="I1888" s="18">
        <v>12300</v>
      </c>
      <c r="J1888" s="18">
        <v>1</v>
      </c>
      <c r="K1888" s="19">
        <f t="shared" si="87"/>
        <v>12300</v>
      </c>
      <c r="L1888" s="20">
        <v>45412</v>
      </c>
      <c r="M1888" s="18" t="str">
        <f t="shared" si="88"/>
        <v>Tuesday</v>
      </c>
      <c r="N1888" s="18" t="str">
        <f t="shared" si="89"/>
        <v>Weekday</v>
      </c>
      <c r="Q1888" s="18"/>
      <c r="R1888" s="18"/>
      <c r="S1888" s="21"/>
      <c r="T1888"/>
      <c r="U1888" s="6"/>
      <c r="W1888" s="7"/>
      <c r="Z1888" s="4"/>
    </row>
    <row r="1889" spans="1:26" x14ac:dyDescent="0.3">
      <c r="A1889" t="s">
        <v>2260</v>
      </c>
      <c r="B1889" s="22" t="s">
        <v>164</v>
      </c>
      <c r="C1889" s="24" t="s">
        <v>11</v>
      </c>
      <c r="D1889" s="24" t="s">
        <v>327</v>
      </c>
      <c r="E1889" s="24">
        <v>62</v>
      </c>
      <c r="F1889" t="s">
        <v>375</v>
      </c>
      <c r="G1889" s="24" t="s">
        <v>26</v>
      </c>
      <c r="H1889" s="24" t="s">
        <v>27</v>
      </c>
      <c r="I1889" s="24">
        <v>24600</v>
      </c>
      <c r="J1889" s="24">
        <v>2</v>
      </c>
      <c r="K1889" s="25">
        <f t="shared" si="87"/>
        <v>49200</v>
      </c>
      <c r="L1889" s="26">
        <v>45621</v>
      </c>
      <c r="M1889" s="24" t="str">
        <f t="shared" si="88"/>
        <v>Monday</v>
      </c>
      <c r="N1889" s="24" t="str">
        <f t="shared" si="89"/>
        <v>Weekday</v>
      </c>
      <c r="Q1889" s="24"/>
      <c r="R1889" s="24"/>
      <c r="S1889" s="27"/>
      <c r="T1889"/>
      <c r="U1889" s="6"/>
      <c r="W1889" s="7"/>
      <c r="Z1889" s="4"/>
    </row>
    <row r="1890" spans="1:26" x14ac:dyDescent="0.3">
      <c r="A1890" t="s">
        <v>2261</v>
      </c>
      <c r="B1890" s="16" t="s">
        <v>130</v>
      </c>
      <c r="C1890" s="18" t="s">
        <v>11</v>
      </c>
      <c r="D1890" s="18" t="s">
        <v>322</v>
      </c>
      <c r="E1890" s="18">
        <v>63</v>
      </c>
      <c r="F1890" t="s">
        <v>375</v>
      </c>
      <c r="G1890" s="18" t="s">
        <v>13</v>
      </c>
      <c r="H1890" s="18" t="s">
        <v>14</v>
      </c>
      <c r="I1890" s="18">
        <v>36900</v>
      </c>
      <c r="J1890" s="18">
        <v>2</v>
      </c>
      <c r="K1890" s="19">
        <f t="shared" si="87"/>
        <v>73800</v>
      </c>
      <c r="L1890" s="20">
        <v>45319</v>
      </c>
      <c r="M1890" s="18" t="str">
        <f t="shared" si="88"/>
        <v>Sunday</v>
      </c>
      <c r="N1890" s="18" t="str">
        <f t="shared" si="89"/>
        <v>Weekday</v>
      </c>
      <c r="Q1890" s="18"/>
      <c r="R1890" s="18"/>
      <c r="S1890" s="21"/>
      <c r="T1890"/>
      <c r="U1890" s="6"/>
      <c r="W1890" s="7"/>
      <c r="Z1890" s="4"/>
    </row>
    <row r="1891" spans="1:26" x14ac:dyDescent="0.3">
      <c r="A1891" t="s">
        <v>2262</v>
      </c>
      <c r="B1891" s="22" t="s">
        <v>276</v>
      </c>
      <c r="C1891" s="24" t="s">
        <v>20</v>
      </c>
      <c r="D1891" s="24" t="s">
        <v>324</v>
      </c>
      <c r="E1891" s="24">
        <v>56</v>
      </c>
      <c r="F1891" t="s">
        <v>373</v>
      </c>
      <c r="G1891" s="24" t="s">
        <v>32</v>
      </c>
      <c r="H1891" s="24" t="s">
        <v>18</v>
      </c>
      <c r="I1891" s="24">
        <v>3690</v>
      </c>
      <c r="J1891" s="24">
        <v>3</v>
      </c>
      <c r="K1891" s="25">
        <f t="shared" si="87"/>
        <v>11070</v>
      </c>
      <c r="L1891" s="26">
        <v>45610</v>
      </c>
      <c r="M1891" s="24" t="str">
        <f t="shared" si="88"/>
        <v>Thursday</v>
      </c>
      <c r="N1891" s="24" t="str">
        <f t="shared" si="89"/>
        <v>Weekday</v>
      </c>
      <c r="Q1891" s="24"/>
      <c r="R1891" s="24"/>
      <c r="S1891" s="27"/>
      <c r="T1891"/>
      <c r="U1891" s="6"/>
      <c r="W1891" s="7"/>
      <c r="Z1891" s="4"/>
    </row>
    <row r="1892" spans="1:26" x14ac:dyDescent="0.3">
      <c r="A1892" t="s">
        <v>2263</v>
      </c>
      <c r="B1892" s="16" t="s">
        <v>233</v>
      </c>
      <c r="C1892" s="18" t="s">
        <v>20</v>
      </c>
      <c r="D1892" s="18" t="s">
        <v>327</v>
      </c>
      <c r="E1892" s="18">
        <v>64</v>
      </c>
      <c r="F1892" t="s">
        <v>370</v>
      </c>
      <c r="G1892" s="18" t="s">
        <v>42</v>
      </c>
      <c r="H1892" s="18" t="s">
        <v>14</v>
      </c>
      <c r="I1892" s="18">
        <v>98400</v>
      </c>
      <c r="J1892" s="18">
        <v>1</v>
      </c>
      <c r="K1892" s="19">
        <f t="shared" si="87"/>
        <v>98400</v>
      </c>
      <c r="L1892" s="20">
        <v>45375</v>
      </c>
      <c r="M1892" s="18" t="str">
        <f t="shared" si="88"/>
        <v>Sunday</v>
      </c>
      <c r="N1892" s="18" t="str">
        <f t="shared" si="89"/>
        <v>Weekday</v>
      </c>
      <c r="Q1892" s="18"/>
      <c r="R1892" s="18"/>
      <c r="S1892" s="21"/>
      <c r="T1892"/>
      <c r="U1892" s="6"/>
      <c r="W1892" s="7"/>
      <c r="Z1892" s="4"/>
    </row>
    <row r="1893" spans="1:26" x14ac:dyDescent="0.3">
      <c r="A1893" t="s">
        <v>2264</v>
      </c>
      <c r="B1893" s="22" t="s">
        <v>186</v>
      </c>
      <c r="C1893" s="24" t="s">
        <v>20</v>
      </c>
      <c r="D1893" s="24" t="s">
        <v>324</v>
      </c>
      <c r="E1893" s="24">
        <v>51</v>
      </c>
      <c r="F1893" t="s">
        <v>375</v>
      </c>
      <c r="G1893" s="24" t="s">
        <v>26</v>
      </c>
      <c r="H1893" s="24" t="s">
        <v>27</v>
      </c>
      <c r="I1893" s="24">
        <v>24600</v>
      </c>
      <c r="J1893" s="24">
        <v>5</v>
      </c>
      <c r="K1893" s="25">
        <f t="shared" si="87"/>
        <v>123000</v>
      </c>
      <c r="L1893" s="26">
        <v>45311</v>
      </c>
      <c r="M1893" s="24" t="str">
        <f t="shared" si="88"/>
        <v>Saturday</v>
      </c>
      <c r="N1893" s="24" t="str">
        <f t="shared" si="89"/>
        <v>Weekend</v>
      </c>
      <c r="Q1893" s="24"/>
      <c r="R1893" s="24"/>
      <c r="S1893" s="27"/>
      <c r="T1893"/>
      <c r="U1893" s="6"/>
      <c r="W1893" s="7"/>
      <c r="Z1893" s="4"/>
    </row>
    <row r="1894" spans="1:26" x14ac:dyDescent="0.3">
      <c r="A1894" t="s">
        <v>2265</v>
      </c>
      <c r="B1894" s="16" t="s">
        <v>300</v>
      </c>
      <c r="C1894" s="18" t="s">
        <v>20</v>
      </c>
      <c r="D1894" s="18" t="s">
        <v>324</v>
      </c>
      <c r="E1894" s="18">
        <v>35</v>
      </c>
      <c r="F1894" t="s">
        <v>381</v>
      </c>
      <c r="G1894" s="18" t="s">
        <v>31</v>
      </c>
      <c r="H1894" s="18" t="s">
        <v>18</v>
      </c>
      <c r="I1894" s="18">
        <v>6150</v>
      </c>
      <c r="J1894" s="18">
        <v>1</v>
      </c>
      <c r="K1894" s="19">
        <f t="shared" si="87"/>
        <v>6150</v>
      </c>
      <c r="L1894" s="20">
        <v>45580</v>
      </c>
      <c r="M1894" s="18" t="str">
        <f t="shared" si="88"/>
        <v>Tuesday</v>
      </c>
      <c r="N1894" s="18" t="str">
        <f t="shared" si="89"/>
        <v>Weekday</v>
      </c>
      <c r="Q1894" s="18"/>
      <c r="R1894" s="18"/>
      <c r="S1894" s="21"/>
      <c r="T1894"/>
      <c r="U1894" s="6"/>
      <c r="W1894" s="7"/>
      <c r="Z1894" s="4"/>
    </row>
    <row r="1895" spans="1:26" x14ac:dyDescent="0.3">
      <c r="A1895" t="s">
        <v>2266</v>
      </c>
      <c r="B1895" s="22" t="s">
        <v>47</v>
      </c>
      <c r="C1895" s="24" t="s">
        <v>20</v>
      </c>
      <c r="D1895" s="24" t="s">
        <v>324</v>
      </c>
      <c r="E1895" s="24">
        <v>52</v>
      </c>
      <c r="F1895" t="s">
        <v>373</v>
      </c>
      <c r="G1895" s="24" t="s">
        <v>17</v>
      </c>
      <c r="H1895" s="24" t="s">
        <v>18</v>
      </c>
      <c r="I1895" s="24">
        <v>12300</v>
      </c>
      <c r="J1895" s="24">
        <v>5</v>
      </c>
      <c r="K1895" s="25">
        <f t="shared" si="87"/>
        <v>61500</v>
      </c>
      <c r="L1895" s="26">
        <v>45567</v>
      </c>
      <c r="M1895" s="24" t="str">
        <f t="shared" si="88"/>
        <v>Wednesday</v>
      </c>
      <c r="N1895" s="24" t="str">
        <f t="shared" si="89"/>
        <v>Weekday</v>
      </c>
      <c r="Q1895" s="24"/>
      <c r="R1895" s="24"/>
      <c r="S1895" s="27"/>
      <c r="T1895"/>
      <c r="U1895" s="6"/>
      <c r="W1895" s="7"/>
      <c r="Z1895" s="4"/>
    </row>
    <row r="1896" spans="1:26" x14ac:dyDescent="0.3">
      <c r="A1896" t="s">
        <v>2267</v>
      </c>
      <c r="B1896" s="16" t="s">
        <v>311</v>
      </c>
      <c r="C1896" s="18" t="s">
        <v>11</v>
      </c>
      <c r="D1896" s="18" t="s">
        <v>322</v>
      </c>
      <c r="E1896" s="18">
        <v>21</v>
      </c>
      <c r="F1896" t="s">
        <v>375</v>
      </c>
      <c r="G1896" s="18" t="s">
        <v>26</v>
      </c>
      <c r="H1896" s="18" t="s">
        <v>27</v>
      </c>
      <c r="I1896" s="18">
        <v>24600</v>
      </c>
      <c r="J1896" s="18">
        <v>5</v>
      </c>
      <c r="K1896" s="19">
        <f t="shared" si="87"/>
        <v>123000</v>
      </c>
      <c r="L1896" s="20">
        <v>45603</v>
      </c>
      <c r="M1896" s="18" t="str">
        <f t="shared" si="88"/>
        <v>Thursday</v>
      </c>
      <c r="N1896" s="18" t="str">
        <f t="shared" si="89"/>
        <v>Weekday</v>
      </c>
      <c r="Q1896" s="18"/>
      <c r="R1896" s="18"/>
      <c r="S1896" s="21"/>
      <c r="T1896"/>
      <c r="U1896" s="6"/>
      <c r="W1896" s="7"/>
      <c r="Z1896" s="4"/>
    </row>
    <row r="1897" spans="1:26" x14ac:dyDescent="0.3">
      <c r="A1897" t="s">
        <v>2268</v>
      </c>
      <c r="B1897" s="22" t="s">
        <v>175</v>
      </c>
      <c r="C1897" s="24" t="s">
        <v>20</v>
      </c>
      <c r="D1897" s="24" t="s">
        <v>322</v>
      </c>
      <c r="E1897" s="24">
        <v>60</v>
      </c>
      <c r="F1897" t="s">
        <v>375</v>
      </c>
      <c r="G1897" s="24" t="s">
        <v>26</v>
      </c>
      <c r="H1897" s="24" t="s">
        <v>27</v>
      </c>
      <c r="I1897" s="24">
        <v>24600</v>
      </c>
      <c r="J1897" s="24">
        <v>4</v>
      </c>
      <c r="K1897" s="25">
        <f t="shared" si="87"/>
        <v>98400</v>
      </c>
      <c r="L1897" s="26">
        <v>45409</v>
      </c>
      <c r="M1897" s="24" t="str">
        <f t="shared" si="88"/>
        <v>Saturday</v>
      </c>
      <c r="N1897" s="24" t="str">
        <f t="shared" si="89"/>
        <v>Weekend</v>
      </c>
      <c r="Q1897" s="24"/>
      <c r="R1897" s="24"/>
      <c r="S1897" s="27"/>
      <c r="T1897"/>
      <c r="U1897" s="6"/>
      <c r="W1897" s="7"/>
      <c r="Z1897" s="4"/>
    </row>
    <row r="1898" spans="1:26" x14ac:dyDescent="0.3">
      <c r="A1898" t="s">
        <v>2269</v>
      </c>
      <c r="B1898" s="16" t="s">
        <v>172</v>
      </c>
      <c r="C1898" s="18" t="s">
        <v>20</v>
      </c>
      <c r="D1898" s="18" t="s">
        <v>327</v>
      </c>
      <c r="E1898" s="18">
        <v>57</v>
      </c>
      <c r="F1898" t="s">
        <v>375</v>
      </c>
      <c r="G1898" s="18" t="s">
        <v>26</v>
      </c>
      <c r="H1898" s="18" t="s">
        <v>27</v>
      </c>
      <c r="I1898" s="18">
        <v>24600</v>
      </c>
      <c r="J1898" s="18">
        <v>2</v>
      </c>
      <c r="K1898" s="19">
        <f t="shared" si="87"/>
        <v>49200</v>
      </c>
      <c r="L1898" s="20">
        <v>45565</v>
      </c>
      <c r="M1898" s="18" t="str">
        <f t="shared" si="88"/>
        <v>Monday</v>
      </c>
      <c r="N1898" s="18" t="str">
        <f t="shared" si="89"/>
        <v>Weekday</v>
      </c>
      <c r="Q1898" s="18"/>
      <c r="R1898" s="18"/>
      <c r="S1898" s="21"/>
      <c r="T1898"/>
      <c r="U1898" s="6"/>
      <c r="W1898" s="7"/>
      <c r="Z1898" s="4"/>
    </row>
    <row r="1899" spans="1:26" x14ac:dyDescent="0.3">
      <c r="A1899" t="s">
        <v>2270</v>
      </c>
      <c r="B1899" s="22" t="s">
        <v>53</v>
      </c>
      <c r="C1899" s="24" t="s">
        <v>11</v>
      </c>
      <c r="D1899" s="24" t="s">
        <v>322</v>
      </c>
      <c r="E1899" s="24">
        <v>28</v>
      </c>
      <c r="F1899" t="s">
        <v>373</v>
      </c>
      <c r="G1899" s="24" t="s">
        <v>32</v>
      </c>
      <c r="H1899" s="24" t="s">
        <v>18</v>
      </c>
      <c r="I1899" s="24">
        <v>3690</v>
      </c>
      <c r="J1899" s="24">
        <v>5</v>
      </c>
      <c r="K1899" s="25">
        <f t="shared" si="87"/>
        <v>18450</v>
      </c>
      <c r="L1899" s="26">
        <v>45378</v>
      </c>
      <c r="M1899" s="24" t="str">
        <f t="shared" si="88"/>
        <v>Wednesday</v>
      </c>
      <c r="N1899" s="24" t="str">
        <f t="shared" si="89"/>
        <v>Weekday</v>
      </c>
      <c r="Q1899" s="24"/>
      <c r="R1899" s="24"/>
      <c r="S1899" s="27"/>
      <c r="T1899"/>
      <c r="U1899" s="6"/>
      <c r="W1899" s="7"/>
      <c r="Z1899" s="4"/>
    </row>
    <row r="1900" spans="1:26" x14ac:dyDescent="0.3">
      <c r="A1900" t="s">
        <v>2271</v>
      </c>
      <c r="B1900" s="16" t="s">
        <v>257</v>
      </c>
      <c r="C1900" s="18" t="s">
        <v>11</v>
      </c>
      <c r="D1900" s="18" t="s">
        <v>325</v>
      </c>
      <c r="E1900" s="18">
        <v>39</v>
      </c>
      <c r="F1900" t="s">
        <v>373</v>
      </c>
      <c r="G1900" s="18" t="s">
        <v>13</v>
      </c>
      <c r="H1900" s="18" t="s">
        <v>14</v>
      </c>
      <c r="I1900" s="18">
        <v>36900</v>
      </c>
      <c r="J1900" s="18">
        <v>5</v>
      </c>
      <c r="K1900" s="19">
        <f t="shared" si="87"/>
        <v>184500</v>
      </c>
      <c r="L1900" s="20">
        <v>45492</v>
      </c>
      <c r="M1900" s="18" t="str">
        <f t="shared" si="88"/>
        <v>Friday</v>
      </c>
      <c r="N1900" s="18" t="str">
        <f t="shared" si="89"/>
        <v>Weekend</v>
      </c>
      <c r="Q1900" s="18"/>
      <c r="R1900" s="18"/>
      <c r="S1900" s="21"/>
      <c r="T1900"/>
      <c r="U1900" s="6"/>
      <c r="W1900" s="7"/>
      <c r="Z1900" s="4"/>
    </row>
    <row r="1901" spans="1:26" x14ac:dyDescent="0.3">
      <c r="A1901" t="s">
        <v>2272</v>
      </c>
      <c r="B1901" s="22" t="s">
        <v>305</v>
      </c>
      <c r="C1901" s="24" t="s">
        <v>11</v>
      </c>
      <c r="D1901" s="24" t="s">
        <v>322</v>
      </c>
      <c r="E1901" s="24">
        <v>61</v>
      </c>
      <c r="F1901" t="s">
        <v>370</v>
      </c>
      <c r="G1901" s="24" t="s">
        <v>17</v>
      </c>
      <c r="H1901" s="24" t="s">
        <v>18</v>
      </c>
      <c r="I1901" s="24">
        <v>12300</v>
      </c>
      <c r="J1901" s="24">
        <v>4</v>
      </c>
      <c r="K1901" s="25">
        <f t="shared" si="87"/>
        <v>49200</v>
      </c>
      <c r="L1901" s="26">
        <v>45536</v>
      </c>
      <c r="M1901" s="24" t="str">
        <f t="shared" si="88"/>
        <v>Sunday</v>
      </c>
      <c r="N1901" s="24" t="str">
        <f t="shared" si="89"/>
        <v>Weekday</v>
      </c>
      <c r="Q1901" s="24"/>
      <c r="R1901" s="24"/>
      <c r="S1901" s="27"/>
      <c r="T1901"/>
      <c r="U1901" s="6"/>
      <c r="W1901" s="7"/>
      <c r="Z1901" s="4"/>
    </row>
    <row r="1902" spans="1:26" x14ac:dyDescent="0.3">
      <c r="A1902" t="s">
        <v>2273</v>
      </c>
      <c r="B1902" s="16" t="s">
        <v>117</v>
      </c>
      <c r="C1902" s="18" t="s">
        <v>20</v>
      </c>
      <c r="D1902" s="18" t="s">
        <v>322</v>
      </c>
      <c r="E1902" s="18">
        <v>22</v>
      </c>
      <c r="F1902" t="s">
        <v>373</v>
      </c>
      <c r="G1902" s="18" t="s">
        <v>26</v>
      </c>
      <c r="H1902" s="18" t="s">
        <v>27</v>
      </c>
      <c r="I1902" s="18">
        <v>24600</v>
      </c>
      <c r="J1902" s="18">
        <v>5</v>
      </c>
      <c r="K1902" s="19">
        <f t="shared" si="87"/>
        <v>123000</v>
      </c>
      <c r="L1902" s="20">
        <v>45564</v>
      </c>
      <c r="M1902" s="18" t="str">
        <f t="shared" si="88"/>
        <v>Sunday</v>
      </c>
      <c r="N1902" s="18" t="str">
        <f t="shared" si="89"/>
        <v>Weekday</v>
      </c>
      <c r="Q1902" s="18"/>
      <c r="R1902" s="18"/>
      <c r="S1902" s="21"/>
      <c r="T1902"/>
      <c r="U1902" s="6"/>
      <c r="W1902" s="7"/>
      <c r="Z1902" s="4"/>
    </row>
    <row r="1903" spans="1:26" x14ac:dyDescent="0.3">
      <c r="A1903" t="s">
        <v>2274</v>
      </c>
      <c r="B1903" s="22" t="s">
        <v>258</v>
      </c>
      <c r="C1903" s="24" t="s">
        <v>20</v>
      </c>
      <c r="D1903" s="24" t="s">
        <v>322</v>
      </c>
      <c r="E1903" s="24">
        <v>36</v>
      </c>
      <c r="F1903" t="s">
        <v>375</v>
      </c>
      <c r="G1903" s="24" t="s">
        <v>13</v>
      </c>
      <c r="H1903" s="24" t="s">
        <v>14</v>
      </c>
      <c r="I1903" s="24">
        <v>36900</v>
      </c>
      <c r="J1903" s="24">
        <v>3</v>
      </c>
      <c r="K1903" s="25">
        <f t="shared" si="87"/>
        <v>110700</v>
      </c>
      <c r="L1903" s="26">
        <v>45412</v>
      </c>
      <c r="M1903" s="24" t="str">
        <f t="shared" si="88"/>
        <v>Tuesday</v>
      </c>
      <c r="N1903" s="24" t="str">
        <f t="shared" si="89"/>
        <v>Weekday</v>
      </c>
      <c r="Q1903" s="24"/>
      <c r="R1903" s="24"/>
      <c r="S1903" s="27"/>
      <c r="T1903"/>
      <c r="U1903" s="6"/>
      <c r="W1903" s="7"/>
      <c r="Z1903" s="4"/>
    </row>
    <row r="1904" spans="1:26" x14ac:dyDescent="0.3">
      <c r="A1904" t="s">
        <v>2275</v>
      </c>
      <c r="B1904" s="16" t="s">
        <v>109</v>
      </c>
      <c r="C1904" s="18" t="s">
        <v>366</v>
      </c>
      <c r="D1904" s="18" t="s">
        <v>324</v>
      </c>
      <c r="E1904" s="18">
        <v>26</v>
      </c>
      <c r="F1904" t="s">
        <v>375</v>
      </c>
      <c r="G1904" s="18" t="s">
        <v>32</v>
      </c>
      <c r="H1904" s="18" t="s">
        <v>18</v>
      </c>
      <c r="I1904" s="18">
        <v>3690</v>
      </c>
      <c r="J1904" s="18">
        <v>1</v>
      </c>
      <c r="K1904" s="19">
        <f t="shared" si="87"/>
        <v>3690</v>
      </c>
      <c r="L1904" s="20">
        <v>45427</v>
      </c>
      <c r="M1904" s="18" t="str">
        <f t="shared" si="88"/>
        <v>Wednesday</v>
      </c>
      <c r="N1904" s="18" t="str">
        <f t="shared" si="89"/>
        <v>Weekday</v>
      </c>
      <c r="Q1904" s="18"/>
      <c r="R1904" s="18"/>
      <c r="S1904" s="21"/>
      <c r="T1904"/>
      <c r="U1904" s="6"/>
      <c r="W1904" s="7"/>
      <c r="Z1904" s="4"/>
    </row>
    <row r="1905" spans="1:26" x14ac:dyDescent="0.3">
      <c r="A1905" t="s">
        <v>2276</v>
      </c>
      <c r="B1905" s="22" t="s">
        <v>211</v>
      </c>
      <c r="C1905" s="24" t="s">
        <v>366</v>
      </c>
      <c r="D1905" s="24" t="s">
        <v>329</v>
      </c>
      <c r="E1905" s="24">
        <v>41</v>
      </c>
      <c r="F1905" t="s">
        <v>381</v>
      </c>
      <c r="G1905" s="24" t="s">
        <v>13</v>
      </c>
      <c r="H1905" s="24" t="s">
        <v>14</v>
      </c>
      <c r="I1905" s="24">
        <v>36900</v>
      </c>
      <c r="J1905" s="24">
        <v>5</v>
      </c>
      <c r="K1905" s="25">
        <f t="shared" si="87"/>
        <v>184500</v>
      </c>
      <c r="L1905" s="26">
        <v>45469</v>
      </c>
      <c r="M1905" s="24" t="str">
        <f t="shared" si="88"/>
        <v>Wednesday</v>
      </c>
      <c r="N1905" s="24" t="str">
        <f t="shared" si="89"/>
        <v>Weekday</v>
      </c>
      <c r="Q1905" s="24"/>
      <c r="R1905" s="24"/>
      <c r="S1905" s="27"/>
      <c r="T1905"/>
      <c r="U1905" s="6"/>
      <c r="W1905" s="7"/>
      <c r="Z1905" s="4"/>
    </row>
    <row r="1906" spans="1:26" x14ac:dyDescent="0.3">
      <c r="A1906" t="s">
        <v>2277</v>
      </c>
      <c r="B1906" s="16" t="s">
        <v>287</v>
      </c>
      <c r="C1906" s="18" t="s">
        <v>20</v>
      </c>
      <c r="D1906" s="18" t="s">
        <v>322</v>
      </c>
      <c r="E1906" s="18">
        <v>44</v>
      </c>
      <c r="F1906" t="s">
        <v>373</v>
      </c>
      <c r="G1906" s="18" t="s">
        <v>31</v>
      </c>
      <c r="H1906" s="18" t="s">
        <v>18</v>
      </c>
      <c r="I1906" s="18">
        <v>6150</v>
      </c>
      <c r="J1906" s="18">
        <v>2</v>
      </c>
      <c r="K1906" s="19">
        <f t="shared" si="87"/>
        <v>12300</v>
      </c>
      <c r="L1906" s="20">
        <v>45324</v>
      </c>
      <c r="M1906" s="18" t="str">
        <f t="shared" si="88"/>
        <v>Friday</v>
      </c>
      <c r="N1906" s="18" t="str">
        <f t="shared" si="89"/>
        <v>Weekend</v>
      </c>
      <c r="Q1906" s="18"/>
      <c r="R1906" s="18"/>
      <c r="S1906" s="21"/>
      <c r="T1906"/>
      <c r="U1906" s="6"/>
      <c r="W1906" s="7"/>
      <c r="Z1906" s="4"/>
    </row>
    <row r="1907" spans="1:26" x14ac:dyDescent="0.3">
      <c r="A1907" t="s">
        <v>2278</v>
      </c>
      <c r="B1907" s="22" t="s">
        <v>113</v>
      </c>
      <c r="C1907" s="24" t="s">
        <v>11</v>
      </c>
      <c r="D1907" s="24" t="s">
        <v>322</v>
      </c>
      <c r="E1907" s="24">
        <v>58</v>
      </c>
      <c r="F1907" t="s">
        <v>375</v>
      </c>
      <c r="G1907" s="24" t="s">
        <v>24</v>
      </c>
      <c r="H1907" s="24" t="s">
        <v>14</v>
      </c>
      <c r="I1907" s="24">
        <v>184500</v>
      </c>
      <c r="J1907" s="24">
        <v>5</v>
      </c>
      <c r="K1907" s="25">
        <f t="shared" si="87"/>
        <v>922500</v>
      </c>
      <c r="L1907" s="26">
        <v>45388</v>
      </c>
      <c r="M1907" s="24" t="str">
        <f t="shared" si="88"/>
        <v>Saturday</v>
      </c>
      <c r="N1907" s="24" t="str">
        <f t="shared" si="89"/>
        <v>Weekend</v>
      </c>
      <c r="Q1907" s="24"/>
      <c r="R1907" s="24"/>
      <c r="S1907" s="27"/>
      <c r="T1907"/>
      <c r="U1907" s="6"/>
      <c r="W1907" s="7"/>
      <c r="Z1907" s="4"/>
    </row>
    <row r="1908" spans="1:26" x14ac:dyDescent="0.3">
      <c r="A1908" t="s">
        <v>2279</v>
      </c>
      <c r="B1908" s="16" t="s">
        <v>100</v>
      </c>
      <c r="C1908" s="18" t="s">
        <v>366</v>
      </c>
      <c r="D1908" s="18" t="s">
        <v>328</v>
      </c>
      <c r="E1908" s="18">
        <v>40</v>
      </c>
      <c r="F1908" t="s">
        <v>381</v>
      </c>
      <c r="G1908" s="18" t="s">
        <v>17</v>
      </c>
      <c r="H1908" s="18" t="s">
        <v>18</v>
      </c>
      <c r="I1908" s="18">
        <v>12300</v>
      </c>
      <c r="J1908" s="18">
        <v>1</v>
      </c>
      <c r="K1908" s="19">
        <f t="shared" si="87"/>
        <v>12300</v>
      </c>
      <c r="L1908" s="20">
        <v>45589</v>
      </c>
      <c r="M1908" s="18" t="str">
        <f t="shared" si="88"/>
        <v>Thursday</v>
      </c>
      <c r="N1908" s="18" t="str">
        <f t="shared" si="89"/>
        <v>Weekday</v>
      </c>
      <c r="Q1908" s="18"/>
      <c r="R1908" s="18"/>
      <c r="S1908" s="21"/>
      <c r="T1908"/>
      <c r="U1908" s="6"/>
      <c r="W1908" s="7"/>
      <c r="Z1908" s="4"/>
    </row>
    <row r="1909" spans="1:26" x14ac:dyDescent="0.3">
      <c r="A1909" t="s">
        <v>2280</v>
      </c>
      <c r="B1909" s="22" t="s">
        <v>254</v>
      </c>
      <c r="C1909" s="24" t="s">
        <v>20</v>
      </c>
      <c r="D1909" s="24" t="s">
        <v>325</v>
      </c>
      <c r="E1909" s="24">
        <v>55</v>
      </c>
      <c r="F1909" t="s">
        <v>370</v>
      </c>
      <c r="G1909" s="24" t="s">
        <v>24</v>
      </c>
      <c r="H1909" s="24" t="s">
        <v>14</v>
      </c>
      <c r="I1909" s="24">
        <v>184500</v>
      </c>
      <c r="J1909" s="24">
        <v>2</v>
      </c>
      <c r="K1909" s="25">
        <f t="shared" si="87"/>
        <v>369000</v>
      </c>
      <c r="L1909" s="26">
        <v>45504</v>
      </c>
      <c r="M1909" s="24" t="str">
        <f t="shared" si="88"/>
        <v>Wednesday</v>
      </c>
      <c r="N1909" s="24" t="str">
        <f t="shared" si="89"/>
        <v>Weekday</v>
      </c>
      <c r="Q1909" s="24"/>
      <c r="R1909" s="24"/>
      <c r="S1909" s="27"/>
      <c r="T1909"/>
      <c r="U1909" s="6"/>
      <c r="W1909" s="7"/>
      <c r="Z1909" s="4"/>
    </row>
    <row r="1910" spans="1:26" x14ac:dyDescent="0.3">
      <c r="A1910" t="s">
        <v>2281</v>
      </c>
      <c r="B1910" s="16" t="s">
        <v>129</v>
      </c>
      <c r="C1910" s="18" t="s">
        <v>20</v>
      </c>
      <c r="D1910" s="18" t="s">
        <v>329</v>
      </c>
      <c r="E1910" s="18">
        <v>38</v>
      </c>
      <c r="F1910" t="s">
        <v>370</v>
      </c>
      <c r="G1910" s="18" t="s">
        <v>13</v>
      </c>
      <c r="H1910" s="18" t="s">
        <v>14</v>
      </c>
      <c r="I1910" s="18">
        <v>36900</v>
      </c>
      <c r="J1910" s="18">
        <v>5</v>
      </c>
      <c r="K1910" s="19">
        <f t="shared" si="87"/>
        <v>184500</v>
      </c>
      <c r="L1910" s="20">
        <v>45366</v>
      </c>
      <c r="M1910" s="18" t="str">
        <f t="shared" si="88"/>
        <v>Friday</v>
      </c>
      <c r="N1910" s="18" t="str">
        <f t="shared" si="89"/>
        <v>Weekend</v>
      </c>
      <c r="Q1910" s="18"/>
      <c r="R1910" s="18"/>
      <c r="S1910" s="21"/>
      <c r="T1910"/>
      <c r="U1910" s="6"/>
      <c r="W1910" s="7"/>
      <c r="Z1910" s="4"/>
    </row>
    <row r="1911" spans="1:26" x14ac:dyDescent="0.3">
      <c r="A1911" t="s">
        <v>2282</v>
      </c>
      <c r="B1911" s="22" t="s">
        <v>280</v>
      </c>
      <c r="C1911" s="24" t="s">
        <v>11</v>
      </c>
      <c r="D1911" s="24" t="s">
        <v>322</v>
      </c>
      <c r="E1911" s="24">
        <v>50</v>
      </c>
      <c r="F1911" t="s">
        <v>370</v>
      </c>
      <c r="G1911" s="24" t="s">
        <v>42</v>
      </c>
      <c r="H1911" s="24" t="s">
        <v>14</v>
      </c>
      <c r="I1911" s="24">
        <v>98400</v>
      </c>
      <c r="J1911" s="24">
        <v>4</v>
      </c>
      <c r="K1911" s="25">
        <f t="shared" si="87"/>
        <v>393600</v>
      </c>
      <c r="L1911" s="26">
        <v>45646</v>
      </c>
      <c r="M1911" s="24" t="str">
        <f t="shared" si="88"/>
        <v>Friday</v>
      </c>
      <c r="N1911" s="24" t="str">
        <f t="shared" si="89"/>
        <v>Weekend</v>
      </c>
      <c r="Q1911" s="24"/>
      <c r="R1911" s="24"/>
      <c r="S1911" s="27"/>
      <c r="T1911"/>
      <c r="U1911" s="6"/>
      <c r="W1911" s="7"/>
      <c r="Z1911" s="4"/>
    </row>
    <row r="1912" spans="1:26" x14ac:dyDescent="0.3">
      <c r="A1912" t="s">
        <v>2283</v>
      </c>
      <c r="B1912" s="16" t="s">
        <v>278</v>
      </c>
      <c r="C1912" s="18" t="s">
        <v>11</v>
      </c>
      <c r="D1912" s="18" t="s">
        <v>322</v>
      </c>
      <c r="E1912" s="18">
        <v>32</v>
      </c>
      <c r="F1912" t="s">
        <v>375</v>
      </c>
      <c r="G1912" s="18" t="s">
        <v>17</v>
      </c>
      <c r="H1912" s="18" t="s">
        <v>18</v>
      </c>
      <c r="I1912" s="18">
        <v>12300</v>
      </c>
      <c r="J1912" s="18">
        <v>2</v>
      </c>
      <c r="K1912" s="19">
        <f t="shared" si="87"/>
        <v>24600</v>
      </c>
      <c r="L1912" s="20">
        <v>45519</v>
      </c>
      <c r="M1912" s="18" t="str">
        <f t="shared" si="88"/>
        <v>Thursday</v>
      </c>
      <c r="N1912" s="18" t="str">
        <f t="shared" si="89"/>
        <v>Weekday</v>
      </c>
      <c r="Q1912" s="18"/>
      <c r="R1912" s="18"/>
      <c r="S1912" s="21"/>
      <c r="T1912"/>
      <c r="U1912" s="6"/>
      <c r="W1912" s="7"/>
      <c r="Z1912" s="4"/>
    </row>
    <row r="1913" spans="1:26" x14ac:dyDescent="0.3">
      <c r="A1913" t="s">
        <v>2284</v>
      </c>
      <c r="B1913" s="22" t="s">
        <v>235</v>
      </c>
      <c r="C1913" s="24" t="s">
        <v>20</v>
      </c>
      <c r="D1913" s="24" t="s">
        <v>326</v>
      </c>
      <c r="E1913" s="24">
        <v>38</v>
      </c>
      <c r="F1913" t="s">
        <v>375</v>
      </c>
      <c r="G1913" s="24" t="s">
        <v>26</v>
      </c>
      <c r="H1913" s="24" t="s">
        <v>27</v>
      </c>
      <c r="I1913" s="24">
        <v>24600</v>
      </c>
      <c r="J1913" s="24">
        <v>1</v>
      </c>
      <c r="K1913" s="25">
        <f t="shared" si="87"/>
        <v>24600</v>
      </c>
      <c r="L1913" s="26">
        <v>45299</v>
      </c>
      <c r="M1913" s="24" t="str">
        <f t="shared" si="88"/>
        <v>Monday</v>
      </c>
      <c r="N1913" s="24" t="str">
        <f t="shared" si="89"/>
        <v>Weekday</v>
      </c>
      <c r="Q1913" s="24"/>
      <c r="R1913" s="24"/>
      <c r="S1913" s="27"/>
      <c r="T1913"/>
      <c r="U1913" s="6"/>
      <c r="W1913" s="7"/>
      <c r="Z1913" s="4"/>
    </row>
    <row r="1914" spans="1:26" x14ac:dyDescent="0.3">
      <c r="A1914" t="s">
        <v>2285</v>
      </c>
      <c r="B1914" s="16" t="s">
        <v>306</v>
      </c>
      <c r="C1914" s="18" t="s">
        <v>366</v>
      </c>
      <c r="D1914" s="18" t="s">
        <v>323</v>
      </c>
      <c r="E1914" s="18">
        <v>35</v>
      </c>
      <c r="F1914" t="s">
        <v>370</v>
      </c>
      <c r="G1914" s="18" t="s">
        <v>24</v>
      </c>
      <c r="H1914" s="18" t="s">
        <v>14</v>
      </c>
      <c r="I1914" s="18">
        <v>184500</v>
      </c>
      <c r="J1914" s="18">
        <v>5</v>
      </c>
      <c r="K1914" s="19">
        <f t="shared" si="87"/>
        <v>922500</v>
      </c>
      <c r="L1914" s="20">
        <v>45537</v>
      </c>
      <c r="M1914" s="18" t="str">
        <f t="shared" si="88"/>
        <v>Monday</v>
      </c>
      <c r="N1914" s="18" t="str">
        <f t="shared" si="89"/>
        <v>Weekday</v>
      </c>
      <c r="Q1914" s="18"/>
      <c r="R1914" s="18"/>
      <c r="S1914" s="21"/>
      <c r="T1914"/>
      <c r="U1914" s="6"/>
      <c r="W1914" s="7"/>
      <c r="Z1914" s="4"/>
    </row>
    <row r="1915" spans="1:26" x14ac:dyDescent="0.3">
      <c r="A1915" t="s">
        <v>2286</v>
      </c>
      <c r="B1915" s="22" t="s">
        <v>120</v>
      </c>
      <c r="C1915" s="24" t="s">
        <v>20</v>
      </c>
      <c r="D1915" s="24" t="s">
        <v>328</v>
      </c>
      <c r="E1915" s="24">
        <v>37</v>
      </c>
      <c r="F1915" t="s">
        <v>381</v>
      </c>
      <c r="G1915" s="24" t="s">
        <v>17</v>
      </c>
      <c r="H1915" s="24" t="s">
        <v>18</v>
      </c>
      <c r="I1915" s="24">
        <v>12300</v>
      </c>
      <c r="J1915" s="24">
        <v>1</v>
      </c>
      <c r="K1915" s="25">
        <f t="shared" si="87"/>
        <v>12300</v>
      </c>
      <c r="L1915" s="26">
        <v>45540</v>
      </c>
      <c r="M1915" s="24" t="str">
        <f t="shared" si="88"/>
        <v>Thursday</v>
      </c>
      <c r="N1915" s="24" t="str">
        <f t="shared" si="89"/>
        <v>Weekday</v>
      </c>
      <c r="Q1915" s="24"/>
      <c r="R1915" s="24"/>
      <c r="S1915" s="27"/>
      <c r="T1915"/>
      <c r="U1915" s="6"/>
      <c r="W1915" s="7"/>
      <c r="Z1915" s="4"/>
    </row>
    <row r="1916" spans="1:26" x14ac:dyDescent="0.3">
      <c r="A1916" t="s">
        <v>2287</v>
      </c>
      <c r="B1916" s="16" t="s">
        <v>41</v>
      </c>
      <c r="C1916" s="18" t="s">
        <v>11</v>
      </c>
      <c r="D1916" s="18" t="s">
        <v>326</v>
      </c>
      <c r="E1916" s="18">
        <v>30</v>
      </c>
      <c r="F1916" t="s">
        <v>370</v>
      </c>
      <c r="G1916" s="18" t="s">
        <v>32</v>
      </c>
      <c r="H1916" s="18" t="s">
        <v>18</v>
      </c>
      <c r="I1916" s="18">
        <v>3690</v>
      </c>
      <c r="J1916" s="18">
        <v>5</v>
      </c>
      <c r="K1916" s="19">
        <f t="shared" si="87"/>
        <v>18450</v>
      </c>
      <c r="L1916" s="20">
        <v>45546</v>
      </c>
      <c r="M1916" s="18" t="str">
        <f t="shared" si="88"/>
        <v>Wednesday</v>
      </c>
      <c r="N1916" s="18" t="str">
        <f t="shared" si="89"/>
        <v>Weekday</v>
      </c>
      <c r="Q1916" s="18"/>
      <c r="R1916" s="18"/>
      <c r="S1916" s="21"/>
      <c r="T1916"/>
      <c r="U1916" s="6"/>
      <c r="W1916" s="7"/>
      <c r="Z1916" s="4"/>
    </row>
    <row r="1917" spans="1:26" x14ac:dyDescent="0.3">
      <c r="A1917" t="s">
        <v>2288</v>
      </c>
      <c r="B1917" s="22" t="s">
        <v>70</v>
      </c>
      <c r="C1917" s="24" t="s">
        <v>11</v>
      </c>
      <c r="D1917" s="24" t="s">
        <v>329</v>
      </c>
      <c r="E1917" s="24">
        <v>44</v>
      </c>
      <c r="F1917" t="s">
        <v>373</v>
      </c>
      <c r="G1917" s="24" t="s">
        <v>13</v>
      </c>
      <c r="H1917" s="24" t="s">
        <v>14</v>
      </c>
      <c r="I1917" s="24">
        <v>36900</v>
      </c>
      <c r="J1917" s="24">
        <v>1</v>
      </c>
      <c r="K1917" s="25">
        <f t="shared" si="87"/>
        <v>36900</v>
      </c>
      <c r="L1917" s="26">
        <v>45388</v>
      </c>
      <c r="M1917" s="24" t="str">
        <f t="shared" si="88"/>
        <v>Saturday</v>
      </c>
      <c r="N1917" s="24" t="str">
        <f t="shared" si="89"/>
        <v>Weekend</v>
      </c>
      <c r="Q1917" s="24"/>
      <c r="R1917" s="24"/>
      <c r="S1917" s="27"/>
      <c r="T1917"/>
      <c r="U1917" s="6"/>
      <c r="W1917" s="7"/>
      <c r="Z1917" s="4"/>
    </row>
    <row r="1918" spans="1:26" x14ac:dyDescent="0.3">
      <c r="A1918" t="s">
        <v>2289</v>
      </c>
      <c r="B1918" s="16" t="s">
        <v>171</v>
      </c>
      <c r="C1918" s="18" t="s">
        <v>11</v>
      </c>
      <c r="D1918" s="18" t="s">
        <v>324</v>
      </c>
      <c r="E1918" s="18">
        <v>51</v>
      </c>
      <c r="F1918" t="s">
        <v>375</v>
      </c>
      <c r="G1918" s="18" t="s">
        <v>31</v>
      </c>
      <c r="H1918" s="18" t="s">
        <v>18</v>
      </c>
      <c r="I1918" s="18">
        <v>6150</v>
      </c>
      <c r="J1918" s="18">
        <v>5</v>
      </c>
      <c r="K1918" s="19">
        <f t="shared" si="87"/>
        <v>30750</v>
      </c>
      <c r="L1918" s="20">
        <v>45541</v>
      </c>
      <c r="M1918" s="18" t="str">
        <f t="shared" si="88"/>
        <v>Friday</v>
      </c>
      <c r="N1918" s="18" t="str">
        <f t="shared" si="89"/>
        <v>Weekend</v>
      </c>
      <c r="Q1918" s="18"/>
      <c r="R1918" s="18"/>
      <c r="S1918" s="21"/>
      <c r="T1918"/>
      <c r="U1918" s="6"/>
      <c r="W1918" s="7"/>
      <c r="Z1918" s="4"/>
    </row>
    <row r="1919" spans="1:26" x14ac:dyDescent="0.3">
      <c r="A1919" t="s">
        <v>2290</v>
      </c>
      <c r="B1919" s="22" t="s">
        <v>259</v>
      </c>
      <c r="C1919" s="24" t="s">
        <v>366</v>
      </c>
      <c r="D1919" s="24" t="s">
        <v>328</v>
      </c>
      <c r="E1919" s="24">
        <v>58</v>
      </c>
      <c r="F1919" t="s">
        <v>375</v>
      </c>
      <c r="G1919" s="24" t="s">
        <v>32</v>
      </c>
      <c r="H1919" s="24" t="s">
        <v>18</v>
      </c>
      <c r="I1919" s="24">
        <v>3690</v>
      </c>
      <c r="J1919" s="24">
        <v>5</v>
      </c>
      <c r="K1919" s="25">
        <f t="shared" si="87"/>
        <v>18450</v>
      </c>
      <c r="L1919" s="26">
        <v>45354</v>
      </c>
      <c r="M1919" s="24" t="str">
        <f t="shared" si="88"/>
        <v>Sunday</v>
      </c>
      <c r="N1919" s="24" t="str">
        <f t="shared" si="89"/>
        <v>Weekday</v>
      </c>
      <c r="Q1919" s="24"/>
      <c r="R1919" s="24"/>
      <c r="S1919" s="27"/>
      <c r="T1919"/>
      <c r="U1919" s="6"/>
      <c r="W1919" s="7"/>
      <c r="Z1919" s="4"/>
    </row>
    <row r="1920" spans="1:26" x14ac:dyDescent="0.3">
      <c r="A1920" t="s">
        <v>2291</v>
      </c>
      <c r="B1920" s="16" t="s">
        <v>179</v>
      </c>
      <c r="C1920" s="18" t="s">
        <v>11</v>
      </c>
      <c r="D1920" s="18" t="s">
        <v>322</v>
      </c>
      <c r="E1920" s="18">
        <v>29</v>
      </c>
      <c r="F1920" t="s">
        <v>373</v>
      </c>
      <c r="G1920" s="18" t="s">
        <v>24</v>
      </c>
      <c r="H1920" s="18" t="s">
        <v>14</v>
      </c>
      <c r="I1920" s="18">
        <v>184500</v>
      </c>
      <c r="J1920" s="18">
        <v>3</v>
      </c>
      <c r="K1920" s="19">
        <f t="shared" si="87"/>
        <v>553500</v>
      </c>
      <c r="L1920" s="20">
        <v>45437</v>
      </c>
      <c r="M1920" s="18" t="str">
        <f t="shared" si="88"/>
        <v>Saturday</v>
      </c>
      <c r="N1920" s="18" t="str">
        <f t="shared" si="89"/>
        <v>Weekend</v>
      </c>
      <c r="Q1920" s="18"/>
      <c r="R1920" s="18"/>
      <c r="S1920" s="21"/>
      <c r="T1920"/>
      <c r="U1920" s="6"/>
      <c r="W1920" s="7"/>
      <c r="Z1920" s="4"/>
    </row>
    <row r="1921" spans="1:26" x14ac:dyDescent="0.3">
      <c r="A1921" t="s">
        <v>2292</v>
      </c>
      <c r="B1921" s="22" t="s">
        <v>244</v>
      </c>
      <c r="C1921" s="24" t="s">
        <v>20</v>
      </c>
      <c r="D1921" s="24" t="s">
        <v>322</v>
      </c>
      <c r="E1921" s="24">
        <v>68</v>
      </c>
      <c r="F1921" t="s">
        <v>375</v>
      </c>
      <c r="G1921" s="24" t="s">
        <v>42</v>
      </c>
      <c r="H1921" s="24" t="s">
        <v>14</v>
      </c>
      <c r="I1921" s="24">
        <v>98400</v>
      </c>
      <c r="J1921" s="24">
        <v>5</v>
      </c>
      <c r="K1921" s="25">
        <f t="shared" si="87"/>
        <v>492000</v>
      </c>
      <c r="L1921" s="26">
        <v>45417</v>
      </c>
      <c r="M1921" s="24" t="str">
        <f t="shared" si="88"/>
        <v>Sunday</v>
      </c>
      <c r="N1921" s="24" t="str">
        <f t="shared" si="89"/>
        <v>Weekday</v>
      </c>
      <c r="Q1921" s="24"/>
      <c r="R1921" s="24"/>
      <c r="S1921" s="27"/>
      <c r="T1921"/>
      <c r="U1921" s="6"/>
      <c r="W1921" s="7"/>
      <c r="Z1921" s="4"/>
    </row>
    <row r="1922" spans="1:26" x14ac:dyDescent="0.3">
      <c r="A1922" t="s">
        <v>2293</v>
      </c>
      <c r="B1922" s="16" t="s">
        <v>88</v>
      </c>
      <c r="C1922" s="18" t="s">
        <v>20</v>
      </c>
      <c r="D1922" s="18" t="s">
        <v>323</v>
      </c>
      <c r="E1922" s="18">
        <v>61</v>
      </c>
      <c r="F1922" t="s">
        <v>373</v>
      </c>
      <c r="G1922" s="18" t="s">
        <v>32</v>
      </c>
      <c r="H1922" s="18" t="s">
        <v>18</v>
      </c>
      <c r="I1922" s="18">
        <v>3690</v>
      </c>
      <c r="J1922" s="18">
        <v>3</v>
      </c>
      <c r="K1922" s="19">
        <f t="shared" ref="K1922:K1957" si="90">I1922*J1922</f>
        <v>11070</v>
      </c>
      <c r="L1922" s="20">
        <v>45339</v>
      </c>
      <c r="M1922" s="18" t="str">
        <f t="shared" ref="M1922:M1957" si="91">TEXT(L1922, "dddd")</f>
        <v>Saturday</v>
      </c>
      <c r="N1922" s="18" t="str">
        <f t="shared" ref="N1922:N1957" si="92">IF(OR(WEEKDAY(L1922, 2)=5, WEEKDAY(L1922, 2)=6), "Weekend", "Weekday")</f>
        <v>Weekend</v>
      </c>
      <c r="Q1922" s="18"/>
      <c r="R1922" s="18"/>
      <c r="S1922" s="21"/>
      <c r="T1922"/>
      <c r="U1922" s="6"/>
      <c r="W1922" s="7"/>
      <c r="Z1922" s="4"/>
    </row>
    <row r="1923" spans="1:26" x14ac:dyDescent="0.3">
      <c r="A1923" t="s">
        <v>2294</v>
      </c>
      <c r="B1923" s="22" t="s">
        <v>133</v>
      </c>
      <c r="C1923" s="24" t="s">
        <v>20</v>
      </c>
      <c r="D1923" s="24" t="s">
        <v>322</v>
      </c>
      <c r="E1923" s="24">
        <v>30</v>
      </c>
      <c r="F1923" t="s">
        <v>370</v>
      </c>
      <c r="G1923" s="24" t="s">
        <v>32</v>
      </c>
      <c r="H1923" s="24" t="s">
        <v>18</v>
      </c>
      <c r="I1923" s="24">
        <v>3690</v>
      </c>
      <c r="J1923" s="24">
        <v>2</v>
      </c>
      <c r="K1923" s="25">
        <f t="shared" si="90"/>
        <v>7380</v>
      </c>
      <c r="L1923" s="26">
        <v>45431</v>
      </c>
      <c r="M1923" s="24" t="str">
        <f t="shared" si="91"/>
        <v>Sunday</v>
      </c>
      <c r="N1923" s="24" t="str">
        <f t="shared" si="92"/>
        <v>Weekday</v>
      </c>
      <c r="Q1923" s="24"/>
      <c r="R1923" s="24"/>
      <c r="S1923" s="27"/>
      <c r="T1923"/>
      <c r="U1923" s="6"/>
      <c r="W1923" s="7"/>
      <c r="Z1923" s="4"/>
    </row>
    <row r="1924" spans="1:26" x14ac:dyDescent="0.3">
      <c r="A1924" t="s">
        <v>2295</v>
      </c>
      <c r="B1924" s="16" t="s">
        <v>296</v>
      </c>
      <c r="C1924" s="18" t="s">
        <v>20</v>
      </c>
      <c r="D1924" s="18" t="s">
        <v>322</v>
      </c>
      <c r="E1924" s="18">
        <v>49</v>
      </c>
      <c r="F1924" t="s">
        <v>370</v>
      </c>
      <c r="G1924" s="18" t="s">
        <v>13</v>
      </c>
      <c r="H1924" s="18" t="s">
        <v>14</v>
      </c>
      <c r="I1924" s="18">
        <v>36900</v>
      </c>
      <c r="J1924" s="18">
        <v>4</v>
      </c>
      <c r="K1924" s="19">
        <f t="shared" si="90"/>
        <v>147600</v>
      </c>
      <c r="L1924" s="20">
        <v>45626</v>
      </c>
      <c r="M1924" s="18" t="str">
        <f t="shared" si="91"/>
        <v>Saturday</v>
      </c>
      <c r="N1924" s="18" t="str">
        <f t="shared" si="92"/>
        <v>Weekend</v>
      </c>
      <c r="Q1924" s="18"/>
      <c r="R1924" s="18"/>
      <c r="S1924" s="21"/>
      <c r="T1924"/>
      <c r="U1924" s="6"/>
      <c r="W1924" s="7"/>
      <c r="Z1924" s="4"/>
    </row>
    <row r="1925" spans="1:26" x14ac:dyDescent="0.3">
      <c r="A1925" t="s">
        <v>2296</v>
      </c>
      <c r="B1925" s="22" t="s">
        <v>173</v>
      </c>
      <c r="C1925" s="24" t="s">
        <v>20</v>
      </c>
      <c r="D1925" s="24" t="s">
        <v>325</v>
      </c>
      <c r="E1925" s="24">
        <v>55</v>
      </c>
      <c r="F1925" t="s">
        <v>375</v>
      </c>
      <c r="G1925" s="24" t="s">
        <v>26</v>
      </c>
      <c r="H1925" s="24" t="s">
        <v>27</v>
      </c>
      <c r="I1925" s="24">
        <v>24600</v>
      </c>
      <c r="J1925" s="24">
        <v>5</v>
      </c>
      <c r="K1925" s="25">
        <f t="shared" si="90"/>
        <v>123000</v>
      </c>
      <c r="L1925" s="26">
        <v>45552</v>
      </c>
      <c r="M1925" s="24" t="str">
        <f t="shared" si="91"/>
        <v>Tuesday</v>
      </c>
      <c r="N1925" s="24" t="str">
        <f t="shared" si="92"/>
        <v>Weekday</v>
      </c>
      <c r="Q1925" s="24"/>
      <c r="R1925" s="24"/>
      <c r="S1925" s="27"/>
      <c r="T1925"/>
      <c r="U1925" s="6"/>
      <c r="W1925" s="7"/>
      <c r="Z1925" s="4"/>
    </row>
    <row r="1926" spans="1:26" x14ac:dyDescent="0.3">
      <c r="A1926" t="s">
        <v>2297</v>
      </c>
      <c r="B1926" s="16" t="s">
        <v>207</v>
      </c>
      <c r="C1926" s="18" t="s">
        <v>20</v>
      </c>
      <c r="D1926" s="18" t="s">
        <v>329</v>
      </c>
      <c r="E1926" s="18">
        <v>52</v>
      </c>
      <c r="F1926" t="s">
        <v>375</v>
      </c>
      <c r="G1926" s="18" t="s">
        <v>17</v>
      </c>
      <c r="H1926" s="18" t="s">
        <v>18</v>
      </c>
      <c r="I1926" s="18">
        <v>12300</v>
      </c>
      <c r="J1926" s="18">
        <v>5</v>
      </c>
      <c r="K1926" s="19">
        <f t="shared" si="90"/>
        <v>61500</v>
      </c>
      <c r="L1926" s="20">
        <v>45467</v>
      </c>
      <c r="M1926" s="18" t="str">
        <f t="shared" si="91"/>
        <v>Monday</v>
      </c>
      <c r="N1926" s="18" t="str">
        <f t="shared" si="92"/>
        <v>Weekday</v>
      </c>
      <c r="Q1926" s="18"/>
      <c r="R1926" s="18"/>
      <c r="S1926" s="21"/>
      <c r="T1926"/>
      <c r="U1926" s="6"/>
      <c r="W1926" s="7"/>
      <c r="Z1926" s="4"/>
    </row>
    <row r="1927" spans="1:26" x14ac:dyDescent="0.3">
      <c r="A1927" t="s">
        <v>2298</v>
      </c>
      <c r="B1927" s="22" t="s">
        <v>280</v>
      </c>
      <c r="C1927" s="24" t="s">
        <v>11</v>
      </c>
      <c r="D1927" s="24" t="s">
        <v>322</v>
      </c>
      <c r="E1927" s="24">
        <v>50</v>
      </c>
      <c r="F1927" t="s">
        <v>370</v>
      </c>
      <c r="G1927" s="24" t="s">
        <v>26</v>
      </c>
      <c r="H1927" s="24" t="s">
        <v>27</v>
      </c>
      <c r="I1927" s="24">
        <v>24600</v>
      </c>
      <c r="J1927" s="24">
        <v>2</v>
      </c>
      <c r="K1927" s="25">
        <f t="shared" si="90"/>
        <v>49200</v>
      </c>
      <c r="L1927" s="26">
        <v>45405</v>
      </c>
      <c r="M1927" s="24" t="str">
        <f t="shared" si="91"/>
        <v>Tuesday</v>
      </c>
      <c r="N1927" s="24" t="str">
        <f t="shared" si="92"/>
        <v>Weekday</v>
      </c>
      <c r="Q1927" s="24"/>
      <c r="R1927" s="24"/>
      <c r="S1927" s="27"/>
      <c r="T1927"/>
      <c r="U1927" s="6"/>
      <c r="W1927" s="7"/>
      <c r="Z1927" s="4"/>
    </row>
    <row r="1928" spans="1:26" x14ac:dyDescent="0.3">
      <c r="A1928" t="s">
        <v>2299</v>
      </c>
      <c r="B1928" s="16" t="s">
        <v>174</v>
      </c>
      <c r="C1928" s="18" t="s">
        <v>11</v>
      </c>
      <c r="D1928" s="18" t="s">
        <v>322</v>
      </c>
      <c r="E1928" s="18">
        <v>57</v>
      </c>
      <c r="F1928" t="s">
        <v>373</v>
      </c>
      <c r="G1928" s="18" t="s">
        <v>17</v>
      </c>
      <c r="H1928" s="18" t="s">
        <v>18</v>
      </c>
      <c r="I1928" s="18">
        <v>12300</v>
      </c>
      <c r="J1928" s="18">
        <v>1</v>
      </c>
      <c r="K1928" s="19">
        <f t="shared" si="90"/>
        <v>12300</v>
      </c>
      <c r="L1928" s="20">
        <v>45433</v>
      </c>
      <c r="M1928" s="18" t="str">
        <f t="shared" si="91"/>
        <v>Tuesday</v>
      </c>
      <c r="N1928" s="18" t="str">
        <f t="shared" si="92"/>
        <v>Weekday</v>
      </c>
      <c r="Q1928" s="18"/>
      <c r="R1928" s="18"/>
      <c r="S1928" s="21"/>
      <c r="T1928"/>
      <c r="U1928" s="6"/>
      <c r="W1928" s="7"/>
      <c r="Z1928" s="4"/>
    </row>
    <row r="1929" spans="1:26" x14ac:dyDescent="0.3">
      <c r="A1929" t="s">
        <v>2300</v>
      </c>
      <c r="B1929" s="22" t="s">
        <v>86</v>
      </c>
      <c r="C1929" s="24" t="s">
        <v>11</v>
      </c>
      <c r="D1929" s="24" t="s">
        <v>326</v>
      </c>
      <c r="E1929" s="24">
        <v>28</v>
      </c>
      <c r="F1929" t="s">
        <v>370</v>
      </c>
      <c r="G1929" s="24" t="s">
        <v>32</v>
      </c>
      <c r="H1929" s="24" t="s">
        <v>18</v>
      </c>
      <c r="I1929" s="24">
        <v>3690</v>
      </c>
      <c r="J1929" s="24">
        <v>2</v>
      </c>
      <c r="K1929" s="25">
        <f t="shared" si="90"/>
        <v>7380</v>
      </c>
      <c r="L1929" s="26">
        <v>45336</v>
      </c>
      <c r="M1929" s="24" t="str">
        <f t="shared" si="91"/>
        <v>Wednesday</v>
      </c>
      <c r="N1929" s="24" t="str">
        <f t="shared" si="92"/>
        <v>Weekday</v>
      </c>
      <c r="Q1929" s="24"/>
      <c r="R1929" s="24"/>
      <c r="S1929" s="27"/>
      <c r="T1929"/>
      <c r="U1929" s="6"/>
      <c r="W1929" s="7"/>
      <c r="Z1929" s="4"/>
    </row>
    <row r="1930" spans="1:26" x14ac:dyDescent="0.3">
      <c r="A1930" t="s">
        <v>2301</v>
      </c>
      <c r="B1930" s="16" t="s">
        <v>49</v>
      </c>
      <c r="C1930" s="18" t="s">
        <v>20</v>
      </c>
      <c r="D1930" s="18" t="s">
        <v>323</v>
      </c>
      <c r="E1930" s="18">
        <v>57</v>
      </c>
      <c r="F1930" t="s">
        <v>373</v>
      </c>
      <c r="G1930" s="18" t="s">
        <v>24</v>
      </c>
      <c r="H1930" s="18" t="s">
        <v>14</v>
      </c>
      <c r="I1930" s="18">
        <v>184500</v>
      </c>
      <c r="J1930" s="18">
        <v>3</v>
      </c>
      <c r="K1930" s="19">
        <f t="shared" si="90"/>
        <v>553500</v>
      </c>
      <c r="L1930" s="20">
        <v>45603</v>
      </c>
      <c r="M1930" s="18" t="str">
        <f t="shared" si="91"/>
        <v>Thursday</v>
      </c>
      <c r="N1930" s="18" t="str">
        <f t="shared" si="92"/>
        <v>Weekday</v>
      </c>
      <c r="Q1930" s="18"/>
      <c r="R1930" s="18"/>
      <c r="S1930" s="21"/>
      <c r="T1930"/>
      <c r="U1930" s="6"/>
      <c r="W1930" s="7"/>
      <c r="Z1930" s="4"/>
    </row>
    <row r="1931" spans="1:26" x14ac:dyDescent="0.3">
      <c r="A1931" t="s">
        <v>2302</v>
      </c>
      <c r="B1931" s="22" t="s">
        <v>25</v>
      </c>
      <c r="C1931" s="24" t="s">
        <v>11</v>
      </c>
      <c r="D1931" s="24" t="s">
        <v>323</v>
      </c>
      <c r="E1931" s="24">
        <v>64</v>
      </c>
      <c r="F1931" t="s">
        <v>381</v>
      </c>
      <c r="G1931" s="24" t="s">
        <v>32</v>
      </c>
      <c r="H1931" s="24" t="s">
        <v>18</v>
      </c>
      <c r="I1931" s="24">
        <v>3690</v>
      </c>
      <c r="J1931" s="24">
        <v>2</v>
      </c>
      <c r="K1931" s="25">
        <f t="shared" si="90"/>
        <v>7380</v>
      </c>
      <c r="L1931" s="26">
        <v>45377</v>
      </c>
      <c r="M1931" s="24" t="str">
        <f t="shared" si="91"/>
        <v>Tuesday</v>
      </c>
      <c r="N1931" s="24" t="str">
        <f t="shared" si="92"/>
        <v>Weekday</v>
      </c>
      <c r="Q1931" s="24"/>
      <c r="R1931" s="24"/>
      <c r="S1931" s="27"/>
      <c r="T1931"/>
      <c r="U1931" s="6"/>
      <c r="W1931" s="7"/>
      <c r="Z1931" s="4"/>
    </row>
    <row r="1932" spans="1:26" x14ac:dyDescent="0.3">
      <c r="A1932" t="s">
        <v>2303</v>
      </c>
      <c r="B1932" s="16" t="s">
        <v>60</v>
      </c>
      <c r="C1932" s="18" t="s">
        <v>20</v>
      </c>
      <c r="D1932" s="18" t="s">
        <v>322</v>
      </c>
      <c r="E1932" s="18">
        <v>64</v>
      </c>
      <c r="F1932" t="s">
        <v>370</v>
      </c>
      <c r="G1932" s="18" t="s">
        <v>24</v>
      </c>
      <c r="H1932" s="18" t="s">
        <v>14</v>
      </c>
      <c r="I1932" s="18">
        <v>184500</v>
      </c>
      <c r="J1932" s="18">
        <v>3</v>
      </c>
      <c r="K1932" s="19">
        <f t="shared" si="90"/>
        <v>553500</v>
      </c>
      <c r="L1932" s="20">
        <v>45621</v>
      </c>
      <c r="M1932" s="18" t="str">
        <f t="shared" si="91"/>
        <v>Monday</v>
      </c>
      <c r="N1932" s="18" t="str">
        <f t="shared" si="92"/>
        <v>Weekday</v>
      </c>
      <c r="Q1932" s="18"/>
      <c r="R1932" s="18"/>
      <c r="S1932" s="21"/>
      <c r="T1932"/>
      <c r="U1932" s="6"/>
      <c r="W1932" s="7"/>
      <c r="Z1932" s="4"/>
    </row>
    <row r="1933" spans="1:26" x14ac:dyDescent="0.3">
      <c r="A1933" t="s">
        <v>2304</v>
      </c>
      <c r="B1933" s="22" t="s">
        <v>22</v>
      </c>
      <c r="C1933" s="24" t="s">
        <v>11</v>
      </c>
      <c r="D1933" s="24" t="s">
        <v>326</v>
      </c>
      <c r="E1933" s="24">
        <v>23</v>
      </c>
      <c r="F1933" t="s">
        <v>373</v>
      </c>
      <c r="G1933" s="24" t="s">
        <v>13</v>
      </c>
      <c r="H1933" s="24" t="s">
        <v>14</v>
      </c>
      <c r="I1933" s="24">
        <v>36900</v>
      </c>
      <c r="J1933" s="24">
        <v>3</v>
      </c>
      <c r="K1933" s="25">
        <f t="shared" si="90"/>
        <v>110700</v>
      </c>
      <c r="L1933" s="26">
        <v>45310</v>
      </c>
      <c r="M1933" s="24" t="str">
        <f t="shared" si="91"/>
        <v>Friday</v>
      </c>
      <c r="N1933" s="24" t="str">
        <f t="shared" si="92"/>
        <v>Weekend</v>
      </c>
      <c r="Q1933" s="24"/>
      <c r="R1933" s="24"/>
      <c r="S1933" s="27"/>
      <c r="T1933"/>
      <c r="U1933" s="6"/>
      <c r="W1933" s="7"/>
      <c r="Z1933" s="4"/>
    </row>
    <row r="1934" spans="1:26" x14ac:dyDescent="0.3">
      <c r="A1934" t="s">
        <v>2305</v>
      </c>
      <c r="B1934" s="16" t="s">
        <v>39</v>
      </c>
      <c r="C1934" s="18" t="s">
        <v>20</v>
      </c>
      <c r="D1934" s="18" t="s">
        <v>328</v>
      </c>
      <c r="E1934" s="18">
        <v>36</v>
      </c>
      <c r="F1934" t="s">
        <v>373</v>
      </c>
      <c r="G1934" s="18" t="s">
        <v>42</v>
      </c>
      <c r="H1934" s="18" t="s">
        <v>14</v>
      </c>
      <c r="I1934" s="18">
        <v>98400</v>
      </c>
      <c r="J1934" s="18">
        <v>2</v>
      </c>
      <c r="K1934" s="19">
        <f t="shared" si="90"/>
        <v>196800</v>
      </c>
      <c r="L1934" s="20">
        <v>45412</v>
      </c>
      <c r="M1934" s="18" t="str">
        <f t="shared" si="91"/>
        <v>Tuesday</v>
      </c>
      <c r="N1934" s="18" t="str">
        <f t="shared" si="92"/>
        <v>Weekday</v>
      </c>
      <c r="Q1934" s="18"/>
      <c r="R1934" s="18"/>
      <c r="S1934" s="21"/>
      <c r="T1934"/>
      <c r="U1934" s="6"/>
      <c r="W1934" s="7"/>
      <c r="Z1934" s="4"/>
    </row>
    <row r="1935" spans="1:26" x14ac:dyDescent="0.3">
      <c r="A1935" t="s">
        <v>2306</v>
      </c>
      <c r="B1935" s="22" t="s">
        <v>271</v>
      </c>
      <c r="C1935" s="24" t="s">
        <v>20</v>
      </c>
      <c r="D1935" s="24" t="s">
        <v>322</v>
      </c>
      <c r="E1935" s="24">
        <v>48</v>
      </c>
      <c r="F1935" t="s">
        <v>373</v>
      </c>
      <c r="G1935" s="24" t="s">
        <v>26</v>
      </c>
      <c r="H1935" s="24" t="s">
        <v>27</v>
      </c>
      <c r="I1935" s="24">
        <v>24600</v>
      </c>
      <c r="J1935" s="24">
        <v>1</v>
      </c>
      <c r="K1935" s="25">
        <f t="shared" si="90"/>
        <v>24600</v>
      </c>
      <c r="L1935" s="26">
        <v>45570</v>
      </c>
      <c r="M1935" s="24" t="str">
        <f t="shared" si="91"/>
        <v>Saturday</v>
      </c>
      <c r="N1935" s="24" t="str">
        <f t="shared" si="92"/>
        <v>Weekend</v>
      </c>
      <c r="Q1935" s="24"/>
      <c r="R1935" s="24"/>
      <c r="S1935" s="27"/>
      <c r="T1935"/>
      <c r="U1935" s="6"/>
      <c r="W1935" s="7"/>
      <c r="Z1935" s="4"/>
    </row>
    <row r="1936" spans="1:26" x14ac:dyDescent="0.3">
      <c r="A1936" t="s">
        <v>2307</v>
      </c>
      <c r="B1936" s="16" t="s">
        <v>261</v>
      </c>
      <c r="C1936" s="18" t="s">
        <v>20</v>
      </c>
      <c r="D1936" s="18" t="s">
        <v>325</v>
      </c>
      <c r="E1936" s="18">
        <v>49</v>
      </c>
      <c r="F1936" t="s">
        <v>375</v>
      </c>
      <c r="G1936" s="18" t="s">
        <v>42</v>
      </c>
      <c r="H1936" s="18" t="s">
        <v>14</v>
      </c>
      <c r="I1936" s="18">
        <v>98400</v>
      </c>
      <c r="J1936" s="18">
        <v>5</v>
      </c>
      <c r="K1936" s="19">
        <f t="shared" si="90"/>
        <v>492000</v>
      </c>
      <c r="L1936" s="20">
        <v>45377</v>
      </c>
      <c r="M1936" s="18" t="str">
        <f t="shared" si="91"/>
        <v>Tuesday</v>
      </c>
      <c r="N1936" s="18" t="str">
        <f t="shared" si="92"/>
        <v>Weekday</v>
      </c>
      <c r="Q1936" s="18"/>
      <c r="R1936" s="18"/>
      <c r="S1936" s="21"/>
      <c r="T1936"/>
      <c r="U1936" s="6"/>
      <c r="W1936" s="7"/>
      <c r="Z1936" s="4"/>
    </row>
    <row r="1937" spans="1:26" x14ac:dyDescent="0.3">
      <c r="A1937" t="s">
        <v>2308</v>
      </c>
      <c r="B1937" s="22" t="s">
        <v>237</v>
      </c>
      <c r="C1937" s="24" t="s">
        <v>366</v>
      </c>
      <c r="D1937" s="24" t="s">
        <v>322</v>
      </c>
      <c r="E1937" s="24">
        <v>23</v>
      </c>
      <c r="F1937" t="s">
        <v>375</v>
      </c>
      <c r="G1937" s="24" t="s">
        <v>32</v>
      </c>
      <c r="H1937" s="24" t="s">
        <v>18</v>
      </c>
      <c r="I1937" s="24">
        <v>3690</v>
      </c>
      <c r="J1937" s="24">
        <v>1</v>
      </c>
      <c r="K1937" s="25">
        <f t="shared" si="90"/>
        <v>3690</v>
      </c>
      <c r="L1937" s="26">
        <v>45554</v>
      </c>
      <c r="M1937" s="24" t="str">
        <f t="shared" si="91"/>
        <v>Thursday</v>
      </c>
      <c r="N1937" s="24" t="str">
        <f t="shared" si="92"/>
        <v>Weekday</v>
      </c>
      <c r="Q1937" s="24"/>
      <c r="R1937" s="24"/>
      <c r="S1937" s="27"/>
      <c r="T1937"/>
      <c r="U1937" s="6"/>
      <c r="W1937" s="7"/>
      <c r="Z1937" s="4"/>
    </row>
    <row r="1938" spans="1:26" x14ac:dyDescent="0.3">
      <c r="A1938" t="s">
        <v>2309</v>
      </c>
      <c r="B1938" s="16" t="s">
        <v>187</v>
      </c>
      <c r="C1938" s="18" t="s">
        <v>11</v>
      </c>
      <c r="D1938" s="18" t="s">
        <v>324</v>
      </c>
      <c r="E1938" s="18">
        <v>68</v>
      </c>
      <c r="F1938" t="s">
        <v>381</v>
      </c>
      <c r="G1938" s="18" t="s">
        <v>31</v>
      </c>
      <c r="H1938" s="18" t="s">
        <v>18</v>
      </c>
      <c r="I1938" s="18">
        <v>6150</v>
      </c>
      <c r="J1938" s="18">
        <v>5</v>
      </c>
      <c r="K1938" s="19">
        <f t="shared" si="90"/>
        <v>30750</v>
      </c>
      <c r="L1938" s="20">
        <v>45313</v>
      </c>
      <c r="M1938" s="18" t="str">
        <f t="shared" si="91"/>
        <v>Monday</v>
      </c>
      <c r="N1938" s="18" t="str">
        <f t="shared" si="92"/>
        <v>Weekday</v>
      </c>
      <c r="Q1938" s="18"/>
      <c r="R1938" s="18"/>
      <c r="S1938" s="21"/>
      <c r="T1938"/>
      <c r="U1938" s="6"/>
      <c r="W1938" s="7"/>
      <c r="Z1938" s="4"/>
    </row>
    <row r="1939" spans="1:26" x14ac:dyDescent="0.3">
      <c r="A1939" t="s">
        <v>2310</v>
      </c>
      <c r="B1939" s="22" t="s">
        <v>195</v>
      </c>
      <c r="C1939" s="24" t="s">
        <v>20</v>
      </c>
      <c r="D1939" s="24" t="s">
        <v>323</v>
      </c>
      <c r="E1939" s="24">
        <v>52</v>
      </c>
      <c r="F1939" t="s">
        <v>381</v>
      </c>
      <c r="G1939" s="24" t="s">
        <v>42</v>
      </c>
      <c r="H1939" s="24" t="s">
        <v>14</v>
      </c>
      <c r="I1939" s="24">
        <v>98400</v>
      </c>
      <c r="J1939" s="24">
        <v>3</v>
      </c>
      <c r="K1939" s="25">
        <f t="shared" si="90"/>
        <v>295200</v>
      </c>
      <c r="L1939" s="26">
        <v>45300</v>
      </c>
      <c r="M1939" s="24" t="str">
        <f t="shared" si="91"/>
        <v>Tuesday</v>
      </c>
      <c r="N1939" s="24" t="str">
        <f t="shared" si="92"/>
        <v>Weekday</v>
      </c>
      <c r="Q1939" s="24"/>
      <c r="R1939" s="24"/>
      <c r="S1939" s="27"/>
      <c r="T1939"/>
      <c r="U1939" s="6"/>
      <c r="W1939" s="7"/>
      <c r="Z1939" s="4"/>
    </row>
    <row r="1940" spans="1:26" x14ac:dyDescent="0.3">
      <c r="A1940" t="s">
        <v>2311</v>
      </c>
      <c r="B1940" s="16" t="s">
        <v>40</v>
      </c>
      <c r="C1940" s="18" t="s">
        <v>11</v>
      </c>
      <c r="D1940" s="18" t="s">
        <v>323</v>
      </c>
      <c r="E1940" s="18">
        <v>57</v>
      </c>
      <c r="F1940" t="s">
        <v>373</v>
      </c>
      <c r="G1940" s="18" t="s">
        <v>24</v>
      </c>
      <c r="H1940" s="18" t="s">
        <v>14</v>
      </c>
      <c r="I1940" s="18">
        <v>184500</v>
      </c>
      <c r="J1940" s="18">
        <v>4</v>
      </c>
      <c r="K1940" s="19">
        <f t="shared" si="90"/>
        <v>738000</v>
      </c>
      <c r="L1940" s="20">
        <v>45554</v>
      </c>
      <c r="M1940" s="18" t="str">
        <f t="shared" si="91"/>
        <v>Thursday</v>
      </c>
      <c r="N1940" s="18" t="str">
        <f t="shared" si="92"/>
        <v>Weekday</v>
      </c>
      <c r="Q1940" s="18"/>
      <c r="R1940" s="18"/>
      <c r="S1940" s="21"/>
      <c r="T1940"/>
      <c r="U1940" s="6"/>
      <c r="W1940" s="7"/>
      <c r="Z1940" s="4"/>
    </row>
    <row r="1941" spans="1:26" x14ac:dyDescent="0.3">
      <c r="A1941" t="s">
        <v>2312</v>
      </c>
      <c r="B1941" s="22" t="s">
        <v>225</v>
      </c>
      <c r="C1941" s="24" t="s">
        <v>11</v>
      </c>
      <c r="D1941" s="24" t="s">
        <v>322</v>
      </c>
      <c r="E1941" s="24">
        <v>20</v>
      </c>
      <c r="F1941" t="s">
        <v>375</v>
      </c>
      <c r="G1941" s="24" t="s">
        <v>17</v>
      </c>
      <c r="H1941" s="24" t="s">
        <v>18</v>
      </c>
      <c r="I1941" s="24">
        <v>12300</v>
      </c>
      <c r="J1941" s="24">
        <v>5</v>
      </c>
      <c r="K1941" s="25">
        <f t="shared" si="90"/>
        <v>61500</v>
      </c>
      <c r="L1941" s="26">
        <v>45361</v>
      </c>
      <c r="M1941" s="24" t="str">
        <f t="shared" si="91"/>
        <v>Sunday</v>
      </c>
      <c r="N1941" s="24" t="str">
        <f t="shared" si="92"/>
        <v>Weekday</v>
      </c>
      <c r="Q1941" s="24"/>
      <c r="R1941" s="24"/>
      <c r="S1941" s="27"/>
      <c r="T1941"/>
      <c r="U1941" s="6"/>
      <c r="W1941" s="7"/>
      <c r="Z1941" s="4"/>
    </row>
    <row r="1942" spans="1:26" x14ac:dyDescent="0.3">
      <c r="A1942" t="s">
        <v>2313</v>
      </c>
      <c r="B1942" s="16" t="s">
        <v>187</v>
      </c>
      <c r="C1942" s="18" t="s">
        <v>11</v>
      </c>
      <c r="D1942" s="18" t="s">
        <v>324</v>
      </c>
      <c r="E1942" s="18">
        <v>68</v>
      </c>
      <c r="F1942" t="s">
        <v>373</v>
      </c>
      <c r="G1942" s="18" t="s">
        <v>32</v>
      </c>
      <c r="H1942" s="18" t="s">
        <v>18</v>
      </c>
      <c r="I1942" s="18">
        <v>3690</v>
      </c>
      <c r="J1942" s="18">
        <v>1</v>
      </c>
      <c r="K1942" s="19">
        <f t="shared" si="90"/>
        <v>3690</v>
      </c>
      <c r="L1942" s="20">
        <v>45520</v>
      </c>
      <c r="M1942" s="18" t="str">
        <f t="shared" si="91"/>
        <v>Friday</v>
      </c>
      <c r="N1942" s="18" t="str">
        <f t="shared" si="92"/>
        <v>Weekend</v>
      </c>
      <c r="Q1942" s="18"/>
      <c r="R1942" s="18"/>
      <c r="S1942" s="21"/>
      <c r="T1942"/>
      <c r="U1942" s="6"/>
      <c r="W1942" s="7"/>
      <c r="Z1942" s="4"/>
    </row>
    <row r="1943" spans="1:26" x14ac:dyDescent="0.3">
      <c r="A1943" t="s">
        <v>2314</v>
      </c>
      <c r="B1943" s="22" t="s">
        <v>147</v>
      </c>
      <c r="C1943" s="24" t="s">
        <v>11</v>
      </c>
      <c r="D1943" s="24" t="s">
        <v>322</v>
      </c>
      <c r="E1943" s="24">
        <v>30</v>
      </c>
      <c r="F1943" t="s">
        <v>375</v>
      </c>
      <c r="G1943" s="24" t="s">
        <v>24</v>
      </c>
      <c r="H1943" s="24" t="s">
        <v>14</v>
      </c>
      <c r="I1943" s="24">
        <v>184500</v>
      </c>
      <c r="J1943" s="24">
        <v>4</v>
      </c>
      <c r="K1943" s="25">
        <f t="shared" si="90"/>
        <v>738000</v>
      </c>
      <c r="L1943" s="26">
        <v>45419</v>
      </c>
      <c r="M1943" s="24" t="str">
        <f t="shared" si="91"/>
        <v>Tuesday</v>
      </c>
      <c r="N1943" s="24" t="str">
        <f t="shared" si="92"/>
        <v>Weekday</v>
      </c>
      <c r="Q1943" s="24"/>
      <c r="R1943" s="24"/>
      <c r="S1943" s="27"/>
      <c r="T1943"/>
      <c r="U1943" s="6"/>
      <c r="W1943" s="7"/>
      <c r="Z1943" s="4"/>
    </row>
    <row r="1944" spans="1:26" x14ac:dyDescent="0.3">
      <c r="A1944" t="s">
        <v>2315</v>
      </c>
      <c r="B1944" s="16" t="s">
        <v>294</v>
      </c>
      <c r="C1944" s="18" t="s">
        <v>11</v>
      </c>
      <c r="D1944" s="18" t="s">
        <v>327</v>
      </c>
      <c r="E1944" s="18">
        <v>41</v>
      </c>
      <c r="F1944" t="s">
        <v>375</v>
      </c>
      <c r="G1944" s="18" t="s">
        <v>24</v>
      </c>
      <c r="H1944" s="18" t="s">
        <v>14</v>
      </c>
      <c r="I1944" s="18">
        <v>184500</v>
      </c>
      <c r="J1944" s="18">
        <v>2</v>
      </c>
      <c r="K1944" s="19">
        <f t="shared" si="90"/>
        <v>369000</v>
      </c>
      <c r="L1944" s="20">
        <v>45621</v>
      </c>
      <c r="M1944" s="18" t="str">
        <f t="shared" si="91"/>
        <v>Monday</v>
      </c>
      <c r="N1944" s="18" t="str">
        <f t="shared" si="92"/>
        <v>Weekday</v>
      </c>
      <c r="Q1944" s="18"/>
      <c r="R1944" s="18"/>
      <c r="S1944" s="21"/>
      <c r="T1944"/>
      <c r="U1944" s="6"/>
      <c r="W1944" s="7"/>
      <c r="Z1944" s="4"/>
    </row>
    <row r="1945" spans="1:26" x14ac:dyDescent="0.3">
      <c r="A1945" t="s">
        <v>2316</v>
      </c>
      <c r="B1945" s="22" t="s">
        <v>129</v>
      </c>
      <c r="C1945" s="24" t="s">
        <v>20</v>
      </c>
      <c r="D1945" s="24" t="s">
        <v>329</v>
      </c>
      <c r="E1945" s="24">
        <v>38</v>
      </c>
      <c r="F1945" t="s">
        <v>381</v>
      </c>
      <c r="G1945" s="24" t="s">
        <v>13</v>
      </c>
      <c r="H1945" s="24" t="s">
        <v>14</v>
      </c>
      <c r="I1945" s="24">
        <v>36900</v>
      </c>
      <c r="J1945" s="24">
        <v>4</v>
      </c>
      <c r="K1945" s="25">
        <f t="shared" si="90"/>
        <v>147600</v>
      </c>
      <c r="L1945" s="26">
        <v>45655</v>
      </c>
      <c r="M1945" s="24" t="str">
        <f t="shared" si="91"/>
        <v>Sunday</v>
      </c>
      <c r="N1945" s="24" t="str">
        <f t="shared" si="92"/>
        <v>Weekday</v>
      </c>
      <c r="Q1945" s="24"/>
      <c r="R1945" s="24"/>
      <c r="S1945" s="27"/>
      <c r="T1945"/>
      <c r="U1945" s="6"/>
      <c r="W1945" s="7"/>
      <c r="Z1945" s="4"/>
    </row>
    <row r="1946" spans="1:26" x14ac:dyDescent="0.3">
      <c r="A1946" t="s">
        <v>2317</v>
      </c>
      <c r="B1946" s="16" t="s">
        <v>282</v>
      </c>
      <c r="C1946" s="18" t="s">
        <v>11</v>
      </c>
      <c r="D1946" s="18" t="s">
        <v>325</v>
      </c>
      <c r="E1946" s="18">
        <v>26</v>
      </c>
      <c r="F1946" t="s">
        <v>373</v>
      </c>
      <c r="G1946" s="18" t="s">
        <v>17</v>
      </c>
      <c r="H1946" s="18" t="s">
        <v>18</v>
      </c>
      <c r="I1946" s="18">
        <v>12300</v>
      </c>
      <c r="J1946" s="18">
        <v>2</v>
      </c>
      <c r="K1946" s="19">
        <f t="shared" si="90"/>
        <v>24600</v>
      </c>
      <c r="L1946" s="20">
        <v>45528</v>
      </c>
      <c r="M1946" s="18" t="str">
        <f t="shared" si="91"/>
        <v>Saturday</v>
      </c>
      <c r="N1946" s="18" t="str">
        <f t="shared" si="92"/>
        <v>Weekend</v>
      </c>
      <c r="Q1946" s="18"/>
      <c r="R1946" s="18"/>
      <c r="S1946" s="21"/>
      <c r="T1946"/>
      <c r="U1946" s="6"/>
      <c r="W1946" s="7"/>
      <c r="Z1946" s="4"/>
    </row>
    <row r="1947" spans="1:26" x14ac:dyDescent="0.3">
      <c r="A1947" t="s">
        <v>2318</v>
      </c>
      <c r="B1947" s="22" t="s">
        <v>294</v>
      </c>
      <c r="C1947" s="24" t="s">
        <v>11</v>
      </c>
      <c r="D1947" s="24" t="s">
        <v>327</v>
      </c>
      <c r="E1947" s="24">
        <v>41</v>
      </c>
      <c r="F1947" t="s">
        <v>373</v>
      </c>
      <c r="G1947" s="24" t="s">
        <v>24</v>
      </c>
      <c r="H1947" s="24" t="s">
        <v>14</v>
      </c>
      <c r="I1947" s="24">
        <v>184500</v>
      </c>
      <c r="J1947" s="24">
        <v>3</v>
      </c>
      <c r="K1947" s="25">
        <f t="shared" si="90"/>
        <v>553500</v>
      </c>
      <c r="L1947" s="26">
        <v>45531</v>
      </c>
      <c r="M1947" s="24" t="str">
        <f t="shared" si="91"/>
        <v>Tuesday</v>
      </c>
      <c r="N1947" s="24" t="str">
        <f t="shared" si="92"/>
        <v>Weekday</v>
      </c>
      <c r="Q1947" s="24"/>
      <c r="R1947" s="24"/>
      <c r="S1947" s="27"/>
      <c r="T1947"/>
      <c r="U1947" s="6"/>
      <c r="W1947" s="7"/>
      <c r="Z1947" s="4"/>
    </row>
    <row r="1948" spans="1:26" x14ac:dyDescent="0.3">
      <c r="A1948" t="s">
        <v>2319</v>
      </c>
      <c r="B1948" s="16" t="s">
        <v>290</v>
      </c>
      <c r="C1948" s="18" t="s">
        <v>366</v>
      </c>
      <c r="D1948" s="18" t="s">
        <v>326</v>
      </c>
      <c r="E1948" s="18">
        <v>66</v>
      </c>
      <c r="F1948" t="s">
        <v>375</v>
      </c>
      <c r="G1948" s="18" t="s">
        <v>32</v>
      </c>
      <c r="H1948" s="18" t="s">
        <v>18</v>
      </c>
      <c r="I1948" s="18">
        <v>3690</v>
      </c>
      <c r="J1948" s="18">
        <v>2</v>
      </c>
      <c r="K1948" s="19">
        <f t="shared" si="90"/>
        <v>7380</v>
      </c>
      <c r="L1948" s="20">
        <v>45611</v>
      </c>
      <c r="M1948" s="18" t="str">
        <f t="shared" si="91"/>
        <v>Friday</v>
      </c>
      <c r="N1948" s="18" t="str">
        <f t="shared" si="92"/>
        <v>Weekend</v>
      </c>
      <c r="Q1948" s="18"/>
      <c r="R1948" s="18"/>
      <c r="S1948" s="21"/>
      <c r="T1948"/>
      <c r="U1948" s="6"/>
      <c r="W1948" s="7"/>
      <c r="Z1948" s="4"/>
    </row>
    <row r="1949" spans="1:26" x14ac:dyDescent="0.3">
      <c r="A1949" t="s">
        <v>2320</v>
      </c>
      <c r="B1949" s="22" t="s">
        <v>224</v>
      </c>
      <c r="C1949" s="24" t="s">
        <v>11</v>
      </c>
      <c r="D1949" s="24" t="s">
        <v>323</v>
      </c>
      <c r="E1949" s="24">
        <v>67</v>
      </c>
      <c r="F1949" t="s">
        <v>375</v>
      </c>
      <c r="G1949" s="24" t="s">
        <v>32</v>
      </c>
      <c r="H1949" s="24" t="s">
        <v>18</v>
      </c>
      <c r="I1949" s="24">
        <v>3690</v>
      </c>
      <c r="J1949" s="24">
        <v>5</v>
      </c>
      <c r="K1949" s="25">
        <f t="shared" si="90"/>
        <v>18450</v>
      </c>
      <c r="L1949" s="26">
        <v>45412</v>
      </c>
      <c r="M1949" s="24" t="str">
        <f t="shared" si="91"/>
        <v>Tuesday</v>
      </c>
      <c r="N1949" s="24" t="str">
        <f t="shared" si="92"/>
        <v>Weekday</v>
      </c>
      <c r="Q1949" s="24"/>
      <c r="R1949" s="24"/>
      <c r="S1949" s="27"/>
      <c r="T1949"/>
      <c r="U1949" s="6"/>
      <c r="W1949" s="7"/>
      <c r="Z1949" s="4"/>
    </row>
    <row r="1950" spans="1:26" x14ac:dyDescent="0.3">
      <c r="A1950" t="s">
        <v>2321</v>
      </c>
      <c r="B1950" s="16" t="s">
        <v>48</v>
      </c>
      <c r="C1950" s="18" t="s">
        <v>11</v>
      </c>
      <c r="D1950" s="18" t="s">
        <v>323</v>
      </c>
      <c r="E1950" s="18">
        <v>58</v>
      </c>
      <c r="F1950" t="s">
        <v>370</v>
      </c>
      <c r="G1950" s="18" t="s">
        <v>32</v>
      </c>
      <c r="H1950" s="18" t="s">
        <v>18</v>
      </c>
      <c r="I1950" s="18">
        <v>3690</v>
      </c>
      <c r="J1950" s="18">
        <v>5</v>
      </c>
      <c r="K1950" s="19">
        <f t="shared" si="90"/>
        <v>18450</v>
      </c>
      <c r="L1950" s="20">
        <v>45488</v>
      </c>
      <c r="M1950" s="18" t="str">
        <f t="shared" si="91"/>
        <v>Monday</v>
      </c>
      <c r="N1950" s="18" t="str">
        <f t="shared" si="92"/>
        <v>Weekday</v>
      </c>
      <c r="Q1950" s="18"/>
      <c r="R1950" s="18"/>
      <c r="S1950" s="21"/>
      <c r="T1950"/>
      <c r="U1950" s="6"/>
      <c r="W1950" s="7"/>
      <c r="Z1950" s="4"/>
    </row>
    <row r="1951" spans="1:26" x14ac:dyDescent="0.3">
      <c r="A1951" t="s">
        <v>2322</v>
      </c>
      <c r="B1951" s="22" t="s">
        <v>49</v>
      </c>
      <c r="C1951" s="24" t="s">
        <v>20</v>
      </c>
      <c r="D1951" s="24" t="s">
        <v>323</v>
      </c>
      <c r="E1951" s="24">
        <v>57</v>
      </c>
      <c r="F1951" t="s">
        <v>381</v>
      </c>
      <c r="G1951" s="24" t="s">
        <v>13</v>
      </c>
      <c r="H1951" s="24" t="s">
        <v>14</v>
      </c>
      <c r="I1951" s="24">
        <v>36900</v>
      </c>
      <c r="J1951" s="24">
        <v>5</v>
      </c>
      <c r="K1951" s="25">
        <f t="shared" si="90"/>
        <v>184500</v>
      </c>
      <c r="L1951" s="26">
        <v>45301</v>
      </c>
      <c r="M1951" s="24" t="str">
        <f t="shared" si="91"/>
        <v>Wednesday</v>
      </c>
      <c r="N1951" s="24" t="str">
        <f t="shared" si="92"/>
        <v>Weekday</v>
      </c>
      <c r="Q1951" s="24"/>
      <c r="R1951" s="24"/>
      <c r="S1951" s="27"/>
      <c r="T1951"/>
      <c r="U1951" s="6"/>
      <c r="W1951" s="7"/>
      <c r="Z1951" s="4"/>
    </row>
    <row r="1952" spans="1:26" x14ac:dyDescent="0.3">
      <c r="A1952" t="s">
        <v>2323</v>
      </c>
      <c r="B1952" s="16" t="s">
        <v>36</v>
      </c>
      <c r="C1952" s="18" t="s">
        <v>366</v>
      </c>
      <c r="D1952" s="18" t="s">
        <v>324</v>
      </c>
      <c r="E1952" s="18">
        <v>41</v>
      </c>
      <c r="F1952" t="s">
        <v>370</v>
      </c>
      <c r="G1952" s="18" t="s">
        <v>31</v>
      </c>
      <c r="H1952" s="18" t="s">
        <v>18</v>
      </c>
      <c r="I1952" s="18">
        <v>6150</v>
      </c>
      <c r="J1952" s="18">
        <v>3</v>
      </c>
      <c r="K1952" s="19">
        <f t="shared" si="90"/>
        <v>18450</v>
      </c>
      <c r="L1952" s="20">
        <v>45423</v>
      </c>
      <c r="M1952" s="18" t="str">
        <f t="shared" si="91"/>
        <v>Saturday</v>
      </c>
      <c r="N1952" s="18" t="str">
        <f t="shared" si="92"/>
        <v>Weekend</v>
      </c>
      <c r="Q1952" s="18"/>
      <c r="R1952" s="18"/>
      <c r="S1952" s="21"/>
      <c r="T1952"/>
      <c r="U1952" s="6"/>
      <c r="W1952" s="7"/>
      <c r="Z1952" s="4"/>
    </row>
    <row r="1953" spans="1:26" x14ac:dyDescent="0.3">
      <c r="A1953" t="s">
        <v>2324</v>
      </c>
      <c r="B1953" s="22" t="s">
        <v>128</v>
      </c>
      <c r="C1953" s="24" t="s">
        <v>11</v>
      </c>
      <c r="D1953" s="24" t="s">
        <v>323</v>
      </c>
      <c r="E1953" s="24">
        <v>50</v>
      </c>
      <c r="F1953" t="s">
        <v>375</v>
      </c>
      <c r="G1953" s="24" t="s">
        <v>17</v>
      </c>
      <c r="H1953" s="24" t="s">
        <v>18</v>
      </c>
      <c r="I1953" s="24">
        <v>12300</v>
      </c>
      <c r="J1953" s="24">
        <v>3</v>
      </c>
      <c r="K1953" s="25">
        <f t="shared" si="90"/>
        <v>36900</v>
      </c>
      <c r="L1953" s="26">
        <v>45651</v>
      </c>
      <c r="M1953" s="24" t="str">
        <f t="shared" si="91"/>
        <v>Wednesday</v>
      </c>
      <c r="N1953" s="24" t="str">
        <f t="shared" si="92"/>
        <v>Weekday</v>
      </c>
      <c r="Q1953" s="24"/>
      <c r="R1953" s="24"/>
      <c r="S1953" s="27"/>
      <c r="T1953"/>
      <c r="U1953" s="6"/>
      <c r="W1953" s="7"/>
      <c r="Z1953" s="4"/>
    </row>
    <row r="1954" spans="1:26" x14ac:dyDescent="0.3">
      <c r="A1954" t="s">
        <v>2325</v>
      </c>
      <c r="B1954" s="16" t="s">
        <v>251</v>
      </c>
      <c r="C1954" s="18" t="s">
        <v>366</v>
      </c>
      <c r="D1954" s="18" t="s">
        <v>323</v>
      </c>
      <c r="E1954" s="18">
        <v>64</v>
      </c>
      <c r="F1954" t="s">
        <v>373</v>
      </c>
      <c r="G1954" s="18" t="s">
        <v>32</v>
      </c>
      <c r="H1954" s="18" t="s">
        <v>18</v>
      </c>
      <c r="I1954" s="18">
        <v>3690</v>
      </c>
      <c r="J1954" s="18">
        <v>1</v>
      </c>
      <c r="K1954" s="19">
        <f t="shared" si="90"/>
        <v>3690</v>
      </c>
      <c r="L1954" s="20">
        <v>45635</v>
      </c>
      <c r="M1954" s="18" t="str">
        <f t="shared" si="91"/>
        <v>Monday</v>
      </c>
      <c r="N1954" s="18" t="str">
        <f t="shared" si="92"/>
        <v>Weekday</v>
      </c>
      <c r="Q1954" s="18"/>
      <c r="R1954" s="18"/>
      <c r="S1954" s="21"/>
      <c r="T1954"/>
      <c r="U1954" s="6"/>
      <c r="W1954" s="7"/>
      <c r="Z1954" s="4"/>
    </row>
    <row r="1955" spans="1:26" x14ac:dyDescent="0.3">
      <c r="A1955" t="s">
        <v>2326</v>
      </c>
      <c r="B1955" s="22" t="s">
        <v>84</v>
      </c>
      <c r="C1955" s="24" t="s">
        <v>20</v>
      </c>
      <c r="D1955" s="24" t="s">
        <v>322</v>
      </c>
      <c r="E1955" s="24">
        <v>24</v>
      </c>
      <c r="F1955" t="s">
        <v>375</v>
      </c>
      <c r="G1955" s="24" t="s">
        <v>13</v>
      </c>
      <c r="H1955" s="24" t="s">
        <v>14</v>
      </c>
      <c r="I1955" s="24">
        <v>36900</v>
      </c>
      <c r="J1955" s="24">
        <v>5</v>
      </c>
      <c r="K1955" s="25">
        <f t="shared" si="90"/>
        <v>184500</v>
      </c>
      <c r="L1955" s="26">
        <v>45329</v>
      </c>
      <c r="M1955" s="24" t="str">
        <f t="shared" si="91"/>
        <v>Wednesday</v>
      </c>
      <c r="N1955" s="24" t="str">
        <f t="shared" si="92"/>
        <v>Weekday</v>
      </c>
      <c r="Q1955" s="24"/>
      <c r="R1955" s="24"/>
      <c r="S1955" s="27"/>
      <c r="T1955"/>
      <c r="U1955" s="6"/>
      <c r="W1955" s="7"/>
      <c r="Z1955" s="4"/>
    </row>
    <row r="1956" spans="1:26" x14ac:dyDescent="0.3">
      <c r="A1956" t="s">
        <v>2327</v>
      </c>
      <c r="B1956" s="16" t="s">
        <v>303</v>
      </c>
      <c r="C1956" s="18" t="s">
        <v>20</v>
      </c>
      <c r="D1956" s="18" t="s">
        <v>322</v>
      </c>
      <c r="E1956" s="18">
        <v>60</v>
      </c>
      <c r="F1956" t="s">
        <v>370</v>
      </c>
      <c r="G1956" s="18" t="s">
        <v>24</v>
      </c>
      <c r="H1956" s="18" t="s">
        <v>14</v>
      </c>
      <c r="I1956" s="18">
        <v>184500</v>
      </c>
      <c r="J1956" s="18">
        <v>5</v>
      </c>
      <c r="K1956" s="19">
        <f t="shared" si="90"/>
        <v>922500</v>
      </c>
      <c r="L1956" s="20">
        <v>45504</v>
      </c>
      <c r="M1956" s="18" t="str">
        <f t="shared" si="91"/>
        <v>Wednesday</v>
      </c>
      <c r="N1956" s="18" t="str">
        <f t="shared" si="92"/>
        <v>Weekday</v>
      </c>
      <c r="Q1956" s="18"/>
      <c r="R1956" s="18"/>
      <c r="S1956" s="21"/>
      <c r="T1956"/>
      <c r="U1956" s="6"/>
      <c r="W1956" s="7"/>
      <c r="Z1956" s="4"/>
    </row>
    <row r="1957" spans="1:26" x14ac:dyDescent="0.3">
      <c r="A1957" t="s">
        <v>2328</v>
      </c>
      <c r="B1957" s="28" t="s">
        <v>171</v>
      </c>
      <c r="C1957" s="11" t="s">
        <v>11</v>
      </c>
      <c r="D1957" s="11" t="s">
        <v>324</v>
      </c>
      <c r="E1957" s="11">
        <v>51</v>
      </c>
      <c r="F1957" t="s">
        <v>381</v>
      </c>
      <c r="G1957" s="11" t="s">
        <v>31</v>
      </c>
      <c r="H1957" s="11" t="s">
        <v>18</v>
      </c>
      <c r="I1957" s="11">
        <v>6150</v>
      </c>
      <c r="J1957" s="11">
        <v>2</v>
      </c>
      <c r="K1957" s="29">
        <f t="shared" si="90"/>
        <v>12300</v>
      </c>
      <c r="L1957" s="30">
        <v>45463</v>
      </c>
      <c r="M1957" s="11" t="str">
        <f t="shared" si="91"/>
        <v>Thursday</v>
      </c>
      <c r="N1957" s="11" t="str">
        <f t="shared" si="92"/>
        <v>Weekday</v>
      </c>
      <c r="Q1957" s="11"/>
      <c r="R1957" s="11"/>
      <c r="S1957" s="12"/>
      <c r="T1957"/>
      <c r="U1957" s="6"/>
      <c r="W1957" s="7"/>
      <c r="Z1957" s="4"/>
    </row>
    <row r="1958" spans="1:26" x14ac:dyDescent="0.3">
      <c r="B1958" s="1"/>
      <c r="C1958" s="1"/>
      <c r="D1958" s="1"/>
      <c r="G1958" s="1"/>
      <c r="H1958" s="1"/>
      <c r="I1958" s="1"/>
      <c r="J1958" s="1"/>
      <c r="K1958" s="1"/>
      <c r="L1958" s="1"/>
      <c r="M1958" s="1"/>
      <c r="N1958" s="1"/>
      <c r="Q1958" s="1"/>
      <c r="R1958" s="1"/>
      <c r="S1958" s="1"/>
    </row>
  </sheetData>
  <phoneticPr fontId="7" type="noConversion"/>
  <dataValidations count="1">
    <dataValidation allowBlank="1" showInputMessage="1" showErrorMessage="1" sqref="B1" xr:uid="{0FB36140-5636-4862-AA01-687F99EF668D}"/>
  </dataValidations>
  <pageMargins left="0.7" right="0.7" top="0.75" bottom="0.75" header="0.511811023622047" footer="0.511811023622047"/>
  <pageSetup paperSize="9" orientation="portrait" horizontalDpi="300" verticalDpi="300"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Raw_Backup</vt:lpstr>
      <vt:lpstr>Customer Segment Dashboard</vt:lpstr>
      <vt:lpstr>Customer Segment Pivot Table</vt:lpstr>
      <vt:lpstr>Customer RFM Table</vt:lpstr>
      <vt:lpstr>Sales Pivot Table</vt:lpstr>
      <vt:lpstr>Sales Dashboard</vt:lpstr>
      <vt:lpstr>Cleaned_Data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Md.Navidul Hoque</dc:creator>
  <cp:keywords/>
  <dc:description/>
  <cp:lastModifiedBy>Md.Navidul Hoque</cp:lastModifiedBy>
  <cp:revision>1</cp:revision>
  <dcterms:created xsi:type="dcterms:W3CDTF">2026-08-04T15:00:19Z</dcterms:created>
  <dcterms:modified xsi:type="dcterms:W3CDTF">2026-09-28T14:33:09Z</dcterms:modified>
  <cp:category/>
  <cp:contentStatus/>
</cp:coreProperties>
</file>